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Jake Burroughs\"/>
    </mc:Choice>
  </mc:AlternateContent>
  <workbookProtection lockStructure="1"/>
  <bookViews>
    <workbookView xWindow="0" yWindow="0" windowWidth="28800" windowHeight="12330" tabRatio="828" firstSheet="8" activeTab="17"/>
  </bookViews>
  <sheets>
    <sheet name="Info" sheetId="5" state="veryHidden" r:id="rId1"/>
    <sheet name="Sunday REQ" sheetId="16" state="veryHidden" r:id="rId2"/>
    <sheet name="Monday REQ" sheetId="17" state="veryHidden" r:id="rId3"/>
    <sheet name="Tuesday REQ" sheetId="19" state="veryHidden" r:id="rId4"/>
    <sheet name="Wednesday REQ" sheetId="20" state="veryHidden" r:id="rId5"/>
    <sheet name="Thursday REQ" sheetId="21" state="veryHidden" r:id="rId6"/>
    <sheet name="Friday REQ" sheetId="22" state="veryHidden" r:id="rId7"/>
    <sheet name="Saturday REQ" sheetId="18" state="veryHidden" r:id="rId8"/>
    <sheet name="Sunday" sheetId="1" r:id="rId9"/>
    <sheet name="Monday" sheetId="8" r:id="rId10"/>
    <sheet name="Tuesday" sheetId="9" r:id="rId11"/>
    <sheet name="Wednesday" sheetId="10" r:id="rId12"/>
    <sheet name="Thursday" sheetId="11" r:id="rId13"/>
    <sheet name="Friday" sheetId="12" r:id="rId14"/>
    <sheet name="Saturday" sheetId="13" r:id="rId15"/>
    <sheet name="Missing Hours" sheetId="23" r:id="rId16"/>
    <sheet name="Summary" sheetId="14" r:id="rId17"/>
    <sheet name="Daily Hours" sheetId="24" r:id="rId18"/>
    <sheet name="Vanquish Input" sheetId="6" state="veryHidden" r:id="rId19"/>
    <sheet name="Vanquish Data" sheetId="2" state="veryHidden" r:id="rId20"/>
    <sheet name="Data" sheetId="3" state="veryHidden" r:id="rId21"/>
    <sheet name="Agency Rates" sheetId="7" state="veryHidden" r:id="rId22"/>
  </sheets>
  <functionGroups builtInGroupCount="18"/>
  <externalReferences>
    <externalReference r:id="rId23"/>
  </externalReferences>
  <definedNames>
    <definedName name="_xlnm._FilterDatabase" localSheetId="13" hidden="1">Friday!$A$8:$Y$60</definedName>
    <definedName name="_xlnm._FilterDatabase" localSheetId="9" hidden="1">Monday!$A$8:$Y$60</definedName>
    <definedName name="_xlnm._FilterDatabase" localSheetId="14" hidden="1">Saturday!$A$8:$Y$60</definedName>
    <definedName name="_xlnm._FilterDatabase" localSheetId="8" hidden="1">Sunday!$A$8:$Y$60</definedName>
    <definedName name="_xlnm._FilterDatabase" localSheetId="12" hidden="1">Thursday!$A$8:$Y$60</definedName>
    <definedName name="_xlnm._FilterDatabase" localSheetId="10" hidden="1">Tuesday!$A$8:$Y$60</definedName>
    <definedName name="_xlnm._FilterDatabase" localSheetId="11" hidden="1">Wednesday!$A$8:$Y$60</definedName>
    <definedName name="Dept">Data!$A$2:$A$16</definedName>
    <definedName name="Factory">Data!$B$2:$B$3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4" l="1"/>
  <c r="C2" i="24"/>
  <c r="G2" i="24"/>
  <c r="F2" i="24"/>
  <c r="A9" i="10"/>
  <c r="D2" i="24"/>
  <c r="E2" i="24"/>
  <c r="H2" i="24"/>
  <c r="B2" i="24" l="1"/>
  <c r="W9" i="10"/>
  <c r="A9" i="8"/>
  <c r="W9" i="8" l="1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18" i="11"/>
  <c r="I17" i="11"/>
  <c r="I16" i="11"/>
  <c r="I15" i="11"/>
  <c r="I14" i="11"/>
  <c r="I13" i="11"/>
  <c r="I12" i="11"/>
  <c r="I11" i="11"/>
  <c r="I10" i="11"/>
  <c r="I9" i="1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17" i="9"/>
  <c r="I16" i="9"/>
  <c r="I15" i="9"/>
  <c r="I14" i="9"/>
  <c r="I13" i="9"/>
  <c r="I12" i="9"/>
  <c r="I11" i="9"/>
  <c r="I10" i="9"/>
  <c r="I9" i="9"/>
  <c r="I17" i="8"/>
  <c r="I16" i="8"/>
  <c r="I15" i="8"/>
  <c r="I14" i="8"/>
  <c r="I13" i="8"/>
  <c r="I12" i="8"/>
  <c r="I11" i="8"/>
  <c r="I10" i="8"/>
  <c r="I9" i="8"/>
  <c r="A34" i="12"/>
  <c r="E30" i="12"/>
  <c r="D27" i="12"/>
  <c r="C24" i="12"/>
  <c r="B21" i="12"/>
  <c r="A18" i="12"/>
  <c r="E14" i="12"/>
  <c r="D11" i="12"/>
  <c r="D33" i="12"/>
  <c r="E24" i="12"/>
  <c r="D17" i="12"/>
  <c r="E12" i="12"/>
  <c r="E31" i="12"/>
  <c r="C25" i="12"/>
  <c r="B18" i="12"/>
  <c r="D34" i="12"/>
  <c r="C31" i="12"/>
  <c r="B28" i="12"/>
  <c r="A25" i="12"/>
  <c r="E21" i="12"/>
  <c r="D18" i="12"/>
  <c r="C15" i="12"/>
  <c r="B12" i="12"/>
  <c r="A9" i="12"/>
  <c r="B31" i="12"/>
  <c r="D25" i="12"/>
  <c r="A20" i="12"/>
  <c r="A12" i="12"/>
  <c r="C29" i="12"/>
  <c r="A23" i="12"/>
  <c r="D16" i="12"/>
  <c r="C9" i="12"/>
  <c r="E11" i="12"/>
  <c r="C21" i="11"/>
  <c r="B18" i="11"/>
  <c r="A15" i="11"/>
  <c r="E11" i="11"/>
  <c r="D22" i="11"/>
  <c r="E13" i="11"/>
  <c r="C22" i="11"/>
  <c r="A16" i="11"/>
  <c r="D23" i="11"/>
  <c r="C20" i="11"/>
  <c r="B17" i="11"/>
  <c r="A14" i="11"/>
  <c r="E10" i="11"/>
  <c r="E21" i="11"/>
  <c r="A17" i="11"/>
  <c r="D10" i="11"/>
  <c r="B19" i="11"/>
  <c r="C14" i="11"/>
  <c r="C22" i="10"/>
  <c r="B19" i="10"/>
  <c r="A16" i="10"/>
  <c r="E12" i="10"/>
  <c r="D9" i="10"/>
  <c r="A18" i="10"/>
  <c r="B9" i="10"/>
  <c r="E17" i="10"/>
  <c r="D10" i="10"/>
  <c r="E19" i="10"/>
  <c r="D16" i="10"/>
  <c r="C13" i="10"/>
  <c r="B10" i="10"/>
  <c r="E18" i="10"/>
  <c r="B13" i="10"/>
  <c r="D22" i="10"/>
  <c r="B16" i="10"/>
  <c r="E9" i="10"/>
  <c r="C23" i="9"/>
  <c r="B20" i="9"/>
  <c r="A17" i="9"/>
  <c r="E13" i="9"/>
  <c r="D10" i="9"/>
  <c r="B22" i="9"/>
  <c r="D16" i="9"/>
  <c r="A11" i="9"/>
  <c r="B21" i="9"/>
  <c r="E14" i="9"/>
  <c r="D25" i="9"/>
  <c r="C22" i="9"/>
  <c r="B19" i="9"/>
  <c r="A16" i="9"/>
  <c r="E12" i="9"/>
  <c r="D9" i="9"/>
  <c r="D20" i="9"/>
  <c r="C13" i="9"/>
  <c r="E22" i="9"/>
  <c r="A18" i="9"/>
  <c r="E10" i="9"/>
  <c r="B18" i="8"/>
  <c r="B14" i="8"/>
  <c r="E18" i="8"/>
  <c r="D11" i="8"/>
  <c r="E17" i="8"/>
  <c r="D14" i="8"/>
  <c r="C11" i="8"/>
  <c r="C18" i="8"/>
  <c r="B15" i="8"/>
  <c r="A12" i="8"/>
  <c r="A15" i="8"/>
  <c r="D19" i="8"/>
  <c r="A14" i="8"/>
  <c r="B26" i="12"/>
  <c r="B11" i="11"/>
  <c r="C12" i="11"/>
  <c r="D14" i="11"/>
  <c r="A12" i="11"/>
  <c r="C14" i="10"/>
  <c r="B21" i="10"/>
  <c r="C21" i="10"/>
  <c r="A15" i="10"/>
  <c r="E22" i="10"/>
  <c r="D18" i="10"/>
  <c r="A13" i="10"/>
  <c r="D18" i="9"/>
  <c r="B12" i="9"/>
  <c r="B14" i="9"/>
  <c r="B17" i="9"/>
  <c r="E20" i="9"/>
  <c r="C14" i="9"/>
  <c r="B11" i="9"/>
  <c r="E23" i="9"/>
  <c r="C20" i="9"/>
  <c r="E19" i="8"/>
  <c r="E14" i="8"/>
  <c r="B16" i="8"/>
  <c r="B33" i="12"/>
  <c r="A30" i="12"/>
  <c r="E26" i="12"/>
  <c r="D23" i="12"/>
  <c r="C20" i="12"/>
  <c r="B17" i="12"/>
  <c r="A14" i="12"/>
  <c r="E10" i="12"/>
  <c r="C30" i="12"/>
  <c r="B23" i="12"/>
  <c r="E16" i="12"/>
  <c r="B11" i="12"/>
  <c r="B30" i="12"/>
  <c r="E23" i="12"/>
  <c r="E15" i="12"/>
  <c r="E33" i="12"/>
  <c r="D30" i="12"/>
  <c r="C27" i="12"/>
  <c r="B24" i="12"/>
  <c r="A21" i="12"/>
  <c r="E17" i="12"/>
  <c r="D14" i="12"/>
  <c r="C11" i="12"/>
  <c r="C34" i="12"/>
  <c r="D29" i="12"/>
  <c r="A24" i="12"/>
  <c r="C18" i="12"/>
  <c r="D9" i="12"/>
  <c r="A27" i="12"/>
  <c r="C21" i="12"/>
  <c r="A15" i="12"/>
  <c r="D32" i="12"/>
  <c r="E23" i="11"/>
  <c r="D20" i="11"/>
  <c r="C17" i="11"/>
  <c r="B14" i="11"/>
  <c r="A11" i="11"/>
  <c r="B20" i="11"/>
  <c r="B12" i="11"/>
  <c r="D21" i="11"/>
  <c r="D13" i="11"/>
  <c r="E22" i="11"/>
  <c r="D19" i="11"/>
  <c r="C16" i="11"/>
  <c r="B13" i="11"/>
  <c r="A10" i="11"/>
  <c r="A21" i="11"/>
  <c r="C15" i="11"/>
  <c r="A9" i="11"/>
  <c r="C18" i="11"/>
  <c r="E12" i="11"/>
  <c r="D21" i="10"/>
  <c r="C18" i="10"/>
  <c r="B15" i="10"/>
  <c r="A12" i="10"/>
  <c r="A22" i="10"/>
  <c r="C16" i="10"/>
  <c r="E21" i="10"/>
  <c r="C15" i="10"/>
  <c r="B22" i="10"/>
  <c r="A19" i="10"/>
  <c r="E15" i="10"/>
  <c r="D12" i="10"/>
  <c r="C9" i="10"/>
  <c r="B17" i="10"/>
  <c r="C12" i="10"/>
  <c r="B20" i="10"/>
  <c r="D14" i="10"/>
  <c r="E25" i="9"/>
  <c r="D22" i="9"/>
  <c r="C19" i="9"/>
  <c r="B16" i="9"/>
  <c r="A13" i="9"/>
  <c r="E9" i="9"/>
  <c r="C21" i="9"/>
  <c r="A15" i="9"/>
  <c r="C9" i="9"/>
  <c r="E18" i="9"/>
  <c r="B13" i="9"/>
  <c r="E24" i="9"/>
  <c r="D21" i="9"/>
  <c r="C18" i="9"/>
  <c r="B15" i="9"/>
  <c r="A12" i="9"/>
  <c r="C25" i="9"/>
  <c r="A19" i="9"/>
  <c r="D12" i="9"/>
  <c r="A22" i="9"/>
  <c r="D15" i="9"/>
  <c r="B9" i="9"/>
  <c r="C17" i="8"/>
  <c r="C13" i="8"/>
  <c r="C16" i="8"/>
  <c r="B9" i="8"/>
  <c r="A17" i="8"/>
  <c r="E13" i="8"/>
  <c r="D10" i="8"/>
  <c r="D17" i="8"/>
  <c r="C14" i="8"/>
  <c r="B11" i="8"/>
  <c r="D12" i="8"/>
  <c r="A18" i="8"/>
  <c r="C12" i="8"/>
  <c r="B34" i="12"/>
  <c r="E18" i="11"/>
  <c r="B9" i="11"/>
  <c r="E16" i="11"/>
  <c r="D17" i="10"/>
  <c r="A14" i="10"/>
  <c r="E13" i="10"/>
  <c r="B18" i="10"/>
  <c r="E11" i="10"/>
  <c r="E10" i="10"/>
  <c r="A25" i="9"/>
  <c r="C15" i="9"/>
  <c r="E19" i="9"/>
  <c r="B25" i="9"/>
  <c r="C12" i="9"/>
  <c r="D17" i="9"/>
  <c r="C17" i="9"/>
  <c r="A14" i="9"/>
  <c r="D16" i="8"/>
  <c r="C19" i="8"/>
  <c r="A13" i="8"/>
  <c r="C32" i="12"/>
  <c r="B29" i="12"/>
  <c r="A26" i="12"/>
  <c r="E22" i="12"/>
  <c r="D19" i="12"/>
  <c r="C16" i="12"/>
  <c r="B13" i="12"/>
  <c r="A10" i="12"/>
  <c r="E28" i="12"/>
  <c r="D21" i="12"/>
  <c r="B15" i="12"/>
  <c r="C10" i="12"/>
  <c r="D28" i="12"/>
  <c r="B22" i="12"/>
  <c r="B14" i="12"/>
  <c r="A33" i="12"/>
  <c r="E29" i="12"/>
  <c r="D26" i="12"/>
  <c r="C23" i="12"/>
  <c r="B20" i="12"/>
  <c r="A17" i="12"/>
  <c r="E13" i="12"/>
  <c r="D10" i="12"/>
  <c r="E32" i="12"/>
  <c r="A28" i="12"/>
  <c r="C22" i="12"/>
  <c r="A16" i="12"/>
  <c r="D20" i="12"/>
  <c r="D12" i="12"/>
  <c r="C17" i="12"/>
  <c r="A23" i="11"/>
  <c r="E19" i="11"/>
  <c r="D16" i="11"/>
  <c r="C13" i="11"/>
  <c r="B10" i="11"/>
  <c r="E17" i="11"/>
  <c r="C11" i="11"/>
  <c r="A20" i="11"/>
  <c r="A22" i="11"/>
  <c r="D15" i="11"/>
  <c r="C19" i="11"/>
  <c r="B23" i="11"/>
  <c r="E20" i="10"/>
  <c r="B11" i="10"/>
  <c r="A21" i="10"/>
  <c r="D15" i="10"/>
  <c r="E21" i="9"/>
  <c r="A9" i="9"/>
  <c r="A24" i="9"/>
  <c r="B10" i="9"/>
  <c r="E11" i="8"/>
  <c r="E9" i="8"/>
  <c r="E34" i="12"/>
  <c r="A22" i="12"/>
  <c r="B9" i="12"/>
  <c r="C33" i="12"/>
  <c r="B32" i="12"/>
  <c r="C19" i="12"/>
  <c r="A32" i="12"/>
  <c r="A31" i="12"/>
  <c r="C13" i="12"/>
  <c r="D12" i="11"/>
  <c r="D17" i="11"/>
  <c r="E14" i="11"/>
  <c r="A13" i="11"/>
  <c r="A20" i="10"/>
  <c r="C20" i="10"/>
  <c r="D20" i="10"/>
  <c r="D19" i="10"/>
  <c r="C11" i="10"/>
  <c r="D14" i="9"/>
  <c r="E11" i="9"/>
  <c r="B23" i="9"/>
  <c r="C10" i="9"/>
  <c r="D19" i="9"/>
  <c r="B10" i="8"/>
  <c r="B12" i="8"/>
  <c r="D13" i="8"/>
  <c r="A11" i="8"/>
  <c r="E10" i="8"/>
  <c r="E12" i="8"/>
  <c r="C9" i="8"/>
  <c r="C19" i="10"/>
  <c r="E15" i="9"/>
  <c r="E16" i="8"/>
  <c r="C10" i="8"/>
  <c r="C12" i="12"/>
  <c r="D13" i="12"/>
  <c r="E15" i="11"/>
  <c r="E9" i="11"/>
  <c r="A18" i="11"/>
  <c r="D18" i="11"/>
  <c r="B12" i="10"/>
  <c r="D9" i="8"/>
  <c r="D31" i="12"/>
  <c r="E18" i="12"/>
  <c r="C26" i="12"/>
  <c r="E27" i="12"/>
  <c r="A29" i="12"/>
  <c r="B16" i="12"/>
  <c r="B27" i="12"/>
  <c r="D24" i="12"/>
  <c r="B22" i="11"/>
  <c r="C9" i="11"/>
  <c r="D9" i="11"/>
  <c r="D11" i="11"/>
  <c r="E20" i="11"/>
  <c r="E16" i="10"/>
  <c r="D11" i="10"/>
  <c r="C17" i="10"/>
  <c r="E14" i="10"/>
  <c r="B24" i="9"/>
  <c r="C11" i="9"/>
  <c r="D23" i="9"/>
  <c r="A20" i="9"/>
  <c r="A23" i="9"/>
  <c r="D11" i="9"/>
  <c r="B13" i="8"/>
  <c r="B19" i="8"/>
  <c r="A10" i="8"/>
  <c r="B14" i="10"/>
  <c r="A21" i="9"/>
  <c r="C16" i="9"/>
  <c r="E16" i="9"/>
  <c r="A19" i="8"/>
  <c r="B17" i="8"/>
  <c r="B25" i="12"/>
  <c r="A11" i="12"/>
  <c r="E9" i="12"/>
  <c r="C10" i="11"/>
  <c r="A11" i="10"/>
  <c r="A17" i="10"/>
  <c r="B18" i="9"/>
  <c r="D13" i="9"/>
  <c r="C15" i="8"/>
  <c r="A16" i="8"/>
  <c r="C28" i="12"/>
  <c r="D15" i="12"/>
  <c r="B19" i="12"/>
  <c r="E19" i="12"/>
  <c r="E25" i="12"/>
  <c r="A13" i="12"/>
  <c r="E20" i="12"/>
  <c r="A19" i="12"/>
  <c r="A19" i="11"/>
  <c r="B16" i="11"/>
  <c r="B21" i="11"/>
  <c r="C23" i="11"/>
  <c r="B15" i="11"/>
  <c r="D13" i="10"/>
  <c r="A10" i="10"/>
  <c r="D24" i="9"/>
  <c r="D18" i="8"/>
  <c r="C14" i="12"/>
  <c r="D22" i="12"/>
  <c r="B10" i="12"/>
  <c r="C10" i="10"/>
  <c r="E17" i="9"/>
  <c r="A10" i="9"/>
  <c r="C24" i="9"/>
  <c r="E15" i="8"/>
  <c r="D15" i="8"/>
  <c r="I13" i="1" l="1"/>
  <c r="I14" i="1"/>
  <c r="I15" i="1"/>
  <c r="I11" i="1"/>
  <c r="T24" i="14" l="1"/>
  <c r="T25" i="14"/>
  <c r="T26" i="14"/>
  <c r="T27" i="14"/>
  <c r="T28" i="14"/>
  <c r="T35" i="14" s="1"/>
  <c r="T29" i="14"/>
  <c r="T30" i="14"/>
  <c r="T31" i="14"/>
  <c r="T32" i="14"/>
  <c r="T33" i="14"/>
  <c r="T34" i="14"/>
  <c r="T23" i="14"/>
  <c r="E15" i="1"/>
  <c r="A10" i="1"/>
  <c r="A9" i="1"/>
  <c r="A16" i="1"/>
  <c r="A12" i="1"/>
  <c r="A18" i="1"/>
  <c r="A13" i="1"/>
  <c r="A19" i="1"/>
  <c r="C15" i="1"/>
  <c r="A11" i="1"/>
  <c r="A17" i="1"/>
  <c r="B15" i="1"/>
  <c r="A14" i="1"/>
  <c r="A15" i="1"/>
  <c r="Z12" i="14" l="1"/>
  <c r="AC12" i="14"/>
  <c r="AC11" i="14"/>
  <c r="AC10" i="14"/>
  <c r="AC9" i="14"/>
  <c r="AC8" i="14"/>
  <c r="AC7" i="14"/>
  <c r="AB12" i="14"/>
  <c r="AB11" i="14"/>
  <c r="AB10" i="14"/>
  <c r="AB9" i="14"/>
  <c r="AB8" i="14"/>
  <c r="AB7" i="14"/>
  <c r="AA12" i="14"/>
  <c r="AA11" i="14"/>
  <c r="AA10" i="14"/>
  <c r="AA8" i="14"/>
  <c r="AA7" i="14"/>
  <c r="Z11" i="14"/>
  <c r="Z10" i="14"/>
  <c r="Z9" i="14"/>
  <c r="Z8" i="14"/>
  <c r="Z7" i="14"/>
  <c r="Y12" i="14"/>
  <c r="Y11" i="14"/>
  <c r="Y10" i="14"/>
  <c r="Y9" i="14"/>
  <c r="Y8" i="14"/>
  <c r="Y7" i="14"/>
  <c r="AA9" i="14"/>
  <c r="X12" i="14"/>
  <c r="X11" i="14"/>
  <c r="X10" i="14"/>
  <c r="X9" i="14"/>
  <c r="X8" i="14"/>
  <c r="X7" i="14"/>
  <c r="AC6" i="14"/>
  <c r="AB6" i="14"/>
  <c r="AA6" i="14"/>
  <c r="Z6" i="14"/>
  <c r="Y6" i="14"/>
  <c r="X6" i="14"/>
  <c r="AC13" i="14" l="1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P36" i="2" l="1"/>
  <c r="A36" i="2"/>
  <c r="A35" i="2"/>
  <c r="A34" i="2"/>
  <c r="A33" i="2"/>
  <c r="P32" i="2"/>
  <c r="A32" i="2"/>
  <c r="P31" i="2"/>
  <c r="A31" i="2"/>
  <c r="A30" i="2"/>
  <c r="A29" i="2"/>
  <c r="P28" i="2"/>
  <c r="A28" i="2"/>
  <c r="P27" i="2"/>
  <c r="A27" i="2"/>
  <c r="P26" i="2"/>
  <c r="A26" i="2"/>
  <c r="P25" i="2"/>
  <c r="A25" i="2"/>
  <c r="P24" i="2"/>
  <c r="A24" i="2"/>
  <c r="A23" i="2"/>
  <c r="A22" i="2"/>
  <c r="P21" i="2"/>
  <c r="A21" i="2"/>
  <c r="P20" i="2"/>
  <c r="A20" i="2"/>
  <c r="P19" i="2"/>
  <c r="A19" i="2"/>
  <c r="A18" i="2"/>
  <c r="A17" i="2"/>
  <c r="P16" i="2"/>
  <c r="A16" i="2"/>
  <c r="P15" i="2"/>
  <c r="A15" i="2"/>
  <c r="P14" i="2"/>
  <c r="A14" i="2"/>
  <c r="P13" i="2"/>
  <c r="A13" i="2"/>
  <c r="A12" i="2"/>
  <c r="A11" i="2"/>
  <c r="P10" i="2"/>
  <c r="A10" i="2"/>
  <c r="P9" i="2"/>
  <c r="A9" i="2"/>
  <c r="P8" i="2"/>
  <c r="A8" i="2"/>
  <c r="P7" i="2"/>
  <c r="A7" i="2"/>
  <c r="P6" i="2"/>
  <c r="A6" i="2"/>
  <c r="A5" i="2"/>
  <c r="A4" i="2"/>
  <c r="P3" i="2"/>
  <c r="A3" i="2"/>
  <c r="P2" i="2"/>
  <c r="A2" i="2"/>
  <c r="P4" i="2" l="1"/>
  <c r="P5" i="2"/>
  <c r="P12" i="2"/>
  <c r="P18" i="2"/>
  <c r="P23" i="2"/>
  <c r="P11" i="2"/>
  <c r="P17" i="2"/>
  <c r="P22" i="2"/>
  <c r="P30" i="2"/>
  <c r="P35" i="2"/>
  <c r="P29" i="2"/>
  <c r="P33" i="2"/>
  <c r="P34" i="2"/>
  <c r="A16" i="7"/>
  <c r="A15" i="7"/>
  <c r="A14" i="7"/>
  <c r="A13" i="7"/>
  <c r="A12" i="7"/>
  <c r="A11" i="7"/>
  <c r="I10" i="7" a="1"/>
  <c r="I10" i="7" s="1"/>
  <c r="A10" i="7"/>
  <c r="I9" i="7" a="1"/>
  <c r="I9" i="7" s="1"/>
  <c r="A9" i="7"/>
  <c r="I8" i="7" a="1"/>
  <c r="I8" i="7" s="1"/>
  <c r="A8" i="7"/>
  <c r="I7" i="7" a="1"/>
  <c r="I7" i="7" s="1"/>
  <c r="A7" i="7"/>
  <c r="I6" i="7" a="1"/>
  <c r="I6" i="7" s="1"/>
  <c r="A6" i="7"/>
  <c r="K5" i="7"/>
  <c r="I5" i="7" a="1"/>
  <c r="I5" i="7" s="1"/>
  <c r="A5" i="7"/>
  <c r="K4" i="7"/>
  <c r="I4" i="7" a="1"/>
  <c r="I4" i="7" s="1"/>
  <c r="A4" i="7"/>
  <c r="K3" i="7"/>
  <c r="I3" i="7" a="1"/>
  <c r="I3" i="7" s="1"/>
  <c r="A3" i="7"/>
  <c r="K2" i="7"/>
  <c r="I2" i="7" a="1"/>
  <c r="I2" i="7" s="1"/>
  <c r="A2" i="7"/>
  <c r="I1" i="7" a="1"/>
  <c r="I1" i="7" s="1"/>
  <c r="Y4" i="23" l="1"/>
  <c r="Y5" i="23"/>
  <c r="Y6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X27" i="23"/>
  <c r="X28" i="23"/>
  <c r="X29" i="23"/>
  <c r="X3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" i="23"/>
  <c r="R4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" i="23"/>
  <c r="O4" i="23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" i="23"/>
  <c r="A5" i="13" l="1"/>
  <c r="A5" i="12"/>
  <c r="A5" i="11"/>
  <c r="A5" i="10"/>
  <c r="I9" i="10" s="1"/>
  <c r="A5" i="9"/>
  <c r="A5" i="8"/>
  <c r="I19" i="11" l="1"/>
  <c r="I25" i="11"/>
  <c r="I31" i="11"/>
  <c r="I37" i="11"/>
  <c r="I26" i="11"/>
  <c r="I32" i="11"/>
  <c r="I38" i="11"/>
  <c r="I21" i="11"/>
  <c r="I27" i="11"/>
  <c r="I33" i="11"/>
  <c r="I39" i="11"/>
  <c r="I28" i="11"/>
  <c r="I29" i="11"/>
  <c r="I30" i="11"/>
  <c r="I20" i="11"/>
  <c r="I22" i="11"/>
  <c r="I34" i="11"/>
  <c r="I23" i="11"/>
  <c r="I36" i="11"/>
  <c r="I40" i="11"/>
  <c r="I41" i="11"/>
  <c r="I24" i="11"/>
  <c r="I35" i="11"/>
  <c r="J14" i="11"/>
  <c r="J20" i="11"/>
  <c r="J26" i="11"/>
  <c r="J9" i="11"/>
  <c r="J15" i="11"/>
  <c r="J21" i="11"/>
  <c r="J27" i="11"/>
  <c r="J10" i="11"/>
  <c r="J16" i="11"/>
  <c r="J22" i="11"/>
  <c r="J28" i="11"/>
  <c r="J11" i="11"/>
  <c r="J17" i="11"/>
  <c r="J23" i="11"/>
  <c r="J29" i="11"/>
  <c r="J12" i="11"/>
  <c r="J18" i="11"/>
  <c r="J24" i="11"/>
  <c r="J30" i="11"/>
  <c r="J13" i="11"/>
  <c r="J25" i="11"/>
  <c r="J19" i="11"/>
  <c r="X60" i="13"/>
  <c r="X59" i="13"/>
  <c r="X58" i="13"/>
  <c r="X57" i="13"/>
  <c r="X56" i="13"/>
  <c r="X55" i="13"/>
  <c r="X54" i="13"/>
  <c r="X53" i="13"/>
  <c r="X52" i="13"/>
  <c r="X51" i="13"/>
  <c r="X50" i="13"/>
  <c r="X49" i="13"/>
  <c r="X48" i="13"/>
  <c r="X47" i="13"/>
  <c r="X46" i="13"/>
  <c r="X45" i="13"/>
  <c r="X44" i="13"/>
  <c r="X43" i="13"/>
  <c r="X42" i="13"/>
  <c r="X41" i="13"/>
  <c r="X40" i="13"/>
  <c r="X39" i="13"/>
  <c r="X38" i="13"/>
  <c r="X37" i="13"/>
  <c r="X36" i="13"/>
  <c r="X35" i="13"/>
  <c r="X34" i="13"/>
  <c r="X33" i="13"/>
  <c r="X32" i="13"/>
  <c r="X31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X9" i="13"/>
  <c r="X60" i="12"/>
  <c r="X59" i="12"/>
  <c r="X58" i="12"/>
  <c r="X57" i="12"/>
  <c r="X56" i="12"/>
  <c r="X55" i="12"/>
  <c r="X54" i="12"/>
  <c r="X53" i="12"/>
  <c r="X52" i="12"/>
  <c r="X51" i="12"/>
  <c r="X50" i="12"/>
  <c r="X49" i="12"/>
  <c r="X48" i="12"/>
  <c r="X47" i="12"/>
  <c r="X46" i="12"/>
  <c r="X45" i="12"/>
  <c r="X44" i="12"/>
  <c r="X43" i="12"/>
  <c r="X42" i="12"/>
  <c r="X41" i="12"/>
  <c r="X40" i="12"/>
  <c r="X39" i="12"/>
  <c r="X38" i="12"/>
  <c r="X37" i="12"/>
  <c r="X36" i="12"/>
  <c r="X35" i="12"/>
  <c r="X34" i="12"/>
  <c r="X33" i="12"/>
  <c r="X32" i="12"/>
  <c r="X31" i="12"/>
  <c r="X30" i="12"/>
  <c r="X29" i="12"/>
  <c r="X28" i="12"/>
  <c r="X27" i="12"/>
  <c r="X26" i="12"/>
  <c r="X25" i="12"/>
  <c r="X24" i="12"/>
  <c r="X23" i="12"/>
  <c r="X22" i="12"/>
  <c r="X21" i="12"/>
  <c r="X20" i="12"/>
  <c r="X19" i="12"/>
  <c r="X18" i="12"/>
  <c r="X17" i="12"/>
  <c r="X16" i="12"/>
  <c r="X15" i="12"/>
  <c r="X14" i="12"/>
  <c r="X13" i="12"/>
  <c r="X12" i="12"/>
  <c r="X11" i="12"/>
  <c r="X10" i="12"/>
  <c r="X9" i="12"/>
  <c r="X60" i="11"/>
  <c r="X59" i="11"/>
  <c r="X58" i="11"/>
  <c r="X57" i="11"/>
  <c r="X56" i="11"/>
  <c r="X55" i="11"/>
  <c r="X54" i="11"/>
  <c r="X53" i="11"/>
  <c r="X52" i="11"/>
  <c r="X51" i="11"/>
  <c r="X50" i="11"/>
  <c r="X49" i="11"/>
  <c r="X48" i="11"/>
  <c r="X47" i="11"/>
  <c r="X46" i="11"/>
  <c r="X45" i="11"/>
  <c r="X44" i="11"/>
  <c r="X43" i="11"/>
  <c r="X42" i="11"/>
  <c r="X41" i="11"/>
  <c r="X40" i="11"/>
  <c r="X39" i="11"/>
  <c r="X38" i="11"/>
  <c r="X37" i="11"/>
  <c r="X36" i="11"/>
  <c r="X35" i="11"/>
  <c r="X34" i="11"/>
  <c r="X33" i="11"/>
  <c r="X32" i="11"/>
  <c r="X31" i="11"/>
  <c r="X30" i="11"/>
  <c r="X29" i="11"/>
  <c r="X28" i="11"/>
  <c r="X27" i="11"/>
  <c r="X26" i="11"/>
  <c r="X25" i="11"/>
  <c r="X24" i="11"/>
  <c r="X23" i="11"/>
  <c r="X22" i="11"/>
  <c r="X21" i="11"/>
  <c r="X20" i="11"/>
  <c r="X19" i="11"/>
  <c r="X18" i="11"/>
  <c r="X17" i="11"/>
  <c r="X16" i="11"/>
  <c r="X15" i="11"/>
  <c r="X14" i="11"/>
  <c r="X13" i="11"/>
  <c r="X12" i="11"/>
  <c r="X11" i="11"/>
  <c r="X10" i="11"/>
  <c r="X9" i="11"/>
  <c r="X60" i="10"/>
  <c r="X59" i="10"/>
  <c r="X58" i="10"/>
  <c r="X57" i="10"/>
  <c r="X56" i="10"/>
  <c r="X55" i="10"/>
  <c r="X54" i="10"/>
  <c r="X53" i="10"/>
  <c r="X52" i="10"/>
  <c r="X51" i="10"/>
  <c r="X50" i="10"/>
  <c r="X49" i="10"/>
  <c r="X48" i="10"/>
  <c r="X47" i="10"/>
  <c r="X46" i="10"/>
  <c r="X45" i="10"/>
  <c r="X44" i="10"/>
  <c r="X43" i="10"/>
  <c r="X42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12" i="10"/>
  <c r="X11" i="10"/>
  <c r="X10" i="10"/>
  <c r="X9" i="10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AD60" i="13" l="1"/>
  <c r="AC60" i="13"/>
  <c r="AB60" i="13"/>
  <c r="AA60" i="13"/>
  <c r="Z60" i="13"/>
  <c r="AD59" i="13"/>
  <c r="AC59" i="13"/>
  <c r="AB59" i="13"/>
  <c r="AA59" i="13"/>
  <c r="Z59" i="13"/>
  <c r="AD58" i="13"/>
  <c r="AC58" i="13"/>
  <c r="AB58" i="13"/>
  <c r="AA58" i="13"/>
  <c r="Z58" i="13"/>
  <c r="AD57" i="13"/>
  <c r="AC57" i="13"/>
  <c r="AB57" i="13"/>
  <c r="AA57" i="13"/>
  <c r="Z57" i="13"/>
  <c r="AD56" i="13"/>
  <c r="AC56" i="13"/>
  <c r="AB56" i="13"/>
  <c r="AA56" i="13"/>
  <c r="Z56" i="13"/>
  <c r="AD55" i="13"/>
  <c r="AC55" i="13"/>
  <c r="AB55" i="13"/>
  <c r="AA55" i="13"/>
  <c r="Z55" i="13"/>
  <c r="AD54" i="13"/>
  <c r="AC54" i="13"/>
  <c r="AB54" i="13"/>
  <c r="AA54" i="13"/>
  <c r="Z54" i="13"/>
  <c r="AD53" i="13"/>
  <c r="AC53" i="13"/>
  <c r="AB53" i="13"/>
  <c r="AA53" i="13"/>
  <c r="Z53" i="13"/>
  <c r="AD52" i="13"/>
  <c r="AC52" i="13"/>
  <c r="AB52" i="13"/>
  <c r="AA52" i="13"/>
  <c r="Z52" i="13"/>
  <c r="AD51" i="13"/>
  <c r="AC51" i="13"/>
  <c r="AB51" i="13"/>
  <c r="AA51" i="13"/>
  <c r="Z51" i="13"/>
  <c r="AD50" i="13"/>
  <c r="AC50" i="13"/>
  <c r="AB50" i="13"/>
  <c r="AA50" i="13"/>
  <c r="Z50" i="13"/>
  <c r="AD49" i="13"/>
  <c r="AC49" i="13"/>
  <c r="AB49" i="13"/>
  <c r="AA49" i="13"/>
  <c r="Z49" i="13"/>
  <c r="AD48" i="13"/>
  <c r="AC48" i="13"/>
  <c r="AB48" i="13"/>
  <c r="AA48" i="13"/>
  <c r="Z48" i="13"/>
  <c r="AD47" i="13"/>
  <c r="AC47" i="13"/>
  <c r="AB47" i="13"/>
  <c r="AA47" i="13"/>
  <c r="Z47" i="13"/>
  <c r="AD46" i="13"/>
  <c r="AC46" i="13"/>
  <c r="AB46" i="13"/>
  <c r="AA46" i="13"/>
  <c r="Z46" i="13"/>
  <c r="AD45" i="13"/>
  <c r="AC45" i="13"/>
  <c r="AB45" i="13"/>
  <c r="AA45" i="13"/>
  <c r="Z45" i="13"/>
  <c r="AD44" i="13"/>
  <c r="AC44" i="13"/>
  <c r="AB44" i="13"/>
  <c r="AA44" i="13"/>
  <c r="Z44" i="13"/>
  <c r="AD43" i="13"/>
  <c r="AC43" i="13"/>
  <c r="AB43" i="13"/>
  <c r="AA43" i="13"/>
  <c r="Z43" i="13"/>
  <c r="AD42" i="13"/>
  <c r="AC42" i="13"/>
  <c r="AB42" i="13"/>
  <c r="AA42" i="13"/>
  <c r="Z42" i="13"/>
  <c r="AD41" i="13"/>
  <c r="AC41" i="13"/>
  <c r="AB41" i="13"/>
  <c r="AA41" i="13"/>
  <c r="Z41" i="13"/>
  <c r="AD40" i="13"/>
  <c r="AC40" i="13"/>
  <c r="AB40" i="13"/>
  <c r="AA40" i="13"/>
  <c r="Z40" i="13"/>
  <c r="I40" i="13"/>
  <c r="M40" i="13" s="1"/>
  <c r="AD39" i="13"/>
  <c r="AC39" i="13"/>
  <c r="AB39" i="13"/>
  <c r="AA39" i="13"/>
  <c r="Z39" i="13"/>
  <c r="AD38" i="13"/>
  <c r="AC38" i="13"/>
  <c r="AB38" i="13"/>
  <c r="AA38" i="13"/>
  <c r="Z38" i="13"/>
  <c r="AD37" i="13"/>
  <c r="AC37" i="13"/>
  <c r="AB37" i="13"/>
  <c r="AA37" i="13"/>
  <c r="Z37" i="13"/>
  <c r="AD36" i="13"/>
  <c r="AC36" i="13"/>
  <c r="AB36" i="13"/>
  <c r="AA36" i="13"/>
  <c r="Z36" i="13"/>
  <c r="AD35" i="13"/>
  <c r="AC35" i="13"/>
  <c r="AB35" i="13"/>
  <c r="AA35" i="13"/>
  <c r="Z35" i="13"/>
  <c r="AD34" i="13"/>
  <c r="AC34" i="13"/>
  <c r="AB34" i="13"/>
  <c r="AA34" i="13"/>
  <c r="Z34" i="13"/>
  <c r="AD33" i="13"/>
  <c r="AC33" i="13"/>
  <c r="AB33" i="13"/>
  <c r="AA33" i="13"/>
  <c r="Z33" i="13"/>
  <c r="AD32" i="13"/>
  <c r="AC32" i="13"/>
  <c r="AB32" i="13"/>
  <c r="AA32" i="13"/>
  <c r="Z32" i="13"/>
  <c r="AD31" i="13"/>
  <c r="AC31" i="13"/>
  <c r="AB31" i="13"/>
  <c r="AA31" i="13"/>
  <c r="Z31" i="13"/>
  <c r="AD30" i="13"/>
  <c r="AC30" i="13"/>
  <c r="AB30" i="13"/>
  <c r="AA30" i="13"/>
  <c r="Z30" i="13"/>
  <c r="AD29" i="13"/>
  <c r="AC29" i="13"/>
  <c r="AB29" i="13"/>
  <c r="AA29" i="13"/>
  <c r="Z29" i="13"/>
  <c r="AD28" i="13"/>
  <c r="AC28" i="13"/>
  <c r="AB28" i="13"/>
  <c r="AA28" i="13"/>
  <c r="Z28" i="13"/>
  <c r="AD27" i="13"/>
  <c r="AC27" i="13"/>
  <c r="AB27" i="13"/>
  <c r="AA27" i="13"/>
  <c r="Z27" i="13"/>
  <c r="AD26" i="13"/>
  <c r="AC26" i="13"/>
  <c r="AB26" i="13"/>
  <c r="AA26" i="13"/>
  <c r="Z26" i="13"/>
  <c r="AD25" i="13"/>
  <c r="AC25" i="13"/>
  <c r="AB25" i="13"/>
  <c r="AA25" i="13"/>
  <c r="Z25" i="13"/>
  <c r="AE24" i="13"/>
  <c r="AD24" i="13"/>
  <c r="AC24" i="13"/>
  <c r="AB24" i="13"/>
  <c r="AA24" i="13"/>
  <c r="Z24" i="13"/>
  <c r="AD23" i="13"/>
  <c r="AC23" i="13"/>
  <c r="AB23" i="13"/>
  <c r="AA23" i="13"/>
  <c r="Z23" i="13"/>
  <c r="AD22" i="13"/>
  <c r="AC22" i="13"/>
  <c r="AB22" i="13"/>
  <c r="AA22" i="13"/>
  <c r="Z22" i="13"/>
  <c r="AD21" i="13"/>
  <c r="AC21" i="13"/>
  <c r="AB21" i="13"/>
  <c r="AA21" i="13"/>
  <c r="Z21" i="13"/>
  <c r="AD20" i="13"/>
  <c r="AC20" i="13"/>
  <c r="AB20" i="13"/>
  <c r="AA20" i="13"/>
  <c r="Z20" i="13"/>
  <c r="AD19" i="13"/>
  <c r="AC19" i="13"/>
  <c r="AB19" i="13"/>
  <c r="AA19" i="13"/>
  <c r="Z19" i="13"/>
  <c r="L19" i="13"/>
  <c r="P19" i="13" s="1"/>
  <c r="AD18" i="13"/>
  <c r="AC18" i="13"/>
  <c r="AB18" i="13"/>
  <c r="AA18" i="13"/>
  <c r="Z18" i="13"/>
  <c r="AD17" i="13"/>
  <c r="AC17" i="13"/>
  <c r="AB17" i="13"/>
  <c r="AA17" i="13"/>
  <c r="Z17" i="13"/>
  <c r="AD16" i="13"/>
  <c r="AC16" i="13"/>
  <c r="AB16" i="13"/>
  <c r="AA16" i="13"/>
  <c r="Z16" i="13"/>
  <c r="AD15" i="13"/>
  <c r="AC15" i="13"/>
  <c r="AB15" i="13"/>
  <c r="AA15" i="13"/>
  <c r="Z15" i="13"/>
  <c r="AD14" i="13"/>
  <c r="AC14" i="13"/>
  <c r="AB14" i="13"/>
  <c r="AA14" i="13"/>
  <c r="Z14" i="13"/>
  <c r="AD13" i="13"/>
  <c r="AC13" i="13"/>
  <c r="AB13" i="13"/>
  <c r="AA13" i="13"/>
  <c r="Z13" i="13"/>
  <c r="J13" i="13"/>
  <c r="N13" i="13" s="1"/>
  <c r="AD12" i="13"/>
  <c r="AC12" i="13"/>
  <c r="AB12" i="13"/>
  <c r="AA12" i="13"/>
  <c r="Z12" i="13"/>
  <c r="J12" i="13"/>
  <c r="N12" i="13" s="1"/>
  <c r="AD11" i="13"/>
  <c r="AC11" i="13"/>
  <c r="AB11" i="13"/>
  <c r="AA11" i="13"/>
  <c r="Z11" i="13"/>
  <c r="AD10" i="13"/>
  <c r="AC10" i="13"/>
  <c r="AB10" i="13"/>
  <c r="AA10" i="13"/>
  <c r="Z10" i="13"/>
  <c r="AD9" i="13"/>
  <c r="AC9" i="13"/>
  <c r="AB9" i="13"/>
  <c r="AA9" i="13"/>
  <c r="Z9" i="13"/>
  <c r="F7" i="13"/>
  <c r="K57" i="13"/>
  <c r="O57" i="13" s="1"/>
  <c r="AD60" i="12"/>
  <c r="AC60" i="12"/>
  <c r="AB60" i="12"/>
  <c r="AA60" i="12"/>
  <c r="Z60" i="12"/>
  <c r="AD59" i="12"/>
  <c r="AC59" i="12"/>
  <c r="AB59" i="12"/>
  <c r="AA59" i="12"/>
  <c r="Z59" i="12"/>
  <c r="AD58" i="12"/>
  <c r="AC58" i="12"/>
  <c r="AB58" i="12"/>
  <c r="AA58" i="12"/>
  <c r="Z58" i="12"/>
  <c r="AD57" i="12"/>
  <c r="AC57" i="12"/>
  <c r="AB57" i="12"/>
  <c r="AA57" i="12"/>
  <c r="Z57" i="12"/>
  <c r="AD56" i="12"/>
  <c r="AC56" i="12"/>
  <c r="AB56" i="12"/>
  <c r="AA56" i="12"/>
  <c r="Z56" i="12"/>
  <c r="AD55" i="12"/>
  <c r="AC55" i="12"/>
  <c r="AB55" i="12"/>
  <c r="AA55" i="12"/>
  <c r="Z55" i="12"/>
  <c r="AD54" i="12"/>
  <c r="AC54" i="12"/>
  <c r="AB54" i="12"/>
  <c r="AA54" i="12"/>
  <c r="Z54" i="12"/>
  <c r="AD53" i="12"/>
  <c r="AC53" i="12"/>
  <c r="AB53" i="12"/>
  <c r="AA53" i="12"/>
  <c r="Z53" i="12"/>
  <c r="AD52" i="12"/>
  <c r="AC52" i="12"/>
  <c r="AB52" i="12"/>
  <c r="AA52" i="12"/>
  <c r="Z52" i="12"/>
  <c r="AD51" i="12"/>
  <c r="AC51" i="12"/>
  <c r="AB51" i="12"/>
  <c r="AA51" i="12"/>
  <c r="Z51" i="12"/>
  <c r="AD50" i="12"/>
  <c r="AC50" i="12"/>
  <c r="AB50" i="12"/>
  <c r="AA50" i="12"/>
  <c r="Z50" i="12"/>
  <c r="AD49" i="12"/>
  <c r="AC49" i="12"/>
  <c r="AB49" i="12"/>
  <c r="AA49" i="12"/>
  <c r="Z49" i="12"/>
  <c r="AD48" i="12"/>
  <c r="AC48" i="12"/>
  <c r="AB48" i="12"/>
  <c r="AA48" i="12"/>
  <c r="Z48" i="12"/>
  <c r="AD47" i="12"/>
  <c r="AC47" i="12"/>
  <c r="AB47" i="12"/>
  <c r="AA47" i="12"/>
  <c r="Z47" i="12"/>
  <c r="AD46" i="12"/>
  <c r="AC46" i="12"/>
  <c r="AB46" i="12"/>
  <c r="AA46" i="12"/>
  <c r="Z46" i="12"/>
  <c r="AD45" i="12"/>
  <c r="AC45" i="12"/>
  <c r="AB45" i="12"/>
  <c r="AA45" i="12"/>
  <c r="Z45" i="12"/>
  <c r="AD44" i="12"/>
  <c r="AC44" i="12"/>
  <c r="AB44" i="12"/>
  <c r="AA44" i="12"/>
  <c r="Z44" i="12"/>
  <c r="AD43" i="12"/>
  <c r="AC43" i="12"/>
  <c r="AB43" i="12"/>
  <c r="AA43" i="12"/>
  <c r="Z43" i="12"/>
  <c r="AD42" i="12"/>
  <c r="AC42" i="12"/>
  <c r="AB42" i="12"/>
  <c r="AA42" i="12"/>
  <c r="Z42" i="12"/>
  <c r="AD41" i="12"/>
  <c r="AC41" i="12"/>
  <c r="AB41" i="12"/>
  <c r="AA41" i="12"/>
  <c r="Z41" i="12"/>
  <c r="AD40" i="12"/>
  <c r="AC40" i="12"/>
  <c r="AB40" i="12"/>
  <c r="AA40" i="12"/>
  <c r="Z40" i="12"/>
  <c r="AD39" i="12"/>
  <c r="AC39" i="12"/>
  <c r="AB39" i="12"/>
  <c r="AA39" i="12"/>
  <c r="Z39" i="12"/>
  <c r="AD38" i="12"/>
  <c r="AC38" i="12"/>
  <c r="AB38" i="12"/>
  <c r="AA38" i="12"/>
  <c r="Z38" i="12"/>
  <c r="AD37" i="12"/>
  <c r="AC37" i="12"/>
  <c r="AB37" i="12"/>
  <c r="AA37" i="12"/>
  <c r="Z37" i="12"/>
  <c r="AD36" i="12"/>
  <c r="AC36" i="12"/>
  <c r="AB36" i="12"/>
  <c r="AA36" i="12"/>
  <c r="Z36" i="12"/>
  <c r="AD35" i="12"/>
  <c r="AC35" i="12"/>
  <c r="AB35" i="12"/>
  <c r="AA35" i="12"/>
  <c r="Z35" i="12"/>
  <c r="AD34" i="12"/>
  <c r="AC34" i="12"/>
  <c r="AB34" i="12"/>
  <c r="AA34" i="12"/>
  <c r="Z34" i="12"/>
  <c r="AD33" i="12"/>
  <c r="AC33" i="12"/>
  <c r="AB33" i="12"/>
  <c r="AA33" i="12"/>
  <c r="Z33" i="12"/>
  <c r="AD32" i="12"/>
  <c r="AC32" i="12"/>
  <c r="AB32" i="12"/>
  <c r="AA32" i="12"/>
  <c r="Z32" i="12"/>
  <c r="AD31" i="12"/>
  <c r="AC31" i="12"/>
  <c r="AB31" i="12"/>
  <c r="AA31" i="12"/>
  <c r="Z31" i="12"/>
  <c r="AE30" i="12"/>
  <c r="AD30" i="12"/>
  <c r="AC30" i="12"/>
  <c r="AB30" i="12"/>
  <c r="AA30" i="12"/>
  <c r="Z30" i="12"/>
  <c r="AD29" i="12"/>
  <c r="AC29" i="12"/>
  <c r="AB29" i="12"/>
  <c r="AA29" i="12"/>
  <c r="Z29" i="12"/>
  <c r="AD28" i="12"/>
  <c r="AC28" i="12"/>
  <c r="AB28" i="12"/>
  <c r="AA28" i="12"/>
  <c r="Z28" i="12"/>
  <c r="AD27" i="12"/>
  <c r="AC27" i="12"/>
  <c r="AB27" i="12"/>
  <c r="AA27" i="12"/>
  <c r="Z27" i="12"/>
  <c r="AD26" i="12"/>
  <c r="AC26" i="12"/>
  <c r="AB26" i="12"/>
  <c r="AA26" i="12"/>
  <c r="Z26" i="12"/>
  <c r="AD25" i="12"/>
  <c r="AC25" i="12"/>
  <c r="AB25" i="12"/>
  <c r="AA25" i="12"/>
  <c r="Z25" i="12"/>
  <c r="AD24" i="12"/>
  <c r="AC24" i="12"/>
  <c r="AB24" i="12"/>
  <c r="AA24" i="12"/>
  <c r="Z24" i="12"/>
  <c r="AD23" i="12"/>
  <c r="AC23" i="12"/>
  <c r="AB23" i="12"/>
  <c r="AA23" i="12"/>
  <c r="Z23" i="12"/>
  <c r="AD22" i="12"/>
  <c r="AC22" i="12"/>
  <c r="AB22" i="12"/>
  <c r="AA22" i="12"/>
  <c r="Z22" i="12"/>
  <c r="AD21" i="12"/>
  <c r="AC21" i="12"/>
  <c r="AB21" i="12"/>
  <c r="AA21" i="12"/>
  <c r="Z21" i="12"/>
  <c r="AD20" i="12"/>
  <c r="AC20" i="12"/>
  <c r="AB20" i="12"/>
  <c r="AA20" i="12"/>
  <c r="Z20" i="12"/>
  <c r="AD19" i="12"/>
  <c r="AC19" i="12"/>
  <c r="AB19" i="12"/>
  <c r="AA19" i="12"/>
  <c r="Z19" i="12"/>
  <c r="AD18" i="12"/>
  <c r="AC18" i="12"/>
  <c r="AB18" i="12"/>
  <c r="AA18" i="12"/>
  <c r="Z18" i="12"/>
  <c r="AD17" i="12"/>
  <c r="AC17" i="12"/>
  <c r="AB17" i="12"/>
  <c r="AA17" i="12"/>
  <c r="Z17" i="12"/>
  <c r="AD16" i="12"/>
  <c r="AC16" i="12"/>
  <c r="AB16" i="12"/>
  <c r="AA16" i="12"/>
  <c r="Z16" i="12"/>
  <c r="AD15" i="12"/>
  <c r="AC15" i="12"/>
  <c r="AB15" i="12"/>
  <c r="AA15" i="12"/>
  <c r="Z15" i="12"/>
  <c r="AD14" i="12"/>
  <c r="AC14" i="12"/>
  <c r="AB14" i="12"/>
  <c r="AA14" i="12"/>
  <c r="Z14" i="12"/>
  <c r="AD13" i="12"/>
  <c r="AC13" i="12"/>
  <c r="AB13" i="12"/>
  <c r="AA13" i="12"/>
  <c r="Z13" i="12"/>
  <c r="AD12" i="12"/>
  <c r="AC12" i="12"/>
  <c r="AB12" i="12"/>
  <c r="AA12" i="12"/>
  <c r="Z12" i="12"/>
  <c r="AD11" i="12"/>
  <c r="AC11" i="12"/>
  <c r="AB11" i="12"/>
  <c r="AA11" i="12"/>
  <c r="Z11" i="12"/>
  <c r="AD10" i="12"/>
  <c r="AC10" i="12"/>
  <c r="AB10" i="12"/>
  <c r="AA10" i="12"/>
  <c r="Z10" i="12"/>
  <c r="AD9" i="12"/>
  <c r="AC9" i="12"/>
  <c r="AB9" i="12"/>
  <c r="AA9" i="12"/>
  <c r="Z9" i="12"/>
  <c r="F7" i="12"/>
  <c r="K37" i="12"/>
  <c r="O37" i="12" s="1"/>
  <c r="AE60" i="11"/>
  <c r="AD60" i="11"/>
  <c r="AC60" i="11"/>
  <c r="AB60" i="11"/>
  <c r="AA60" i="11"/>
  <c r="Z60" i="11"/>
  <c r="AD59" i="11"/>
  <c r="AC59" i="11"/>
  <c r="AB59" i="11"/>
  <c r="AA59" i="11"/>
  <c r="Z59" i="11"/>
  <c r="J59" i="11"/>
  <c r="N59" i="11" s="1"/>
  <c r="AD58" i="11"/>
  <c r="AC58" i="11"/>
  <c r="AB58" i="11"/>
  <c r="AA58" i="11"/>
  <c r="Z58" i="11"/>
  <c r="AD57" i="11"/>
  <c r="AC57" i="11"/>
  <c r="AB57" i="11"/>
  <c r="AA57" i="11"/>
  <c r="Z57" i="11"/>
  <c r="L57" i="11"/>
  <c r="P57" i="11" s="1"/>
  <c r="AD56" i="11"/>
  <c r="AC56" i="11"/>
  <c r="AB56" i="11"/>
  <c r="AA56" i="11"/>
  <c r="Z56" i="11"/>
  <c r="AD55" i="11"/>
  <c r="AC55" i="11"/>
  <c r="AB55" i="11"/>
  <c r="AA55" i="11"/>
  <c r="Z55" i="11"/>
  <c r="AD54" i="11"/>
  <c r="AC54" i="11"/>
  <c r="AB54" i="11"/>
  <c r="AA54" i="11"/>
  <c r="Z54" i="11"/>
  <c r="AD53" i="11"/>
  <c r="AC53" i="11"/>
  <c r="AB53" i="11"/>
  <c r="AA53" i="11"/>
  <c r="Z53" i="11"/>
  <c r="AD52" i="11"/>
  <c r="AC52" i="11"/>
  <c r="AB52" i="11"/>
  <c r="AA52" i="11"/>
  <c r="Z52" i="11"/>
  <c r="J52" i="11"/>
  <c r="N52" i="11" s="1"/>
  <c r="AD51" i="11"/>
  <c r="AC51" i="11"/>
  <c r="AB51" i="11"/>
  <c r="AA51" i="11"/>
  <c r="Z51" i="11"/>
  <c r="AD50" i="11"/>
  <c r="AC50" i="11"/>
  <c r="AB50" i="11"/>
  <c r="AA50" i="11"/>
  <c r="Z50" i="11"/>
  <c r="AD49" i="11"/>
  <c r="AC49" i="11"/>
  <c r="AB49" i="11"/>
  <c r="AA49" i="11"/>
  <c r="Z49" i="11"/>
  <c r="AD48" i="11"/>
  <c r="AC48" i="11"/>
  <c r="AB48" i="11"/>
  <c r="AA48" i="11"/>
  <c r="Z48" i="11"/>
  <c r="AD47" i="11"/>
  <c r="AC47" i="11"/>
  <c r="AB47" i="11"/>
  <c r="AA47" i="11"/>
  <c r="Z47" i="11"/>
  <c r="AD46" i="11"/>
  <c r="AC46" i="11"/>
  <c r="AB46" i="11"/>
  <c r="AA46" i="11"/>
  <c r="Z46" i="11"/>
  <c r="AD45" i="11"/>
  <c r="AC45" i="11"/>
  <c r="AB45" i="11"/>
  <c r="AA45" i="11"/>
  <c r="Z45" i="11"/>
  <c r="AD44" i="11"/>
  <c r="AC44" i="11"/>
  <c r="AB44" i="11"/>
  <c r="AA44" i="11"/>
  <c r="Z44" i="11"/>
  <c r="AD43" i="11"/>
  <c r="AC43" i="11"/>
  <c r="AB43" i="11"/>
  <c r="AA43" i="11"/>
  <c r="Z43" i="11"/>
  <c r="AD42" i="11"/>
  <c r="AC42" i="11"/>
  <c r="AB42" i="11"/>
  <c r="AA42" i="11"/>
  <c r="Z42" i="11"/>
  <c r="AD41" i="11"/>
  <c r="AC41" i="11"/>
  <c r="AB41" i="11"/>
  <c r="AA41" i="11"/>
  <c r="Z41" i="11"/>
  <c r="AD40" i="11"/>
  <c r="AC40" i="11"/>
  <c r="AB40" i="11"/>
  <c r="AA40" i="11"/>
  <c r="Z40" i="11"/>
  <c r="AD39" i="11"/>
  <c r="AC39" i="11"/>
  <c r="AB39" i="11"/>
  <c r="AA39" i="11"/>
  <c r="Z39" i="11"/>
  <c r="AD38" i="11"/>
  <c r="AC38" i="11"/>
  <c r="AB38" i="11"/>
  <c r="AA38" i="11"/>
  <c r="Z38" i="11"/>
  <c r="AD37" i="11"/>
  <c r="AC37" i="11"/>
  <c r="AB37" i="11"/>
  <c r="AA37" i="11"/>
  <c r="Z37" i="11"/>
  <c r="AD36" i="11"/>
  <c r="AC36" i="11"/>
  <c r="AB36" i="11"/>
  <c r="AA36" i="11"/>
  <c r="Z36" i="11"/>
  <c r="AD35" i="11"/>
  <c r="AC35" i="11"/>
  <c r="AB35" i="11"/>
  <c r="AA35" i="11"/>
  <c r="Z35" i="11"/>
  <c r="K35" i="11"/>
  <c r="O35" i="11" s="1"/>
  <c r="AD34" i="11"/>
  <c r="AC34" i="11"/>
  <c r="AB34" i="11"/>
  <c r="AA34" i="11"/>
  <c r="Z34" i="11"/>
  <c r="AD33" i="11"/>
  <c r="AC33" i="11"/>
  <c r="AB33" i="11"/>
  <c r="AA33" i="11"/>
  <c r="Z33" i="11"/>
  <c r="AD32" i="11"/>
  <c r="AC32" i="11"/>
  <c r="AB32" i="11"/>
  <c r="AA32" i="11"/>
  <c r="Z32" i="11"/>
  <c r="AD31" i="11"/>
  <c r="AC31" i="11"/>
  <c r="AB31" i="11"/>
  <c r="AA31" i="11"/>
  <c r="Z31" i="11"/>
  <c r="L31" i="11"/>
  <c r="P31" i="11" s="1"/>
  <c r="AD30" i="11"/>
  <c r="AC30" i="11"/>
  <c r="AB30" i="11"/>
  <c r="AA30" i="11"/>
  <c r="Z30" i="11"/>
  <c r="AD29" i="11"/>
  <c r="AC29" i="11"/>
  <c r="AB29" i="11"/>
  <c r="AA29" i="11"/>
  <c r="Z29" i="11"/>
  <c r="M29" i="11"/>
  <c r="AD28" i="11"/>
  <c r="AC28" i="11"/>
  <c r="AB28" i="11"/>
  <c r="AA28" i="11"/>
  <c r="Z28" i="11"/>
  <c r="N28" i="11"/>
  <c r="AD27" i="11"/>
  <c r="AC27" i="11"/>
  <c r="AB27" i="11"/>
  <c r="AA27" i="11"/>
  <c r="Z27" i="11"/>
  <c r="AD26" i="11"/>
  <c r="AC26" i="11"/>
  <c r="AB26" i="11"/>
  <c r="AA26" i="11"/>
  <c r="Z26" i="11"/>
  <c r="K26" i="11"/>
  <c r="O26" i="11" s="1"/>
  <c r="AD25" i="11"/>
  <c r="AC25" i="11"/>
  <c r="AB25" i="11"/>
  <c r="AA25" i="11"/>
  <c r="Z25" i="11"/>
  <c r="N25" i="11"/>
  <c r="AD24" i="11"/>
  <c r="AC24" i="11"/>
  <c r="AB24" i="11"/>
  <c r="AA24" i="11"/>
  <c r="Z24" i="11"/>
  <c r="N24" i="11"/>
  <c r="AD23" i="11"/>
  <c r="AC23" i="11"/>
  <c r="AB23" i="11"/>
  <c r="AA23" i="11"/>
  <c r="Z23" i="11"/>
  <c r="K23" i="11"/>
  <c r="O23" i="11" s="1"/>
  <c r="AD22" i="11"/>
  <c r="AC22" i="11"/>
  <c r="AB22" i="11"/>
  <c r="AA22" i="11"/>
  <c r="Z22" i="11"/>
  <c r="L22" i="11"/>
  <c r="P22" i="11" s="1"/>
  <c r="AD21" i="11"/>
  <c r="AC21" i="11"/>
  <c r="AB21" i="11"/>
  <c r="AA21" i="11"/>
  <c r="Z21" i="11"/>
  <c r="AE20" i="11"/>
  <c r="AD20" i="11"/>
  <c r="AC20" i="11"/>
  <c r="AB20" i="11"/>
  <c r="AA20" i="11"/>
  <c r="Z20" i="11"/>
  <c r="L20" i="11"/>
  <c r="P20" i="11" s="1"/>
  <c r="U20" i="11" s="1"/>
  <c r="N20" i="11"/>
  <c r="M20" i="11"/>
  <c r="AD19" i="11"/>
  <c r="AC19" i="11"/>
  <c r="AB19" i="11"/>
  <c r="AA19" i="11"/>
  <c r="Z19" i="11"/>
  <c r="K19" i="11"/>
  <c r="O19" i="11" s="1"/>
  <c r="N19" i="11"/>
  <c r="AD18" i="11"/>
  <c r="AC18" i="11"/>
  <c r="AB18" i="11"/>
  <c r="AA18" i="11"/>
  <c r="Z18" i="11"/>
  <c r="L18" i="11"/>
  <c r="P18" i="11" s="1"/>
  <c r="K18" i="11"/>
  <c r="O18" i="11" s="1"/>
  <c r="AD17" i="11"/>
  <c r="AC17" i="11"/>
  <c r="AB17" i="11"/>
  <c r="AA17" i="11"/>
  <c r="Z17" i="11"/>
  <c r="AE16" i="11"/>
  <c r="AD16" i="11"/>
  <c r="AC16" i="11"/>
  <c r="AB16" i="11"/>
  <c r="AA16" i="11"/>
  <c r="Z16" i="11"/>
  <c r="N16" i="11"/>
  <c r="AD15" i="11"/>
  <c r="AC15" i="11"/>
  <c r="AB15" i="11"/>
  <c r="AA15" i="11"/>
  <c r="Z15" i="11"/>
  <c r="L15" i="11"/>
  <c r="P15" i="11" s="1"/>
  <c r="AD14" i="11"/>
  <c r="AC14" i="11"/>
  <c r="AB14" i="11"/>
  <c r="AA14" i="11"/>
  <c r="Z14" i="11"/>
  <c r="L14" i="11"/>
  <c r="P14" i="11" s="1"/>
  <c r="AE13" i="11"/>
  <c r="AD13" i="11"/>
  <c r="AC13" i="11"/>
  <c r="AB13" i="11"/>
  <c r="AA13" i="11"/>
  <c r="Z13" i="11"/>
  <c r="M13" i="11"/>
  <c r="AE12" i="11"/>
  <c r="AD12" i="11"/>
  <c r="AC12" i="11"/>
  <c r="AB12" i="11"/>
  <c r="AA12" i="11"/>
  <c r="Z12" i="11"/>
  <c r="L12" i="11"/>
  <c r="P12" i="11" s="1"/>
  <c r="N12" i="11"/>
  <c r="M12" i="11"/>
  <c r="AD11" i="11"/>
  <c r="AC11" i="11"/>
  <c r="AB11" i="11"/>
  <c r="AA11" i="11"/>
  <c r="Z11" i="11"/>
  <c r="K11" i="11"/>
  <c r="O11" i="11" s="1"/>
  <c r="N11" i="11"/>
  <c r="AD10" i="11"/>
  <c r="AC10" i="11"/>
  <c r="AB10" i="11"/>
  <c r="AA10" i="11"/>
  <c r="Z10" i="11"/>
  <c r="AD9" i="11"/>
  <c r="AC9" i="11"/>
  <c r="AB9" i="11"/>
  <c r="AA9" i="11"/>
  <c r="Z9" i="11"/>
  <c r="L9" i="11"/>
  <c r="P9" i="11" s="1"/>
  <c r="F7" i="11"/>
  <c r="K55" i="11"/>
  <c r="O55" i="11" s="1"/>
  <c r="AD60" i="10"/>
  <c r="AC60" i="10"/>
  <c r="AB60" i="10"/>
  <c r="AA60" i="10"/>
  <c r="Z60" i="10"/>
  <c r="AD59" i="10"/>
  <c r="AC59" i="10"/>
  <c r="AB59" i="10"/>
  <c r="AA59" i="10"/>
  <c r="Z59" i="10"/>
  <c r="AD58" i="10"/>
  <c r="AC58" i="10"/>
  <c r="AB58" i="10"/>
  <c r="AA58" i="10"/>
  <c r="Z58" i="10"/>
  <c r="AD57" i="10"/>
  <c r="AC57" i="10"/>
  <c r="AB57" i="10"/>
  <c r="AA57" i="10"/>
  <c r="Z57" i="10"/>
  <c r="AD56" i="10"/>
  <c r="AC56" i="10"/>
  <c r="AB56" i="10"/>
  <c r="AA56" i="10"/>
  <c r="Z56" i="10"/>
  <c r="AD55" i="10"/>
  <c r="AC55" i="10"/>
  <c r="AB55" i="10"/>
  <c r="AA55" i="10"/>
  <c r="Z55" i="10"/>
  <c r="AD54" i="10"/>
  <c r="AC54" i="10"/>
  <c r="AB54" i="10"/>
  <c r="AA54" i="10"/>
  <c r="Z54" i="10"/>
  <c r="AD53" i="10"/>
  <c r="AC53" i="10"/>
  <c r="AB53" i="10"/>
  <c r="AA53" i="10"/>
  <c r="Z53" i="10"/>
  <c r="AD52" i="10"/>
  <c r="AC52" i="10"/>
  <c r="AB52" i="10"/>
  <c r="AA52" i="10"/>
  <c r="Z52" i="10"/>
  <c r="AD51" i="10"/>
  <c r="AC51" i="10"/>
  <c r="AB51" i="10"/>
  <c r="AA51" i="10"/>
  <c r="Z51" i="10"/>
  <c r="AD50" i="10"/>
  <c r="AC50" i="10"/>
  <c r="AB50" i="10"/>
  <c r="AA50" i="10"/>
  <c r="Z50" i="10"/>
  <c r="AD49" i="10"/>
  <c r="AC49" i="10"/>
  <c r="AB49" i="10"/>
  <c r="AA49" i="10"/>
  <c r="Z49" i="10"/>
  <c r="AD48" i="10"/>
  <c r="AC48" i="10"/>
  <c r="AB48" i="10"/>
  <c r="AA48" i="10"/>
  <c r="Z48" i="10"/>
  <c r="AD47" i="10"/>
  <c r="AC47" i="10"/>
  <c r="AB47" i="10"/>
  <c r="AA47" i="10"/>
  <c r="Z47" i="10"/>
  <c r="AD46" i="10"/>
  <c r="AC46" i="10"/>
  <c r="AB46" i="10"/>
  <c r="AA46" i="10"/>
  <c r="Z46" i="10"/>
  <c r="AD45" i="10"/>
  <c r="AC45" i="10"/>
  <c r="AB45" i="10"/>
  <c r="AA45" i="10"/>
  <c r="Z45" i="10"/>
  <c r="AD44" i="10"/>
  <c r="AC44" i="10"/>
  <c r="AB44" i="10"/>
  <c r="AA44" i="10"/>
  <c r="Z44" i="10"/>
  <c r="AD43" i="10"/>
  <c r="AC43" i="10"/>
  <c r="AB43" i="10"/>
  <c r="AA43" i="10"/>
  <c r="Z43" i="10"/>
  <c r="AD42" i="10"/>
  <c r="AC42" i="10"/>
  <c r="AB42" i="10"/>
  <c r="AA42" i="10"/>
  <c r="Z42" i="10"/>
  <c r="AD41" i="10"/>
  <c r="AC41" i="10"/>
  <c r="AB41" i="10"/>
  <c r="AA41" i="10"/>
  <c r="Z41" i="10"/>
  <c r="AD40" i="10"/>
  <c r="AC40" i="10"/>
  <c r="AB40" i="10"/>
  <c r="AA40" i="10"/>
  <c r="Z40" i="10"/>
  <c r="AD39" i="10"/>
  <c r="AC39" i="10"/>
  <c r="AB39" i="10"/>
  <c r="AA39" i="10"/>
  <c r="Z39" i="10"/>
  <c r="AD38" i="10"/>
  <c r="AC38" i="10"/>
  <c r="AB38" i="10"/>
  <c r="AA38" i="10"/>
  <c r="Z38" i="10"/>
  <c r="AD37" i="10"/>
  <c r="AC37" i="10"/>
  <c r="AB37" i="10"/>
  <c r="AA37" i="10"/>
  <c r="Z37" i="10"/>
  <c r="AD36" i="10"/>
  <c r="AC36" i="10"/>
  <c r="AB36" i="10"/>
  <c r="AA36" i="10"/>
  <c r="Z36" i="10"/>
  <c r="AD35" i="10"/>
  <c r="AC35" i="10"/>
  <c r="AB35" i="10"/>
  <c r="AA35" i="10"/>
  <c r="Z35" i="10"/>
  <c r="AD34" i="10"/>
  <c r="AC34" i="10"/>
  <c r="AB34" i="10"/>
  <c r="AA34" i="10"/>
  <c r="Z34" i="10"/>
  <c r="AD33" i="10"/>
  <c r="AC33" i="10"/>
  <c r="AB33" i="10"/>
  <c r="AA33" i="10"/>
  <c r="Z33" i="10"/>
  <c r="AD32" i="10"/>
  <c r="AC32" i="10"/>
  <c r="AB32" i="10"/>
  <c r="AA32" i="10"/>
  <c r="Z32" i="10"/>
  <c r="AD31" i="10"/>
  <c r="AC31" i="10"/>
  <c r="AB31" i="10"/>
  <c r="AA31" i="10"/>
  <c r="Z31" i="10"/>
  <c r="AD30" i="10"/>
  <c r="AC30" i="10"/>
  <c r="AB30" i="10"/>
  <c r="AA30" i="10"/>
  <c r="Z30" i="10"/>
  <c r="AD29" i="10"/>
  <c r="AC29" i="10"/>
  <c r="AB29" i="10"/>
  <c r="AA29" i="10"/>
  <c r="Z29" i="10"/>
  <c r="AD28" i="10"/>
  <c r="AC28" i="10"/>
  <c r="AB28" i="10"/>
  <c r="AA28" i="10"/>
  <c r="Z28" i="10"/>
  <c r="AD27" i="10"/>
  <c r="AC27" i="10"/>
  <c r="AB27" i="10"/>
  <c r="AA27" i="10"/>
  <c r="Z27" i="10"/>
  <c r="AD26" i="10"/>
  <c r="AC26" i="10"/>
  <c r="AB26" i="10"/>
  <c r="AA26" i="10"/>
  <c r="Z26" i="10"/>
  <c r="AD25" i="10"/>
  <c r="AC25" i="10"/>
  <c r="AB25" i="10"/>
  <c r="AA25" i="10"/>
  <c r="Z25" i="10"/>
  <c r="AD24" i="10"/>
  <c r="AC24" i="10"/>
  <c r="AB24" i="10"/>
  <c r="AA24" i="10"/>
  <c r="Z24" i="10"/>
  <c r="AD23" i="10"/>
  <c r="AC23" i="10"/>
  <c r="AB23" i="10"/>
  <c r="AA23" i="10"/>
  <c r="Z23" i="10"/>
  <c r="AD22" i="10"/>
  <c r="AC22" i="10"/>
  <c r="AB22" i="10"/>
  <c r="AA22" i="10"/>
  <c r="Z22" i="10"/>
  <c r="AD21" i="10"/>
  <c r="AC21" i="10"/>
  <c r="AB21" i="10"/>
  <c r="AA21" i="10"/>
  <c r="Z21" i="10"/>
  <c r="AD20" i="10"/>
  <c r="AC20" i="10"/>
  <c r="AB20" i="10"/>
  <c r="AA20" i="10"/>
  <c r="Z20" i="10"/>
  <c r="AD19" i="10"/>
  <c r="AC19" i="10"/>
  <c r="AB19" i="10"/>
  <c r="AA19" i="10"/>
  <c r="Z19" i="10"/>
  <c r="AD18" i="10"/>
  <c r="AC18" i="10"/>
  <c r="AB18" i="10"/>
  <c r="AA18" i="10"/>
  <c r="Z18" i="10"/>
  <c r="AD17" i="10"/>
  <c r="AC17" i="10"/>
  <c r="AB17" i="10"/>
  <c r="AA17" i="10"/>
  <c r="Z17" i="10"/>
  <c r="AD16" i="10"/>
  <c r="AC16" i="10"/>
  <c r="AB16" i="10"/>
  <c r="AA16" i="10"/>
  <c r="Z16" i="10"/>
  <c r="AD15" i="10"/>
  <c r="AC15" i="10"/>
  <c r="AB15" i="10"/>
  <c r="AA15" i="10"/>
  <c r="Z15" i="10"/>
  <c r="AD14" i="10"/>
  <c r="AC14" i="10"/>
  <c r="AB14" i="10"/>
  <c r="AA14" i="10"/>
  <c r="Z14" i="10"/>
  <c r="AD13" i="10"/>
  <c r="AC13" i="10"/>
  <c r="AB13" i="10"/>
  <c r="AA13" i="10"/>
  <c r="Z13" i="10"/>
  <c r="AD12" i="10"/>
  <c r="AC12" i="10"/>
  <c r="AB12" i="10"/>
  <c r="AA12" i="10"/>
  <c r="Z12" i="10"/>
  <c r="AD11" i="10"/>
  <c r="AC11" i="10"/>
  <c r="AB11" i="10"/>
  <c r="AA11" i="10"/>
  <c r="Z11" i="10"/>
  <c r="AD10" i="10"/>
  <c r="AC10" i="10"/>
  <c r="AB10" i="10"/>
  <c r="AA10" i="10"/>
  <c r="Z10" i="10"/>
  <c r="AD9" i="10"/>
  <c r="AC9" i="10"/>
  <c r="AB9" i="10"/>
  <c r="AA9" i="10"/>
  <c r="Z9" i="10"/>
  <c r="F7" i="10"/>
  <c r="L44" i="10"/>
  <c r="P44" i="10" s="1"/>
  <c r="AD60" i="9"/>
  <c r="AC60" i="9"/>
  <c r="AB60" i="9"/>
  <c r="AA60" i="9"/>
  <c r="Z60" i="9"/>
  <c r="AD59" i="9"/>
  <c r="AC59" i="9"/>
  <c r="AB59" i="9"/>
  <c r="AA59" i="9"/>
  <c r="Z59" i="9"/>
  <c r="AD58" i="9"/>
  <c r="AC58" i="9"/>
  <c r="AB58" i="9"/>
  <c r="AA58" i="9"/>
  <c r="Z58" i="9"/>
  <c r="AD57" i="9"/>
  <c r="AC57" i="9"/>
  <c r="AB57" i="9"/>
  <c r="AA57" i="9"/>
  <c r="Z57" i="9"/>
  <c r="AD56" i="9"/>
  <c r="AC56" i="9"/>
  <c r="AB56" i="9"/>
  <c r="AA56" i="9"/>
  <c r="Z56" i="9"/>
  <c r="AD55" i="9"/>
  <c r="AC55" i="9"/>
  <c r="AB55" i="9"/>
  <c r="AA55" i="9"/>
  <c r="Z55" i="9"/>
  <c r="AD54" i="9"/>
  <c r="AC54" i="9"/>
  <c r="AB54" i="9"/>
  <c r="AA54" i="9"/>
  <c r="Z54" i="9"/>
  <c r="AD53" i="9"/>
  <c r="AC53" i="9"/>
  <c r="AB53" i="9"/>
  <c r="AA53" i="9"/>
  <c r="Z53" i="9"/>
  <c r="AD52" i="9"/>
  <c r="AC52" i="9"/>
  <c r="AB52" i="9"/>
  <c r="AA52" i="9"/>
  <c r="Z52" i="9"/>
  <c r="AD51" i="9"/>
  <c r="AC51" i="9"/>
  <c r="AB51" i="9"/>
  <c r="AA51" i="9"/>
  <c r="Z51" i="9"/>
  <c r="AD50" i="9"/>
  <c r="AC50" i="9"/>
  <c r="AB50" i="9"/>
  <c r="AA50" i="9"/>
  <c r="Z50" i="9"/>
  <c r="AD49" i="9"/>
  <c r="AC49" i="9"/>
  <c r="AB49" i="9"/>
  <c r="AA49" i="9"/>
  <c r="Z49" i="9"/>
  <c r="AD48" i="9"/>
  <c r="AC48" i="9"/>
  <c r="AB48" i="9"/>
  <c r="AA48" i="9"/>
  <c r="Z48" i="9"/>
  <c r="AD47" i="9"/>
  <c r="AC47" i="9"/>
  <c r="AB47" i="9"/>
  <c r="AA47" i="9"/>
  <c r="Z47" i="9"/>
  <c r="AD46" i="9"/>
  <c r="AC46" i="9"/>
  <c r="AB46" i="9"/>
  <c r="AA46" i="9"/>
  <c r="Z46" i="9"/>
  <c r="AD45" i="9"/>
  <c r="AC45" i="9"/>
  <c r="AB45" i="9"/>
  <c r="AA45" i="9"/>
  <c r="Z45" i="9"/>
  <c r="AD44" i="9"/>
  <c r="AC44" i="9"/>
  <c r="AB44" i="9"/>
  <c r="AA44" i="9"/>
  <c r="Z44" i="9"/>
  <c r="AD43" i="9"/>
  <c r="AC43" i="9"/>
  <c r="AB43" i="9"/>
  <c r="AA43" i="9"/>
  <c r="Z43" i="9"/>
  <c r="AD42" i="9"/>
  <c r="AC42" i="9"/>
  <c r="AB42" i="9"/>
  <c r="AA42" i="9"/>
  <c r="Z42" i="9"/>
  <c r="K42" i="9"/>
  <c r="O42" i="9" s="1"/>
  <c r="AD41" i="9"/>
  <c r="AC41" i="9"/>
  <c r="AB41" i="9"/>
  <c r="AA41" i="9"/>
  <c r="Z41" i="9"/>
  <c r="AD40" i="9"/>
  <c r="AC40" i="9"/>
  <c r="AB40" i="9"/>
  <c r="AA40" i="9"/>
  <c r="Z40" i="9"/>
  <c r="AD39" i="9"/>
  <c r="AC39" i="9"/>
  <c r="AB39" i="9"/>
  <c r="AA39" i="9"/>
  <c r="Z39" i="9"/>
  <c r="AD38" i="9"/>
  <c r="AC38" i="9"/>
  <c r="AB38" i="9"/>
  <c r="AA38" i="9"/>
  <c r="Z38" i="9"/>
  <c r="AD37" i="9"/>
  <c r="AC37" i="9"/>
  <c r="AB37" i="9"/>
  <c r="AA37" i="9"/>
  <c r="Z37" i="9"/>
  <c r="AD36" i="9"/>
  <c r="AC36" i="9"/>
  <c r="AB36" i="9"/>
  <c r="AA36" i="9"/>
  <c r="Z36" i="9"/>
  <c r="AD35" i="9"/>
  <c r="AC35" i="9"/>
  <c r="AB35" i="9"/>
  <c r="AA35" i="9"/>
  <c r="Z35" i="9"/>
  <c r="AD34" i="9"/>
  <c r="AC34" i="9"/>
  <c r="AB34" i="9"/>
  <c r="AA34" i="9"/>
  <c r="Z34" i="9"/>
  <c r="K34" i="9"/>
  <c r="O34" i="9" s="1"/>
  <c r="AD33" i="9"/>
  <c r="AC33" i="9"/>
  <c r="AB33" i="9"/>
  <c r="AA33" i="9"/>
  <c r="Z33" i="9"/>
  <c r="AD32" i="9"/>
  <c r="AC32" i="9"/>
  <c r="AB32" i="9"/>
  <c r="AA32" i="9"/>
  <c r="Z32" i="9"/>
  <c r="AD31" i="9"/>
  <c r="AC31" i="9"/>
  <c r="AB31" i="9"/>
  <c r="AA31" i="9"/>
  <c r="Z31" i="9"/>
  <c r="AD30" i="9"/>
  <c r="AC30" i="9"/>
  <c r="AB30" i="9"/>
  <c r="AA30" i="9"/>
  <c r="Z30" i="9"/>
  <c r="AD29" i="9"/>
  <c r="AC29" i="9"/>
  <c r="AB29" i="9"/>
  <c r="AA29" i="9"/>
  <c r="Z29" i="9"/>
  <c r="AD28" i="9"/>
  <c r="AC28" i="9"/>
  <c r="AB28" i="9"/>
  <c r="AA28" i="9"/>
  <c r="Z28" i="9"/>
  <c r="AD27" i="9"/>
  <c r="AC27" i="9"/>
  <c r="AB27" i="9"/>
  <c r="AA27" i="9"/>
  <c r="Z27" i="9"/>
  <c r="L27" i="9"/>
  <c r="P27" i="9" s="1"/>
  <c r="T27" i="9" s="1"/>
  <c r="AD26" i="9"/>
  <c r="AC26" i="9"/>
  <c r="AB26" i="9"/>
  <c r="AA26" i="9"/>
  <c r="Z26" i="9"/>
  <c r="AD25" i="9"/>
  <c r="AC25" i="9"/>
  <c r="AB25" i="9"/>
  <c r="AA25" i="9"/>
  <c r="Z25" i="9"/>
  <c r="AD24" i="9"/>
  <c r="AC24" i="9"/>
  <c r="AB24" i="9"/>
  <c r="AA24" i="9"/>
  <c r="Z24" i="9"/>
  <c r="AD23" i="9"/>
  <c r="AC23" i="9"/>
  <c r="AB23" i="9"/>
  <c r="AA23" i="9"/>
  <c r="Z23" i="9"/>
  <c r="AD22" i="9"/>
  <c r="AC22" i="9"/>
  <c r="AB22" i="9"/>
  <c r="AA22" i="9"/>
  <c r="Z22" i="9"/>
  <c r="AD21" i="9"/>
  <c r="AC21" i="9"/>
  <c r="AB21" i="9"/>
  <c r="AA21" i="9"/>
  <c r="Z21" i="9"/>
  <c r="AD20" i="9"/>
  <c r="AC20" i="9"/>
  <c r="AB20" i="9"/>
  <c r="AA20" i="9"/>
  <c r="Z20" i="9"/>
  <c r="AD19" i="9"/>
  <c r="AC19" i="9"/>
  <c r="AB19" i="9"/>
  <c r="AA19" i="9"/>
  <c r="Z19" i="9"/>
  <c r="L19" i="9"/>
  <c r="P19" i="9" s="1"/>
  <c r="AD18" i="9"/>
  <c r="AC18" i="9"/>
  <c r="AB18" i="9"/>
  <c r="AA18" i="9"/>
  <c r="Z18" i="9"/>
  <c r="AD17" i="9"/>
  <c r="AC17" i="9"/>
  <c r="AB17" i="9"/>
  <c r="AA17" i="9"/>
  <c r="Z17" i="9"/>
  <c r="AD16" i="9"/>
  <c r="AC16" i="9"/>
  <c r="AB16" i="9"/>
  <c r="AA16" i="9"/>
  <c r="Z16" i="9"/>
  <c r="AD15" i="9"/>
  <c r="AC15" i="9"/>
  <c r="AB15" i="9"/>
  <c r="AA15" i="9"/>
  <c r="Z15" i="9"/>
  <c r="AD14" i="9"/>
  <c r="AC14" i="9"/>
  <c r="AB14" i="9"/>
  <c r="AA14" i="9"/>
  <c r="Z14" i="9"/>
  <c r="AD13" i="9"/>
  <c r="AC13" i="9"/>
  <c r="AB13" i="9"/>
  <c r="AA13" i="9"/>
  <c r="Z13" i="9"/>
  <c r="AD12" i="9"/>
  <c r="AC12" i="9"/>
  <c r="AB12" i="9"/>
  <c r="AA12" i="9"/>
  <c r="Z12" i="9"/>
  <c r="AD11" i="9"/>
  <c r="AC11" i="9"/>
  <c r="AB11" i="9"/>
  <c r="AA11" i="9"/>
  <c r="Z11" i="9"/>
  <c r="AD10" i="9"/>
  <c r="AC10" i="9"/>
  <c r="AB10" i="9"/>
  <c r="AA10" i="9"/>
  <c r="Z10" i="9"/>
  <c r="L10" i="9"/>
  <c r="P10" i="9" s="1"/>
  <c r="AD9" i="9"/>
  <c r="AC9" i="9"/>
  <c r="AB9" i="9"/>
  <c r="AA9" i="9"/>
  <c r="Z9" i="9"/>
  <c r="F7" i="9"/>
  <c r="AE59" i="9"/>
  <c r="AD60" i="8"/>
  <c r="AC60" i="8"/>
  <c r="AB60" i="8"/>
  <c r="AA60" i="8"/>
  <c r="Z60" i="8"/>
  <c r="AD59" i="8"/>
  <c r="AC59" i="8"/>
  <c r="AB59" i="8"/>
  <c r="AA59" i="8"/>
  <c r="Z59" i="8"/>
  <c r="AD58" i="8"/>
  <c r="AC58" i="8"/>
  <c r="AB58" i="8"/>
  <c r="AA58" i="8"/>
  <c r="Z58" i="8"/>
  <c r="AD57" i="8"/>
  <c r="AC57" i="8"/>
  <c r="AB57" i="8"/>
  <c r="AA57" i="8"/>
  <c r="Z57" i="8"/>
  <c r="AD56" i="8"/>
  <c r="AC56" i="8"/>
  <c r="AB56" i="8"/>
  <c r="AA56" i="8"/>
  <c r="Z56" i="8"/>
  <c r="I56" i="8"/>
  <c r="M56" i="8" s="1"/>
  <c r="AD55" i="8"/>
  <c r="AC55" i="8"/>
  <c r="AB55" i="8"/>
  <c r="AA55" i="8"/>
  <c r="Z55" i="8"/>
  <c r="AD54" i="8"/>
  <c r="AC54" i="8"/>
  <c r="AB54" i="8"/>
  <c r="AA54" i="8"/>
  <c r="Z54" i="8"/>
  <c r="AD53" i="8"/>
  <c r="AC53" i="8"/>
  <c r="AB53" i="8"/>
  <c r="AA53" i="8"/>
  <c r="Z53" i="8"/>
  <c r="AD52" i="8"/>
  <c r="AC52" i="8"/>
  <c r="AB52" i="8"/>
  <c r="AA52" i="8"/>
  <c r="Z52" i="8"/>
  <c r="AD51" i="8"/>
  <c r="AC51" i="8"/>
  <c r="AB51" i="8"/>
  <c r="AA51" i="8"/>
  <c r="Z51" i="8"/>
  <c r="AD50" i="8"/>
  <c r="AC50" i="8"/>
  <c r="AB50" i="8"/>
  <c r="AA50" i="8"/>
  <c r="Z50" i="8"/>
  <c r="AD49" i="8"/>
  <c r="AC49" i="8"/>
  <c r="AB49" i="8"/>
  <c r="AA49" i="8"/>
  <c r="Z49" i="8"/>
  <c r="AD48" i="8"/>
  <c r="AC48" i="8"/>
  <c r="AB48" i="8"/>
  <c r="AA48" i="8"/>
  <c r="Z48" i="8"/>
  <c r="I48" i="8"/>
  <c r="M48" i="8" s="1"/>
  <c r="AD47" i="8"/>
  <c r="AC47" i="8"/>
  <c r="AB47" i="8"/>
  <c r="AA47" i="8"/>
  <c r="Z47" i="8"/>
  <c r="AD46" i="8"/>
  <c r="AC46" i="8"/>
  <c r="AB46" i="8"/>
  <c r="AA46" i="8"/>
  <c r="Z46" i="8"/>
  <c r="AD45" i="8"/>
  <c r="AC45" i="8"/>
  <c r="AB45" i="8"/>
  <c r="AA45" i="8"/>
  <c r="Z45" i="8"/>
  <c r="AD44" i="8"/>
  <c r="AC44" i="8"/>
  <c r="AB44" i="8"/>
  <c r="AA44" i="8"/>
  <c r="Z44" i="8"/>
  <c r="L44" i="8"/>
  <c r="P44" i="8" s="1"/>
  <c r="U44" i="8" s="1"/>
  <c r="AD43" i="8"/>
  <c r="AC43" i="8"/>
  <c r="AB43" i="8"/>
  <c r="AA43" i="8"/>
  <c r="Z43" i="8"/>
  <c r="J43" i="8"/>
  <c r="N43" i="8" s="1"/>
  <c r="AD42" i="8"/>
  <c r="AC42" i="8"/>
  <c r="AB42" i="8"/>
  <c r="AA42" i="8"/>
  <c r="Z42" i="8"/>
  <c r="AD41" i="8"/>
  <c r="AC41" i="8"/>
  <c r="AB41" i="8"/>
  <c r="AA41" i="8"/>
  <c r="Z41" i="8"/>
  <c r="AD40" i="8"/>
  <c r="AC40" i="8"/>
  <c r="AB40" i="8"/>
  <c r="AA40" i="8"/>
  <c r="Z40" i="8"/>
  <c r="AE39" i="8"/>
  <c r="AD39" i="8"/>
  <c r="AC39" i="8"/>
  <c r="AB39" i="8"/>
  <c r="AA39" i="8"/>
  <c r="Z39" i="8"/>
  <c r="AE38" i="8"/>
  <c r="AD38" i="8"/>
  <c r="AC38" i="8"/>
  <c r="AB38" i="8"/>
  <c r="AA38" i="8"/>
  <c r="Z38" i="8"/>
  <c r="AD37" i="8"/>
  <c r="AC37" i="8"/>
  <c r="AB37" i="8"/>
  <c r="AA37" i="8"/>
  <c r="Z37" i="8"/>
  <c r="AE36" i="8"/>
  <c r="AD36" i="8"/>
  <c r="AC36" i="8"/>
  <c r="AB36" i="8"/>
  <c r="AA36" i="8"/>
  <c r="Z36" i="8"/>
  <c r="AD35" i="8"/>
  <c r="AC35" i="8"/>
  <c r="AB35" i="8"/>
  <c r="AA35" i="8"/>
  <c r="Z35" i="8"/>
  <c r="J35" i="8"/>
  <c r="N35" i="8" s="1"/>
  <c r="AD34" i="8"/>
  <c r="AC34" i="8"/>
  <c r="AB34" i="8"/>
  <c r="AA34" i="8"/>
  <c r="Z34" i="8"/>
  <c r="AD33" i="8"/>
  <c r="AC33" i="8"/>
  <c r="AB33" i="8"/>
  <c r="AA33" i="8"/>
  <c r="Z33" i="8"/>
  <c r="L33" i="8"/>
  <c r="P33" i="8" s="1"/>
  <c r="U33" i="8" s="1"/>
  <c r="AD32" i="8"/>
  <c r="AC32" i="8"/>
  <c r="AB32" i="8"/>
  <c r="AA32" i="8"/>
  <c r="Z32" i="8"/>
  <c r="I32" i="8"/>
  <c r="M32" i="8" s="1"/>
  <c r="AD31" i="8"/>
  <c r="AC31" i="8"/>
  <c r="AB31" i="8"/>
  <c r="AA31" i="8"/>
  <c r="Z31" i="8"/>
  <c r="AE30" i="8"/>
  <c r="AD30" i="8"/>
  <c r="AC30" i="8"/>
  <c r="AB30" i="8"/>
  <c r="AA30" i="8"/>
  <c r="Z30" i="8"/>
  <c r="AD29" i="8"/>
  <c r="AC29" i="8"/>
  <c r="AB29" i="8"/>
  <c r="AA29" i="8"/>
  <c r="Z29" i="8"/>
  <c r="AD28" i="8"/>
  <c r="AC28" i="8"/>
  <c r="AB28" i="8"/>
  <c r="AA28" i="8"/>
  <c r="Z28" i="8"/>
  <c r="AD27" i="8"/>
  <c r="AC27" i="8"/>
  <c r="AB27" i="8"/>
  <c r="AA27" i="8"/>
  <c r="Z27" i="8"/>
  <c r="AE26" i="8"/>
  <c r="AD26" i="8"/>
  <c r="AC26" i="8"/>
  <c r="AB26" i="8"/>
  <c r="AA26" i="8"/>
  <c r="Z26" i="8"/>
  <c r="AE25" i="8"/>
  <c r="AD25" i="8"/>
  <c r="AC25" i="8"/>
  <c r="AB25" i="8"/>
  <c r="AA25" i="8"/>
  <c r="Z25" i="8"/>
  <c r="L25" i="8"/>
  <c r="P25" i="8" s="1"/>
  <c r="U25" i="8" s="1"/>
  <c r="K25" i="8"/>
  <c r="O25" i="8" s="1"/>
  <c r="J25" i="8"/>
  <c r="N25" i="8" s="1"/>
  <c r="AD24" i="8"/>
  <c r="AC24" i="8"/>
  <c r="AB24" i="8"/>
  <c r="AA24" i="8"/>
  <c r="Z24" i="8"/>
  <c r="K24" i="8"/>
  <c r="O24" i="8" s="1"/>
  <c r="AE23" i="8"/>
  <c r="AD23" i="8"/>
  <c r="AC23" i="8"/>
  <c r="AB23" i="8"/>
  <c r="AA23" i="8"/>
  <c r="Z23" i="8"/>
  <c r="AD22" i="8"/>
  <c r="AC22" i="8"/>
  <c r="AB22" i="8"/>
  <c r="AA22" i="8"/>
  <c r="Z22" i="8"/>
  <c r="AD21" i="8"/>
  <c r="AC21" i="8"/>
  <c r="AB21" i="8"/>
  <c r="AA21" i="8"/>
  <c r="Z21" i="8"/>
  <c r="AD20" i="8"/>
  <c r="AC20" i="8"/>
  <c r="AB20" i="8"/>
  <c r="AA20" i="8"/>
  <c r="Z20" i="8"/>
  <c r="L20" i="8"/>
  <c r="P20" i="8" s="1"/>
  <c r="AD19" i="8"/>
  <c r="AC19" i="8"/>
  <c r="AB19" i="8"/>
  <c r="AA19" i="8"/>
  <c r="Z19" i="8"/>
  <c r="K19" i="8"/>
  <c r="O19" i="8" s="1"/>
  <c r="AD18" i="8"/>
  <c r="AC18" i="8"/>
  <c r="AB18" i="8"/>
  <c r="AA18" i="8"/>
  <c r="Z18" i="8"/>
  <c r="AD17" i="8"/>
  <c r="AC17" i="8"/>
  <c r="AB17" i="8"/>
  <c r="AA17" i="8"/>
  <c r="Z17" i="8"/>
  <c r="AD16" i="8"/>
  <c r="AC16" i="8"/>
  <c r="AB16" i="8"/>
  <c r="AA16" i="8"/>
  <c r="Z16" i="8"/>
  <c r="K16" i="8"/>
  <c r="O16" i="8" s="1"/>
  <c r="AD15" i="8"/>
  <c r="AC15" i="8"/>
  <c r="AB15" i="8"/>
  <c r="AA15" i="8"/>
  <c r="Z15" i="8"/>
  <c r="AE14" i="8"/>
  <c r="AD14" i="8"/>
  <c r="AC14" i="8"/>
  <c r="AB14" i="8"/>
  <c r="AA14" i="8"/>
  <c r="Z14" i="8"/>
  <c r="K14" i="8"/>
  <c r="O14" i="8" s="1"/>
  <c r="M14" i="8"/>
  <c r="AD13" i="8"/>
  <c r="AC13" i="8"/>
  <c r="AB13" i="8"/>
  <c r="AA13" i="8"/>
  <c r="Z13" i="8"/>
  <c r="J13" i="8"/>
  <c r="N13" i="8" s="1"/>
  <c r="AD12" i="8"/>
  <c r="AC12" i="8"/>
  <c r="AB12" i="8"/>
  <c r="AA12" i="8"/>
  <c r="Z12" i="8"/>
  <c r="K12" i="8"/>
  <c r="O12" i="8" s="1"/>
  <c r="AD11" i="8"/>
  <c r="AC11" i="8"/>
  <c r="AB11" i="8"/>
  <c r="AA11" i="8"/>
  <c r="Z11" i="8"/>
  <c r="M11" i="8"/>
  <c r="AD10" i="8"/>
  <c r="AC10" i="8"/>
  <c r="AB10" i="8"/>
  <c r="AA10" i="8"/>
  <c r="Z10" i="8"/>
  <c r="AE9" i="8"/>
  <c r="AD9" i="8"/>
  <c r="AC9" i="8"/>
  <c r="AB9" i="8"/>
  <c r="AA9" i="8"/>
  <c r="Z9" i="8"/>
  <c r="K9" i="8"/>
  <c r="O9" i="8" s="1"/>
  <c r="F7" i="8"/>
  <c r="L59" i="8"/>
  <c r="P59" i="8" s="1"/>
  <c r="T59" i="8" s="1"/>
  <c r="AD60" i="1"/>
  <c r="AC60" i="1"/>
  <c r="AB60" i="1"/>
  <c r="AA60" i="1"/>
  <c r="Z60" i="1"/>
  <c r="AD59" i="1"/>
  <c r="AC59" i="1"/>
  <c r="AB59" i="1"/>
  <c r="AA59" i="1"/>
  <c r="Z59" i="1"/>
  <c r="AD58" i="1"/>
  <c r="AC58" i="1"/>
  <c r="AB58" i="1"/>
  <c r="AA58" i="1"/>
  <c r="Z58" i="1"/>
  <c r="AD57" i="1"/>
  <c r="AC57" i="1"/>
  <c r="AB57" i="1"/>
  <c r="AA57" i="1"/>
  <c r="Z57" i="1"/>
  <c r="AD56" i="1"/>
  <c r="AC56" i="1"/>
  <c r="AB56" i="1"/>
  <c r="AA56" i="1"/>
  <c r="Z56" i="1"/>
  <c r="AD55" i="1"/>
  <c r="AC55" i="1"/>
  <c r="AB55" i="1"/>
  <c r="AA55" i="1"/>
  <c r="Z55" i="1"/>
  <c r="AD54" i="1"/>
  <c r="AC54" i="1"/>
  <c r="AB54" i="1"/>
  <c r="AA54" i="1"/>
  <c r="Z54" i="1"/>
  <c r="AD53" i="1"/>
  <c r="AC53" i="1"/>
  <c r="AB53" i="1"/>
  <c r="AA53" i="1"/>
  <c r="Z53" i="1"/>
  <c r="AD52" i="1"/>
  <c r="AC52" i="1"/>
  <c r="AB52" i="1"/>
  <c r="AA52" i="1"/>
  <c r="Z52" i="1"/>
  <c r="AD51" i="1"/>
  <c r="AC51" i="1"/>
  <c r="AB51" i="1"/>
  <c r="AA51" i="1"/>
  <c r="Z51" i="1"/>
  <c r="AD50" i="1"/>
  <c r="AC50" i="1"/>
  <c r="AB50" i="1"/>
  <c r="AA50" i="1"/>
  <c r="Z50" i="1"/>
  <c r="AD49" i="1"/>
  <c r="AC49" i="1"/>
  <c r="AB49" i="1"/>
  <c r="AA49" i="1"/>
  <c r="Z49" i="1"/>
  <c r="AD48" i="1"/>
  <c r="AC48" i="1"/>
  <c r="AB48" i="1"/>
  <c r="AA48" i="1"/>
  <c r="Z48" i="1"/>
  <c r="AD47" i="1"/>
  <c r="AC47" i="1"/>
  <c r="AB47" i="1"/>
  <c r="AA47" i="1"/>
  <c r="Z47" i="1"/>
  <c r="AD46" i="1"/>
  <c r="AC46" i="1"/>
  <c r="AB46" i="1"/>
  <c r="AA46" i="1"/>
  <c r="Z46" i="1"/>
  <c r="AD45" i="1"/>
  <c r="AC45" i="1"/>
  <c r="AB45" i="1"/>
  <c r="AA45" i="1"/>
  <c r="Z45" i="1"/>
  <c r="AD44" i="1"/>
  <c r="AC44" i="1"/>
  <c r="AB44" i="1"/>
  <c r="AA44" i="1"/>
  <c r="Z44" i="1"/>
  <c r="AD43" i="1"/>
  <c r="AC43" i="1"/>
  <c r="AB43" i="1"/>
  <c r="AA43" i="1"/>
  <c r="Z43" i="1"/>
  <c r="AD42" i="1"/>
  <c r="AC42" i="1"/>
  <c r="AB42" i="1"/>
  <c r="AA42" i="1"/>
  <c r="Z42" i="1"/>
  <c r="AD41" i="1"/>
  <c r="AC41" i="1"/>
  <c r="AB41" i="1"/>
  <c r="AA41" i="1"/>
  <c r="Z41" i="1"/>
  <c r="AD40" i="1"/>
  <c r="AC40" i="1"/>
  <c r="AB40" i="1"/>
  <c r="AA40" i="1"/>
  <c r="Z40" i="1"/>
  <c r="AD39" i="1"/>
  <c r="AC39" i="1"/>
  <c r="AB39" i="1"/>
  <c r="AA39" i="1"/>
  <c r="Z39" i="1"/>
  <c r="AD38" i="1"/>
  <c r="AC38" i="1"/>
  <c r="AB38" i="1"/>
  <c r="AA38" i="1"/>
  <c r="Z38" i="1"/>
  <c r="AD37" i="1"/>
  <c r="AC37" i="1"/>
  <c r="AB37" i="1"/>
  <c r="AA37" i="1"/>
  <c r="Z37" i="1"/>
  <c r="AD36" i="1"/>
  <c r="AC36" i="1"/>
  <c r="AB36" i="1"/>
  <c r="AA36" i="1"/>
  <c r="Z36" i="1"/>
  <c r="AD35" i="1"/>
  <c r="AC35" i="1"/>
  <c r="AB35" i="1"/>
  <c r="AA35" i="1"/>
  <c r="Z35" i="1"/>
  <c r="AD34" i="1"/>
  <c r="AC34" i="1"/>
  <c r="AB34" i="1"/>
  <c r="AA34" i="1"/>
  <c r="Z34" i="1"/>
  <c r="AD33" i="1"/>
  <c r="AC33" i="1"/>
  <c r="AB33" i="1"/>
  <c r="AA33" i="1"/>
  <c r="Z33" i="1"/>
  <c r="AD32" i="1"/>
  <c r="AC32" i="1"/>
  <c r="AB32" i="1"/>
  <c r="AA32" i="1"/>
  <c r="Z32" i="1"/>
  <c r="AD31" i="1"/>
  <c r="AC31" i="1"/>
  <c r="AB31" i="1"/>
  <c r="AA31" i="1"/>
  <c r="Z31" i="1"/>
  <c r="AD30" i="1"/>
  <c r="AC30" i="1"/>
  <c r="AB30" i="1"/>
  <c r="AA30" i="1"/>
  <c r="Z30" i="1"/>
  <c r="AD29" i="1"/>
  <c r="AC29" i="1"/>
  <c r="AB29" i="1"/>
  <c r="AA29" i="1"/>
  <c r="Z29" i="1"/>
  <c r="AD28" i="1"/>
  <c r="AC28" i="1"/>
  <c r="AB28" i="1"/>
  <c r="AA28" i="1"/>
  <c r="Z28" i="1"/>
  <c r="AD27" i="1"/>
  <c r="AC27" i="1"/>
  <c r="AB27" i="1"/>
  <c r="AA27" i="1"/>
  <c r="Z27" i="1"/>
  <c r="AD26" i="1"/>
  <c r="AC26" i="1"/>
  <c r="AB26" i="1"/>
  <c r="AA26" i="1"/>
  <c r="Z26" i="1"/>
  <c r="AD25" i="1"/>
  <c r="AC25" i="1"/>
  <c r="AB25" i="1"/>
  <c r="AA25" i="1"/>
  <c r="Z25" i="1"/>
  <c r="AD24" i="1"/>
  <c r="AC24" i="1"/>
  <c r="AB24" i="1"/>
  <c r="AA24" i="1"/>
  <c r="Z24" i="1"/>
  <c r="AD23" i="1"/>
  <c r="AC23" i="1"/>
  <c r="AB23" i="1"/>
  <c r="AA23" i="1"/>
  <c r="Z23" i="1"/>
  <c r="AD22" i="1"/>
  <c r="AC22" i="1"/>
  <c r="AB22" i="1"/>
  <c r="AA22" i="1"/>
  <c r="Z22" i="1"/>
  <c r="AD21" i="1"/>
  <c r="AC21" i="1"/>
  <c r="AB21" i="1"/>
  <c r="AA21" i="1"/>
  <c r="Z21" i="1"/>
  <c r="AD20" i="1"/>
  <c r="AC20" i="1"/>
  <c r="AB20" i="1"/>
  <c r="AA20" i="1"/>
  <c r="Z20" i="1"/>
  <c r="AD19" i="1"/>
  <c r="AC19" i="1"/>
  <c r="AB19" i="1"/>
  <c r="AA19" i="1"/>
  <c r="Z19" i="1"/>
  <c r="AD18" i="1"/>
  <c r="AC18" i="1"/>
  <c r="AB18" i="1"/>
  <c r="AA18" i="1"/>
  <c r="Z18" i="1"/>
  <c r="AD17" i="1"/>
  <c r="AC17" i="1"/>
  <c r="AB17" i="1"/>
  <c r="AA17" i="1"/>
  <c r="Z17" i="1"/>
  <c r="AD16" i="1"/>
  <c r="AC16" i="1"/>
  <c r="AB16" i="1"/>
  <c r="AA16" i="1"/>
  <c r="Z16" i="1"/>
  <c r="AD15" i="1"/>
  <c r="AC15" i="1"/>
  <c r="AB15" i="1"/>
  <c r="AA15" i="1"/>
  <c r="Z15" i="1"/>
  <c r="AD14" i="1"/>
  <c r="AC14" i="1"/>
  <c r="AB14" i="1"/>
  <c r="AA14" i="1"/>
  <c r="Z14" i="1"/>
  <c r="AD13" i="1"/>
  <c r="AC13" i="1"/>
  <c r="AB13" i="1"/>
  <c r="AA13" i="1"/>
  <c r="Z13" i="1"/>
  <c r="AD12" i="1"/>
  <c r="AC12" i="1"/>
  <c r="AB12" i="1"/>
  <c r="AA12" i="1"/>
  <c r="Z12" i="1"/>
  <c r="AD11" i="1"/>
  <c r="AC11" i="1"/>
  <c r="AB11" i="1"/>
  <c r="AA11" i="1"/>
  <c r="Z11" i="1"/>
  <c r="AD10" i="1"/>
  <c r="AC10" i="1"/>
  <c r="AB10" i="1"/>
  <c r="AA10" i="1"/>
  <c r="Z10" i="1"/>
  <c r="AD9" i="1"/>
  <c r="AC9" i="1"/>
  <c r="AB9" i="1"/>
  <c r="AA9" i="1"/>
  <c r="Z9" i="1"/>
  <c r="F7" i="1"/>
  <c r="A5" i="1"/>
  <c r="L57" i="1" l="1"/>
  <c r="P57" i="1" s="1"/>
  <c r="U57" i="1" s="1"/>
  <c r="I9" i="1"/>
  <c r="M9" i="1" s="1"/>
  <c r="I10" i="1"/>
  <c r="M10" i="1" s="1"/>
  <c r="M11" i="1"/>
  <c r="I35" i="1"/>
  <c r="M35" i="1" s="1"/>
  <c r="AE22" i="1"/>
  <c r="K11" i="8"/>
  <c r="O11" i="8" s="1"/>
  <c r="AE22" i="8"/>
  <c r="I29" i="8"/>
  <c r="M29" i="8" s="1"/>
  <c r="L46" i="8"/>
  <c r="P46" i="8" s="1"/>
  <c r="T46" i="8" s="1"/>
  <c r="I18" i="9"/>
  <c r="M18" i="9" s="1"/>
  <c r="AE32" i="9"/>
  <c r="J51" i="9"/>
  <c r="N51" i="9" s="1"/>
  <c r="L12" i="12"/>
  <c r="P12" i="12" s="1"/>
  <c r="T12" i="12" s="1"/>
  <c r="J9" i="8"/>
  <c r="N9" i="8" s="1"/>
  <c r="I22" i="8"/>
  <c r="M22" i="8" s="1"/>
  <c r="L28" i="8"/>
  <c r="P28" i="8" s="1"/>
  <c r="U28" i="8" s="1"/>
  <c r="I35" i="8"/>
  <c r="M35" i="8" s="1"/>
  <c r="J54" i="8"/>
  <c r="N54" i="8" s="1"/>
  <c r="AE16" i="9"/>
  <c r="I50" i="9"/>
  <c r="M50" i="9" s="1"/>
  <c r="L10" i="11"/>
  <c r="P10" i="11" s="1"/>
  <c r="L17" i="11"/>
  <c r="P17" i="11" s="1"/>
  <c r="U17" i="11" s="1"/>
  <c r="AE44" i="11"/>
  <c r="AE47" i="13"/>
  <c r="L26" i="9"/>
  <c r="P26" i="9" s="1"/>
  <c r="T26" i="9" s="1"/>
  <c r="I41" i="9"/>
  <c r="M41" i="9" s="1"/>
  <c r="M14" i="12"/>
  <c r="M13" i="8"/>
  <c r="J14" i="8"/>
  <c r="N14" i="8" s="1"/>
  <c r="K27" i="8"/>
  <c r="O27" i="8" s="1"/>
  <c r="AE21" i="11"/>
  <c r="M33" i="11"/>
  <c r="AE24" i="9"/>
  <c r="I40" i="9"/>
  <c r="M40" i="9" s="1"/>
  <c r="J60" i="9"/>
  <c r="N60" i="9" s="1"/>
  <c r="L43" i="1"/>
  <c r="P43" i="1" s="1"/>
  <c r="T43" i="1" s="1"/>
  <c r="K15" i="1"/>
  <c r="O15" i="1" s="1"/>
  <c r="L19" i="1"/>
  <c r="P19" i="1" s="1"/>
  <c r="T19" i="1" s="1"/>
  <c r="L26" i="1"/>
  <c r="P26" i="1" s="1"/>
  <c r="U26" i="1" s="1"/>
  <c r="J30" i="1"/>
  <c r="N30" i="1" s="1"/>
  <c r="J13" i="1"/>
  <c r="N13" i="1" s="1"/>
  <c r="K24" i="1"/>
  <c r="O24" i="1" s="1"/>
  <c r="J29" i="1"/>
  <c r="N29" i="1" s="1"/>
  <c r="J36" i="1"/>
  <c r="N36" i="1" s="1"/>
  <c r="K40" i="1"/>
  <c r="O40" i="1" s="1"/>
  <c r="J44" i="1"/>
  <c r="N44" i="1" s="1"/>
  <c r="K48" i="1"/>
  <c r="O48" i="1" s="1"/>
  <c r="J52" i="1"/>
  <c r="N52" i="1" s="1"/>
  <c r="I59" i="1"/>
  <c r="M59" i="1" s="1"/>
  <c r="J16" i="8"/>
  <c r="N16" i="8" s="1"/>
  <c r="L17" i="8"/>
  <c r="P17" i="8" s="1"/>
  <c r="T17" i="8" s="1"/>
  <c r="AE28" i="8"/>
  <c r="L30" i="8"/>
  <c r="P30" i="8" s="1"/>
  <c r="T30" i="8" s="1"/>
  <c r="L36" i="8"/>
  <c r="P36" i="8" s="1"/>
  <c r="U36" i="8" s="1"/>
  <c r="AE44" i="8"/>
  <c r="J19" i="9"/>
  <c r="N19" i="9" s="1"/>
  <c r="J20" i="9"/>
  <c r="N20" i="9" s="1"/>
  <c r="K26" i="9"/>
  <c r="O26" i="9" s="1"/>
  <c r="J27" i="9"/>
  <c r="N27" i="9" s="1"/>
  <c r="I34" i="9"/>
  <c r="M34" i="9" s="1"/>
  <c r="J35" i="9"/>
  <c r="N35" i="9" s="1"/>
  <c r="AE40" i="9"/>
  <c r="I42" i="9"/>
  <c r="M42" i="9" s="1"/>
  <c r="L43" i="9"/>
  <c r="P43" i="9" s="1"/>
  <c r="T43" i="9" s="1"/>
  <c r="J44" i="9"/>
  <c r="N44" i="9" s="1"/>
  <c r="J52" i="9"/>
  <c r="N52" i="9" s="1"/>
  <c r="N9" i="11"/>
  <c r="K10" i="11"/>
  <c r="O10" i="11" s="1"/>
  <c r="M11" i="11"/>
  <c r="K17" i="11"/>
  <c r="O17" i="11" s="1"/>
  <c r="M18" i="11"/>
  <c r="S18" i="11" s="1"/>
  <c r="M19" i="11"/>
  <c r="M30" i="11"/>
  <c r="L34" i="11"/>
  <c r="P34" i="11" s="1"/>
  <c r="U34" i="11" s="1"/>
  <c r="I44" i="11"/>
  <c r="M44" i="11" s="1"/>
  <c r="I51" i="11"/>
  <c r="M51" i="11" s="1"/>
  <c r="M15" i="12"/>
  <c r="M32" i="12"/>
  <c r="I13" i="13"/>
  <c r="M13" i="13" s="1"/>
  <c r="K31" i="13"/>
  <c r="O31" i="13" s="1"/>
  <c r="I34" i="13"/>
  <c r="M34" i="13" s="1"/>
  <c r="L41" i="13"/>
  <c r="P41" i="13" s="1"/>
  <c r="U41" i="13" s="1"/>
  <c r="J54" i="13"/>
  <c r="N54" i="13" s="1"/>
  <c r="M16" i="9"/>
  <c r="M17" i="9"/>
  <c r="L18" i="9"/>
  <c r="P18" i="9" s="1"/>
  <c r="T18" i="9" s="1"/>
  <c r="L25" i="9"/>
  <c r="P25" i="9" s="1"/>
  <c r="T25" i="9" s="1"/>
  <c r="AE30" i="9"/>
  <c r="I32" i="9"/>
  <c r="M32" i="9" s="1"/>
  <c r="I33" i="9"/>
  <c r="M33" i="9" s="1"/>
  <c r="L34" i="9"/>
  <c r="P34" i="9" s="1"/>
  <c r="T34" i="9" s="1"/>
  <c r="J39" i="9"/>
  <c r="N39" i="9" s="1"/>
  <c r="K40" i="9"/>
  <c r="O40" i="9" s="1"/>
  <c r="L41" i="9"/>
  <c r="P41" i="9" s="1"/>
  <c r="T41" i="9" s="1"/>
  <c r="AE48" i="9"/>
  <c r="K50" i="9"/>
  <c r="O50" i="9" s="1"/>
  <c r="J59" i="9"/>
  <c r="N59" i="9" s="1"/>
  <c r="J11" i="13"/>
  <c r="N11" i="13" s="1"/>
  <c r="AE28" i="13"/>
  <c r="I30" i="13"/>
  <c r="M30" i="13" s="1"/>
  <c r="I39" i="13"/>
  <c r="M39" i="13" s="1"/>
  <c r="J22" i="1"/>
  <c r="N22" i="1" s="1"/>
  <c r="K55" i="1"/>
  <c r="O55" i="1" s="1"/>
  <c r="AE13" i="9"/>
  <c r="AE14" i="9"/>
  <c r="K16" i="9"/>
  <c r="O16" i="9" s="1"/>
  <c r="K17" i="9"/>
  <c r="O17" i="9" s="1"/>
  <c r="I24" i="9"/>
  <c r="M24" i="9" s="1"/>
  <c r="J31" i="9"/>
  <c r="N31" i="9" s="1"/>
  <c r="K32" i="9"/>
  <c r="O32" i="9" s="1"/>
  <c r="K39" i="9"/>
  <c r="O39" i="9" s="1"/>
  <c r="AE46" i="9"/>
  <c r="I48" i="9"/>
  <c r="M48" i="9" s="1"/>
  <c r="L49" i="9"/>
  <c r="P49" i="9" s="1"/>
  <c r="U49" i="9" s="1"/>
  <c r="L50" i="9"/>
  <c r="P50" i="9" s="1"/>
  <c r="T50" i="9" s="1"/>
  <c r="AE56" i="9"/>
  <c r="I58" i="9"/>
  <c r="M58" i="9" s="1"/>
  <c r="L59" i="9"/>
  <c r="P59" i="9" s="1"/>
  <c r="T59" i="9" s="1"/>
  <c r="M25" i="12"/>
  <c r="AE9" i="13"/>
  <c r="L11" i="13"/>
  <c r="P11" i="13" s="1"/>
  <c r="U11" i="13" s="1"/>
  <c r="I18" i="13"/>
  <c r="M18" i="13" s="1"/>
  <c r="I24" i="13"/>
  <c r="M24" i="13" s="1"/>
  <c r="J28" i="13"/>
  <c r="N28" i="13" s="1"/>
  <c r="J29" i="13"/>
  <c r="N29" i="13" s="1"/>
  <c r="K38" i="13"/>
  <c r="O38" i="13" s="1"/>
  <c r="L39" i="13"/>
  <c r="P39" i="13" s="1"/>
  <c r="U39" i="13" s="1"/>
  <c r="K44" i="13"/>
  <c r="O44" i="13" s="1"/>
  <c r="AE55" i="13"/>
  <c r="K47" i="1"/>
  <c r="O47" i="1" s="1"/>
  <c r="I17" i="1"/>
  <c r="M17" i="1" s="1"/>
  <c r="AE20" i="1"/>
  <c r="L11" i="1"/>
  <c r="P11" i="1" s="1"/>
  <c r="AE15" i="1"/>
  <c r="J20" i="1"/>
  <c r="N20" i="1" s="1"/>
  <c r="J21" i="1"/>
  <c r="N21" i="1" s="1"/>
  <c r="I27" i="1"/>
  <c r="M27" i="1" s="1"/>
  <c r="AE31" i="1"/>
  <c r="I33" i="1"/>
  <c r="M33" i="1" s="1"/>
  <c r="K38" i="1"/>
  <c r="O38" i="1" s="1"/>
  <c r="L42" i="1"/>
  <c r="P42" i="1" s="1"/>
  <c r="U42" i="1" s="1"/>
  <c r="K46" i="1"/>
  <c r="O46" i="1" s="1"/>
  <c r="I54" i="1"/>
  <c r="M54" i="1" s="1"/>
  <c r="J11" i="8"/>
  <c r="N11" i="8" s="1"/>
  <c r="AE20" i="8"/>
  <c r="K22" i="8"/>
  <c r="O22" i="8" s="1"/>
  <c r="L23" i="8"/>
  <c r="P23" i="8" s="1"/>
  <c r="T23" i="8" s="1"/>
  <c r="T25" i="8"/>
  <c r="I26" i="8"/>
  <c r="M26" i="8" s="1"/>
  <c r="L27" i="8"/>
  <c r="P27" i="8" s="1"/>
  <c r="U27" i="8" s="1"/>
  <c r="K43" i="8"/>
  <c r="O43" i="8" s="1"/>
  <c r="L47" i="8"/>
  <c r="P47" i="8" s="1"/>
  <c r="U47" i="8" s="1"/>
  <c r="AE52" i="8"/>
  <c r="J57" i="8"/>
  <c r="N57" i="8" s="1"/>
  <c r="M9" i="9"/>
  <c r="AE9" i="9"/>
  <c r="M11" i="9"/>
  <c r="AE12" i="9"/>
  <c r="J14" i="9"/>
  <c r="N14" i="9" s="1"/>
  <c r="K15" i="9"/>
  <c r="O15" i="9" s="1"/>
  <c r="AE22" i="9"/>
  <c r="K30" i="9"/>
  <c r="O30" i="9" s="1"/>
  <c r="K31" i="9"/>
  <c r="O31" i="9" s="1"/>
  <c r="AE36" i="9"/>
  <c r="K38" i="9"/>
  <c r="O38" i="9" s="1"/>
  <c r="J47" i="9"/>
  <c r="N47" i="9" s="1"/>
  <c r="K48" i="9"/>
  <c r="O48" i="9" s="1"/>
  <c r="I57" i="9"/>
  <c r="M57" i="9" s="1"/>
  <c r="K58" i="9"/>
  <c r="O58" i="9" s="1"/>
  <c r="L13" i="11"/>
  <c r="P13" i="11" s="1"/>
  <c r="M14" i="11"/>
  <c r="S14" i="11" s="1"/>
  <c r="U14" i="11" s="1"/>
  <c r="AE14" i="11"/>
  <c r="AE15" i="11"/>
  <c r="T20" i="11"/>
  <c r="M21" i="11"/>
  <c r="M22" i="11"/>
  <c r="S22" i="11" s="1"/>
  <c r="AE22" i="11"/>
  <c r="J32" i="11"/>
  <c r="N32" i="11" s="1"/>
  <c r="J36" i="11"/>
  <c r="N36" i="11" s="1"/>
  <c r="AE45" i="11"/>
  <c r="J53" i="11"/>
  <c r="N53" i="11" s="1"/>
  <c r="L60" i="11"/>
  <c r="P60" i="11" s="1"/>
  <c r="T60" i="11" s="1"/>
  <c r="L13" i="12"/>
  <c r="P13" i="12" s="1"/>
  <c r="T13" i="12" s="1"/>
  <c r="I9" i="13"/>
  <c r="M9" i="13" s="1"/>
  <c r="I10" i="13"/>
  <c r="M10" i="13" s="1"/>
  <c r="AE16" i="13"/>
  <c r="AE22" i="13"/>
  <c r="K28" i="13"/>
  <c r="O28" i="13" s="1"/>
  <c r="AE36" i="13"/>
  <c r="L12" i="1"/>
  <c r="P12" i="1" s="1"/>
  <c r="K39" i="1"/>
  <c r="O39" i="1" s="1"/>
  <c r="I34" i="1"/>
  <c r="M34" i="1" s="1"/>
  <c r="K9" i="1"/>
  <c r="O9" i="1" s="1"/>
  <c r="L10" i="1"/>
  <c r="P10" i="1" s="1"/>
  <c r="T10" i="1" s="1"/>
  <c r="AE14" i="1"/>
  <c r="I16" i="1"/>
  <c r="M16" i="1" s="1"/>
  <c r="L20" i="1"/>
  <c r="P20" i="1" s="1"/>
  <c r="T20" i="1" s="1"/>
  <c r="I26" i="1"/>
  <c r="M26" i="1" s="1"/>
  <c r="J27" i="1"/>
  <c r="N27" i="1" s="1"/>
  <c r="AE30" i="1"/>
  <c r="I32" i="1"/>
  <c r="M32" i="1" s="1"/>
  <c r="K33" i="1"/>
  <c r="O33" i="1" s="1"/>
  <c r="AE49" i="1"/>
  <c r="K54" i="1"/>
  <c r="O54" i="1" s="1"/>
  <c r="J19" i="8"/>
  <c r="N19" i="8" s="1"/>
  <c r="K20" i="8"/>
  <c r="O20" i="8" s="1"/>
  <c r="I21" i="8"/>
  <c r="M21" i="8" s="1"/>
  <c r="L22" i="8"/>
  <c r="P22" i="8" s="1"/>
  <c r="U22" i="8" s="1"/>
  <c r="AE31" i="8"/>
  <c r="K33" i="8"/>
  <c r="O33" i="8" s="1"/>
  <c r="J38" i="8"/>
  <c r="N38" i="8" s="1"/>
  <c r="I42" i="8"/>
  <c r="M42" i="8" s="1"/>
  <c r="I53" i="8"/>
  <c r="M53" i="8" s="1"/>
  <c r="K9" i="9"/>
  <c r="O9" i="9" s="1"/>
  <c r="K10" i="9"/>
  <c r="O10" i="9" s="1"/>
  <c r="K11" i="9"/>
  <c r="O11" i="9" s="1"/>
  <c r="J12" i="9"/>
  <c r="N12" i="9" s="1"/>
  <c r="J13" i="9"/>
  <c r="N13" i="9" s="1"/>
  <c r="K14" i="9"/>
  <c r="O14" i="9" s="1"/>
  <c r="AE21" i="9"/>
  <c r="J23" i="9"/>
  <c r="N23" i="9" s="1"/>
  <c r="AE28" i="9"/>
  <c r="J37" i="9"/>
  <c r="N37" i="9" s="1"/>
  <c r="K46" i="9"/>
  <c r="O46" i="9" s="1"/>
  <c r="K47" i="9"/>
  <c r="O47" i="9" s="1"/>
  <c r="AE54" i="9"/>
  <c r="K56" i="9"/>
  <c r="O56" i="9" s="1"/>
  <c r="L57" i="9"/>
  <c r="P57" i="9" s="1"/>
  <c r="T57" i="9" s="1"/>
  <c r="K14" i="11"/>
  <c r="O14" i="11" s="1"/>
  <c r="K15" i="11"/>
  <c r="O15" i="11" s="1"/>
  <c r="M16" i="11"/>
  <c r="L21" i="11"/>
  <c r="P21" i="11" s="1"/>
  <c r="T21" i="11" s="1"/>
  <c r="N22" i="11"/>
  <c r="N23" i="11"/>
  <c r="AE23" i="11"/>
  <c r="AE24" i="11"/>
  <c r="AE25" i="11"/>
  <c r="AE26" i="11"/>
  <c r="I42" i="11"/>
  <c r="M42" i="11" s="1"/>
  <c r="K49" i="11"/>
  <c r="O49" i="11" s="1"/>
  <c r="K56" i="11"/>
  <c r="O56" i="11" s="1"/>
  <c r="M12" i="12"/>
  <c r="L9" i="13"/>
  <c r="P9" i="13" s="1"/>
  <c r="U9" i="13" s="1"/>
  <c r="J15" i="13"/>
  <c r="N15" i="13" s="1"/>
  <c r="K16" i="13"/>
  <c r="O16" i="13" s="1"/>
  <c r="I17" i="13"/>
  <c r="M17" i="13" s="1"/>
  <c r="I22" i="13"/>
  <c r="M22" i="13" s="1"/>
  <c r="I23" i="13"/>
  <c r="M23" i="13" s="1"/>
  <c r="AE26" i="13"/>
  <c r="I36" i="13"/>
  <c r="M36" i="13" s="1"/>
  <c r="L37" i="13"/>
  <c r="P37" i="13" s="1"/>
  <c r="T37" i="13" s="1"/>
  <c r="AE42" i="13"/>
  <c r="AE21" i="1"/>
  <c r="K32" i="1"/>
  <c r="O32" i="1" s="1"/>
  <c r="J37" i="1"/>
  <c r="N37" i="1" s="1"/>
  <c r="J45" i="1"/>
  <c r="N45" i="1" s="1"/>
  <c r="AE48" i="1"/>
  <c r="AE52" i="1"/>
  <c r="K60" i="1"/>
  <c r="O60" i="1" s="1"/>
  <c r="L9" i="9"/>
  <c r="P9" i="9" s="1"/>
  <c r="L11" i="9"/>
  <c r="P11" i="9" s="1"/>
  <c r="L12" i="9"/>
  <c r="P12" i="9" s="1"/>
  <c r="AE20" i="9"/>
  <c r="K22" i="9"/>
  <c r="O22" i="9" s="1"/>
  <c r="L29" i="9"/>
  <c r="P29" i="9" s="1"/>
  <c r="T29" i="9" s="1"/>
  <c r="J36" i="9"/>
  <c r="N36" i="9" s="1"/>
  <c r="L37" i="9"/>
  <c r="P37" i="9" s="1"/>
  <c r="T37" i="9" s="1"/>
  <c r="AE44" i="9"/>
  <c r="J53" i="9"/>
  <c r="N53" i="9" s="1"/>
  <c r="AE53" i="9"/>
  <c r="J55" i="9"/>
  <c r="N55" i="9" s="1"/>
  <c r="K15" i="13"/>
  <c r="O15" i="13" s="1"/>
  <c r="L16" i="13"/>
  <c r="P16" i="13" s="1"/>
  <c r="T16" i="13" s="1"/>
  <c r="K21" i="13"/>
  <c r="O21" i="13" s="1"/>
  <c r="K22" i="13"/>
  <c r="O22" i="13" s="1"/>
  <c r="J36" i="13"/>
  <c r="N36" i="13" s="1"/>
  <c r="J42" i="13"/>
  <c r="N42" i="13" s="1"/>
  <c r="J46" i="13"/>
  <c r="N46" i="13" s="1"/>
  <c r="L35" i="1"/>
  <c r="P35" i="1" s="1"/>
  <c r="T35" i="1" s="1"/>
  <c r="L9" i="1"/>
  <c r="P9" i="1" s="1"/>
  <c r="U9" i="1" s="1"/>
  <c r="J14" i="1"/>
  <c r="N14" i="1" s="1"/>
  <c r="K25" i="1"/>
  <c r="O25" i="1" s="1"/>
  <c r="K31" i="1"/>
  <c r="O31" i="1" s="1"/>
  <c r="L41" i="1"/>
  <c r="P41" i="1" s="1"/>
  <c r="U41" i="1" s="1"/>
  <c r="K14" i="1"/>
  <c r="O14" i="1" s="1"/>
  <c r="AE23" i="1"/>
  <c r="L25" i="1"/>
  <c r="P25" i="1" s="1"/>
  <c r="U25" i="1" s="1"/>
  <c r="K30" i="1"/>
  <c r="O30" i="1" s="1"/>
  <c r="K49" i="1"/>
  <c r="O49" i="1" s="1"/>
  <c r="M16" i="8"/>
  <c r="J17" i="8"/>
  <c r="N17" i="8" s="1"/>
  <c r="AE17" i="8"/>
  <c r="L19" i="8"/>
  <c r="P19" i="8" s="1"/>
  <c r="T19" i="8" s="1"/>
  <c r="I30" i="8"/>
  <c r="M30" i="8" s="1"/>
  <c r="L31" i="8"/>
  <c r="P31" i="8" s="1"/>
  <c r="U31" i="8" s="1"/>
  <c r="K32" i="8"/>
  <c r="O32" i="8" s="1"/>
  <c r="I37" i="8"/>
  <c r="M37" i="8" s="1"/>
  <c r="L41" i="8"/>
  <c r="P41" i="8" s="1"/>
  <c r="T41" i="8" s="1"/>
  <c r="I20" i="9"/>
  <c r="M20" i="9" s="1"/>
  <c r="L21" i="9"/>
  <c r="P21" i="9" s="1"/>
  <c r="T21" i="9" s="1"/>
  <c r="I28" i="9"/>
  <c r="M28" i="9" s="1"/>
  <c r="J43" i="9"/>
  <c r="N43" i="9" s="1"/>
  <c r="I44" i="9"/>
  <c r="M44" i="9" s="1"/>
  <c r="J45" i="9"/>
  <c r="N45" i="9" s="1"/>
  <c r="L53" i="9"/>
  <c r="P53" i="9" s="1"/>
  <c r="T53" i="9" s="1"/>
  <c r="K54" i="9"/>
  <c r="O54" i="9" s="1"/>
  <c r="M9" i="11"/>
  <c r="S9" i="11" s="1"/>
  <c r="U9" i="11" s="1"/>
  <c r="M10" i="11"/>
  <c r="M17" i="11"/>
  <c r="K24" i="11"/>
  <c r="O24" i="11" s="1"/>
  <c r="K25" i="11"/>
  <c r="O25" i="11" s="1"/>
  <c r="L26" i="11"/>
  <c r="P26" i="11" s="1"/>
  <c r="T26" i="11" s="1"/>
  <c r="AE29" i="11"/>
  <c r="L38" i="11"/>
  <c r="P38" i="11" s="1"/>
  <c r="T38" i="11" s="1"/>
  <c r="M41" i="11"/>
  <c r="I48" i="11"/>
  <c r="M48" i="11" s="1"/>
  <c r="J55" i="11"/>
  <c r="N55" i="11" s="1"/>
  <c r="K11" i="12"/>
  <c r="O11" i="12" s="1"/>
  <c r="AE12" i="13"/>
  <c r="AE13" i="13"/>
  <c r="L15" i="13"/>
  <c r="P15" i="13" s="1"/>
  <c r="U15" i="13" s="1"/>
  <c r="I20" i="13"/>
  <c r="M20" i="13" s="1"/>
  <c r="L21" i="13"/>
  <c r="P21" i="13" s="1"/>
  <c r="U21" i="13" s="1"/>
  <c r="K26" i="13"/>
  <c r="O26" i="13" s="1"/>
  <c r="L35" i="13"/>
  <c r="P35" i="13" s="1"/>
  <c r="U35" i="13" s="1"/>
  <c r="J41" i="13"/>
  <c r="N41" i="13" s="1"/>
  <c r="K42" i="13"/>
  <c r="O42" i="13" s="1"/>
  <c r="J11" i="1"/>
  <c r="N11" i="1" s="1"/>
  <c r="J12" i="1"/>
  <c r="N12" i="1" s="1"/>
  <c r="AE12" i="1"/>
  <c r="AE13" i="1"/>
  <c r="K22" i="1"/>
  <c r="O22" i="1" s="1"/>
  <c r="K23" i="1"/>
  <c r="O23" i="1" s="1"/>
  <c r="I24" i="1"/>
  <c r="M24" i="1" s="1"/>
  <c r="I25" i="1"/>
  <c r="M25" i="1" s="1"/>
  <c r="L33" i="1"/>
  <c r="P33" i="1" s="1"/>
  <c r="L34" i="1"/>
  <c r="P34" i="1" s="1"/>
  <c r="T34" i="1" s="1"/>
  <c r="J35" i="1"/>
  <c r="N35" i="1" s="1"/>
  <c r="AE36" i="1"/>
  <c r="AE37" i="1"/>
  <c r="AE38" i="1"/>
  <c r="I40" i="1"/>
  <c r="M40" i="1" s="1"/>
  <c r="I41" i="1"/>
  <c r="M41" i="1" s="1"/>
  <c r="I42" i="1"/>
  <c r="M42" i="1" s="1"/>
  <c r="J43" i="1"/>
  <c r="N43" i="1" s="1"/>
  <c r="AE44" i="1"/>
  <c r="AE45" i="1"/>
  <c r="AE46" i="1"/>
  <c r="I48" i="1"/>
  <c r="M48" i="1" s="1"/>
  <c r="J51" i="1"/>
  <c r="N51" i="1" s="1"/>
  <c r="L52" i="1"/>
  <c r="P52" i="1" s="1"/>
  <c r="U52" i="1" s="1"/>
  <c r="I60" i="8"/>
  <c r="M60" i="8" s="1"/>
  <c r="K59" i="8"/>
  <c r="O59" i="8" s="1"/>
  <c r="AE54" i="8"/>
  <c r="K52" i="8"/>
  <c r="O52" i="8" s="1"/>
  <c r="L51" i="8"/>
  <c r="P51" i="8" s="1"/>
  <c r="U51" i="8" s="1"/>
  <c r="AE47" i="8"/>
  <c r="AE46" i="8"/>
  <c r="K44" i="8"/>
  <c r="O44" i="8" s="1"/>
  <c r="L43" i="8"/>
  <c r="P43" i="8" s="1"/>
  <c r="U43" i="8" s="1"/>
  <c r="I40" i="8"/>
  <c r="M40" i="8" s="1"/>
  <c r="I38" i="8"/>
  <c r="M38" i="8" s="1"/>
  <c r="J37" i="8"/>
  <c r="N37" i="8" s="1"/>
  <c r="K57" i="8"/>
  <c r="O57" i="8" s="1"/>
  <c r="K56" i="8"/>
  <c r="O56" i="8" s="1"/>
  <c r="I54" i="8"/>
  <c r="M54" i="8" s="1"/>
  <c r="J53" i="8"/>
  <c r="N53" i="8" s="1"/>
  <c r="AE50" i="8"/>
  <c r="AE49" i="8"/>
  <c r="L49" i="8"/>
  <c r="P49" i="8" s="1"/>
  <c r="T49" i="8" s="1"/>
  <c r="J46" i="8"/>
  <c r="N46" i="8" s="1"/>
  <c r="AE42" i="8"/>
  <c r="AE41" i="8"/>
  <c r="L35" i="8"/>
  <c r="P35" i="8" s="1"/>
  <c r="L11" i="8"/>
  <c r="P11" i="8" s="1"/>
  <c r="L12" i="8"/>
  <c r="P12" i="8" s="1"/>
  <c r="AE12" i="8"/>
  <c r="K17" i="8"/>
  <c r="O17" i="8" s="1"/>
  <c r="J21" i="8"/>
  <c r="N21" i="8" s="1"/>
  <c r="J22" i="8"/>
  <c r="N22" i="8" s="1"/>
  <c r="K28" i="8"/>
  <c r="O28" i="8" s="1"/>
  <c r="J32" i="8"/>
  <c r="N32" i="8" s="1"/>
  <c r="J33" i="8"/>
  <c r="N33" i="8" s="1"/>
  <c r="K36" i="8"/>
  <c r="O36" i="8" s="1"/>
  <c r="K40" i="8"/>
  <c r="O40" i="8" s="1"/>
  <c r="K41" i="8"/>
  <c r="O41" i="8" s="1"/>
  <c r="I43" i="8"/>
  <c r="M43" i="8" s="1"/>
  <c r="K51" i="8"/>
  <c r="O51" i="8" s="1"/>
  <c r="L52" i="8"/>
  <c r="P52" i="8" s="1"/>
  <c r="U52" i="8" s="1"/>
  <c r="I58" i="8"/>
  <c r="M58" i="8" s="1"/>
  <c r="J59" i="8"/>
  <c r="N59" i="8" s="1"/>
  <c r="L39" i="10"/>
  <c r="P39" i="10" s="1"/>
  <c r="T39" i="10" s="1"/>
  <c r="K46" i="10"/>
  <c r="O46" i="10" s="1"/>
  <c r="K36" i="10"/>
  <c r="O36" i="10" s="1"/>
  <c r="AE9" i="10"/>
  <c r="L26" i="10"/>
  <c r="P26" i="10" s="1"/>
  <c r="T26" i="10" s="1"/>
  <c r="M27" i="10"/>
  <c r="M35" i="10"/>
  <c r="K37" i="10"/>
  <c r="O37" i="10" s="1"/>
  <c r="L56" i="10"/>
  <c r="P56" i="10" s="1"/>
  <c r="T56" i="10" s="1"/>
  <c r="AE53" i="10"/>
  <c r="AE47" i="10"/>
  <c r="AE46" i="10"/>
  <c r="K34" i="10"/>
  <c r="O34" i="10" s="1"/>
  <c r="AE15" i="10"/>
  <c r="M15" i="10"/>
  <c r="J14" i="10"/>
  <c r="N14" i="10" s="1"/>
  <c r="M10" i="10"/>
  <c r="K9" i="10"/>
  <c r="O9" i="10" s="1"/>
  <c r="AE42" i="10"/>
  <c r="M42" i="10"/>
  <c r="K41" i="10"/>
  <c r="O41" i="10" s="1"/>
  <c r="M39" i="10"/>
  <c r="J28" i="10"/>
  <c r="N28" i="10" s="1"/>
  <c r="M26" i="10"/>
  <c r="K25" i="10"/>
  <c r="O25" i="10" s="1"/>
  <c r="M24" i="10"/>
  <c r="K23" i="10"/>
  <c r="O23" i="10" s="1"/>
  <c r="M22" i="10"/>
  <c r="J21" i="10"/>
  <c r="N21" i="10" s="1"/>
  <c r="L20" i="10"/>
  <c r="P20" i="10" s="1"/>
  <c r="U20" i="10" s="1"/>
  <c r="M12" i="10"/>
  <c r="AE36" i="10"/>
  <c r="K16" i="1"/>
  <c r="O16" i="1" s="1"/>
  <c r="I18" i="1"/>
  <c r="M18" i="1" s="1"/>
  <c r="J28" i="1"/>
  <c r="N28" i="1" s="1"/>
  <c r="AE56" i="1"/>
  <c r="K58" i="1"/>
  <c r="O58" i="1" s="1"/>
  <c r="I18" i="8"/>
  <c r="M18" i="8" s="1"/>
  <c r="AE18" i="8"/>
  <c r="I24" i="8"/>
  <c r="M24" i="8" s="1"/>
  <c r="I27" i="8"/>
  <c r="M27" i="8" s="1"/>
  <c r="J29" i="8"/>
  <c r="N29" i="8" s="1"/>
  <c r="J30" i="8"/>
  <c r="N30" i="8" s="1"/>
  <c r="T33" i="8"/>
  <c r="AE33" i="8"/>
  <c r="K38" i="8"/>
  <c r="O38" i="8" s="1"/>
  <c r="I45" i="8"/>
  <c r="M45" i="8" s="1"/>
  <c r="I46" i="8"/>
  <c r="M46" i="8" s="1"/>
  <c r="K54" i="8"/>
  <c r="O54" i="8" s="1"/>
  <c r="J9" i="10"/>
  <c r="N9" i="10" s="1"/>
  <c r="K10" i="10"/>
  <c r="O10" i="10" s="1"/>
  <c r="AE10" i="10"/>
  <c r="L25" i="10"/>
  <c r="P25" i="10" s="1"/>
  <c r="U25" i="10" s="1"/>
  <c r="J34" i="10"/>
  <c r="N34" i="10" s="1"/>
  <c r="J50" i="10"/>
  <c r="N50" i="10" s="1"/>
  <c r="U59" i="8"/>
  <c r="K17" i="1"/>
  <c r="O17" i="1" s="1"/>
  <c r="I19" i="1"/>
  <c r="M19" i="1" s="1"/>
  <c r="L27" i="1"/>
  <c r="P27" i="1" s="1"/>
  <c r="T27" i="1" s="1"/>
  <c r="L17" i="1"/>
  <c r="P17" i="1" s="1"/>
  <c r="U17" i="1" s="1"/>
  <c r="L18" i="1"/>
  <c r="P18" i="1" s="1"/>
  <c r="T18" i="1" s="1"/>
  <c r="J19" i="1"/>
  <c r="N19" i="1" s="1"/>
  <c r="L28" i="1"/>
  <c r="P28" i="1" s="1"/>
  <c r="T28" i="1" s="1"/>
  <c r="AE28" i="1"/>
  <c r="AE29" i="1"/>
  <c r="K57" i="1"/>
  <c r="O57" i="1" s="1"/>
  <c r="L9" i="8"/>
  <c r="P9" i="8" s="1"/>
  <c r="M10" i="8"/>
  <c r="AE10" i="8"/>
  <c r="L14" i="8"/>
  <c r="P14" i="8" s="1"/>
  <c r="L15" i="8"/>
  <c r="P15" i="8" s="1"/>
  <c r="AE15" i="8"/>
  <c r="I19" i="8"/>
  <c r="M19" i="8" s="1"/>
  <c r="J24" i="8"/>
  <c r="N24" i="8" s="1"/>
  <c r="J27" i="8"/>
  <c r="N27" i="8" s="1"/>
  <c r="K30" i="8"/>
  <c r="O30" i="8" s="1"/>
  <c r="I34" i="8"/>
  <c r="M34" i="8" s="1"/>
  <c r="AE34" i="8"/>
  <c r="L38" i="8"/>
  <c r="P38" i="8" s="1"/>
  <c r="J45" i="8"/>
  <c r="N45" i="8" s="1"/>
  <c r="K46" i="8"/>
  <c r="O46" i="8" s="1"/>
  <c r="L54" i="8"/>
  <c r="P54" i="8" s="1"/>
  <c r="L55" i="8"/>
  <c r="P55" i="8" s="1"/>
  <c r="U55" i="8" s="1"/>
  <c r="AE55" i="8"/>
  <c r="M11" i="10"/>
  <c r="J23" i="10"/>
  <c r="N23" i="10" s="1"/>
  <c r="K24" i="10"/>
  <c r="O24" i="10" s="1"/>
  <c r="L49" i="10"/>
  <c r="P49" i="10" s="1"/>
  <c r="U49" i="10" s="1"/>
  <c r="S12" i="11"/>
  <c r="AE44" i="10"/>
  <c r="L11" i="10"/>
  <c r="P11" i="10" s="1"/>
  <c r="K12" i="10"/>
  <c r="O12" i="10" s="1"/>
  <c r="J13" i="10"/>
  <c r="N13" i="10" s="1"/>
  <c r="K16" i="10"/>
  <c r="O16" i="10" s="1"/>
  <c r="AE16" i="10"/>
  <c r="J18" i="10"/>
  <c r="N18" i="10" s="1"/>
  <c r="AE21" i="10"/>
  <c r="J31" i="10"/>
  <c r="N31" i="10" s="1"/>
  <c r="AE31" i="10"/>
  <c r="L42" i="10"/>
  <c r="P42" i="10" s="1"/>
  <c r="U42" i="10" s="1"/>
  <c r="L58" i="10"/>
  <c r="P58" i="10" s="1"/>
  <c r="U58" i="10" s="1"/>
  <c r="T11" i="13"/>
  <c r="J48" i="8"/>
  <c r="N48" i="8" s="1"/>
  <c r="J49" i="8"/>
  <c r="N49" i="8" s="1"/>
  <c r="I51" i="8"/>
  <c r="M51" i="8" s="1"/>
  <c r="J56" i="8"/>
  <c r="N56" i="8" s="1"/>
  <c r="L57" i="8"/>
  <c r="P57" i="8" s="1"/>
  <c r="U57" i="8" s="1"/>
  <c r="L12" i="10"/>
  <c r="P12" i="10" s="1"/>
  <c r="L13" i="10"/>
  <c r="P13" i="10" s="1"/>
  <c r="T13" i="10" s="1"/>
  <c r="M14" i="10"/>
  <c r="K15" i="10"/>
  <c r="O15" i="10" s="1"/>
  <c r="L16" i="10"/>
  <c r="P16" i="10" s="1"/>
  <c r="T16" i="10" s="1"/>
  <c r="K17" i="10"/>
  <c r="O17" i="10" s="1"/>
  <c r="L18" i="10"/>
  <c r="P18" i="10" s="1"/>
  <c r="T18" i="10" s="1"/>
  <c r="M19" i="10"/>
  <c r="AE19" i="10"/>
  <c r="AE20" i="10"/>
  <c r="AE29" i="10"/>
  <c r="K31" i="10"/>
  <c r="O31" i="10" s="1"/>
  <c r="K32" i="10"/>
  <c r="O32" i="10" s="1"/>
  <c r="L41" i="10"/>
  <c r="P41" i="10" s="1"/>
  <c r="T41" i="10" s="1"/>
  <c r="K53" i="10"/>
  <c r="O53" i="10" s="1"/>
  <c r="K35" i="8"/>
  <c r="O35" i="8" s="1"/>
  <c r="L39" i="8"/>
  <c r="P39" i="8" s="1"/>
  <c r="T39" i="8" s="1"/>
  <c r="J40" i="8"/>
  <c r="N40" i="8" s="1"/>
  <c r="J41" i="8"/>
  <c r="N41" i="8" s="1"/>
  <c r="K48" i="8"/>
  <c r="O48" i="8" s="1"/>
  <c r="K49" i="8"/>
  <c r="O49" i="8" s="1"/>
  <c r="I50" i="8"/>
  <c r="M50" i="8" s="1"/>
  <c r="J51" i="8"/>
  <c r="N51" i="8" s="1"/>
  <c r="AE57" i="8"/>
  <c r="I59" i="8"/>
  <c r="M59" i="8" s="1"/>
  <c r="S59" i="8" s="1"/>
  <c r="L19" i="10"/>
  <c r="P19" i="10" s="1"/>
  <c r="U19" i="10" s="1"/>
  <c r="K20" i="10"/>
  <c r="O20" i="10" s="1"/>
  <c r="K29" i="10"/>
  <c r="O29" i="10" s="1"/>
  <c r="K39" i="10"/>
  <c r="O39" i="10" s="1"/>
  <c r="AE39" i="10"/>
  <c r="K47" i="10"/>
  <c r="O47" i="10" s="1"/>
  <c r="M10" i="9"/>
  <c r="S10" i="9" s="1"/>
  <c r="U10" i="9" s="1"/>
  <c r="M12" i="9"/>
  <c r="J15" i="9"/>
  <c r="N15" i="9" s="1"/>
  <c r="AE15" i="9"/>
  <c r="J21" i="9"/>
  <c r="N21" i="9" s="1"/>
  <c r="J28" i="9"/>
  <c r="N28" i="9" s="1"/>
  <c r="J29" i="9"/>
  <c r="N29" i="9" s="1"/>
  <c r="AE29" i="9"/>
  <c r="L35" i="9"/>
  <c r="P35" i="9" s="1"/>
  <c r="T35" i="9" s="1"/>
  <c r="I36" i="9"/>
  <c r="M36" i="9" s="1"/>
  <c r="L42" i="9"/>
  <c r="P42" i="9" s="1"/>
  <c r="I49" i="9"/>
  <c r="M49" i="9" s="1"/>
  <c r="K55" i="9"/>
  <c r="O55" i="9" s="1"/>
  <c r="I56" i="9"/>
  <c r="M56" i="9" s="1"/>
  <c r="I60" i="9"/>
  <c r="M60" i="9" s="1"/>
  <c r="AE60" i="9"/>
  <c r="AE10" i="11"/>
  <c r="K12" i="11"/>
  <c r="O12" i="11" s="1"/>
  <c r="T12" i="11" s="1"/>
  <c r="N14" i="11"/>
  <c r="K16" i="11"/>
  <c r="O16" i="11" s="1"/>
  <c r="AE17" i="11"/>
  <c r="L19" i="11"/>
  <c r="P19" i="11" s="1"/>
  <c r="T19" i="11" s="1"/>
  <c r="N21" i="11"/>
  <c r="L23" i="11"/>
  <c r="P23" i="11" s="1"/>
  <c r="U23" i="11" s="1"/>
  <c r="K27" i="11"/>
  <c r="O27" i="11" s="1"/>
  <c r="K28" i="11"/>
  <c r="O28" i="11" s="1"/>
  <c r="L30" i="11"/>
  <c r="P30" i="11" s="1"/>
  <c r="S30" i="11" s="1"/>
  <c r="K31" i="11"/>
  <c r="O31" i="11" s="1"/>
  <c r="AE33" i="11"/>
  <c r="M37" i="11"/>
  <c r="AE37" i="11"/>
  <c r="K39" i="11"/>
  <c r="O39" i="11" s="1"/>
  <c r="J40" i="11"/>
  <c r="N40" i="11" s="1"/>
  <c r="AE46" i="11"/>
  <c r="J54" i="11"/>
  <c r="N54" i="11" s="1"/>
  <c r="AE10" i="12"/>
  <c r="L21" i="12"/>
  <c r="P21" i="12" s="1"/>
  <c r="AE26" i="12"/>
  <c r="L10" i="13"/>
  <c r="P10" i="13" s="1"/>
  <c r="U10" i="13" s="1"/>
  <c r="K11" i="13"/>
  <c r="O11" i="13" s="1"/>
  <c r="K12" i="12"/>
  <c r="O12" i="12" s="1"/>
  <c r="M13" i="12"/>
  <c r="M33" i="12"/>
  <c r="J11" i="9"/>
  <c r="N11" i="9" s="1"/>
  <c r="L13" i="9"/>
  <c r="P13" i="9" s="1"/>
  <c r="T13" i="9" s="1"/>
  <c r="L17" i="9"/>
  <c r="P17" i="9" s="1"/>
  <c r="T17" i="9" s="1"/>
  <c r="K18" i="9"/>
  <c r="O18" i="9" s="1"/>
  <c r="I19" i="9"/>
  <c r="M19" i="9" s="1"/>
  <c r="S19" i="9" s="1"/>
  <c r="K23" i="9"/>
  <c r="O23" i="9" s="1"/>
  <c r="K24" i="9"/>
  <c r="O24" i="9" s="1"/>
  <c r="I25" i="9"/>
  <c r="M25" i="9" s="1"/>
  <c r="I26" i="9"/>
  <c r="M26" i="9" s="1"/>
  <c r="S26" i="9" s="1"/>
  <c r="L33" i="9"/>
  <c r="P33" i="9" s="1"/>
  <c r="T33" i="9" s="1"/>
  <c r="AE37" i="9"/>
  <c r="AE38" i="9"/>
  <c r="L45" i="9"/>
  <c r="P45" i="9" s="1"/>
  <c r="T45" i="9" s="1"/>
  <c r="AE45" i="9"/>
  <c r="L51" i="9"/>
  <c r="P51" i="9" s="1"/>
  <c r="U51" i="9" s="1"/>
  <c r="I52" i="9"/>
  <c r="M52" i="9" s="1"/>
  <c r="AE52" i="9"/>
  <c r="L58" i="9"/>
  <c r="P58" i="9" s="1"/>
  <c r="K9" i="11"/>
  <c r="O9" i="11" s="1"/>
  <c r="T9" i="11" s="1"/>
  <c r="AE9" i="11"/>
  <c r="L11" i="11"/>
  <c r="P11" i="11" s="1"/>
  <c r="T11" i="11" s="1"/>
  <c r="N13" i="11"/>
  <c r="N15" i="11"/>
  <c r="N17" i="11"/>
  <c r="AE18" i="11"/>
  <c r="K20" i="11"/>
  <c r="O20" i="11" s="1"/>
  <c r="K22" i="11"/>
  <c r="O22" i="11" s="1"/>
  <c r="M25" i="11"/>
  <c r="I58" i="11"/>
  <c r="M58" i="11" s="1"/>
  <c r="J9" i="12"/>
  <c r="N9" i="12" s="1"/>
  <c r="J14" i="12"/>
  <c r="N14" i="12" s="1"/>
  <c r="J15" i="12"/>
  <c r="N15" i="12" s="1"/>
  <c r="J16" i="12"/>
  <c r="N16" i="12" s="1"/>
  <c r="K18" i="12"/>
  <c r="O18" i="12" s="1"/>
  <c r="L24" i="12"/>
  <c r="P24" i="12" s="1"/>
  <c r="K30" i="12"/>
  <c r="O30" i="12" s="1"/>
  <c r="M31" i="12"/>
  <c r="AE38" i="12"/>
  <c r="J17" i="13"/>
  <c r="N17" i="13" s="1"/>
  <c r="J18" i="13"/>
  <c r="N18" i="13" s="1"/>
  <c r="J23" i="13"/>
  <c r="N23" i="13" s="1"/>
  <c r="K24" i="13"/>
  <c r="O24" i="13" s="1"/>
  <c r="L25" i="13"/>
  <c r="P25" i="13" s="1"/>
  <c r="U25" i="13" s="1"/>
  <c r="K29" i="13"/>
  <c r="O29" i="13" s="1"/>
  <c r="AE29" i="13"/>
  <c r="AE30" i="13"/>
  <c r="L32" i="13"/>
  <c r="P32" i="13" s="1"/>
  <c r="I33" i="13"/>
  <c r="M33" i="13" s="1"/>
  <c r="L34" i="13"/>
  <c r="P34" i="13" s="1"/>
  <c r="J35" i="13"/>
  <c r="N35" i="13" s="1"/>
  <c r="AE35" i="13"/>
  <c r="J45" i="13"/>
  <c r="N45" i="13" s="1"/>
  <c r="K9" i="12"/>
  <c r="O9" i="12" s="1"/>
  <c r="AE9" i="12"/>
  <c r="L15" i="12"/>
  <c r="P15" i="12" s="1"/>
  <c r="U15" i="12" s="1"/>
  <c r="L16" i="12"/>
  <c r="P16" i="12" s="1"/>
  <c r="U16" i="12" s="1"/>
  <c r="J17" i="12"/>
  <c r="N17" i="12" s="1"/>
  <c r="K29" i="12"/>
  <c r="O29" i="12" s="1"/>
  <c r="M47" i="12"/>
  <c r="M48" i="12"/>
  <c r="J10" i="12"/>
  <c r="N10" i="12" s="1"/>
  <c r="AE36" i="12"/>
  <c r="L47" i="12"/>
  <c r="P47" i="12" s="1"/>
  <c r="T47" i="12" s="1"/>
  <c r="L10" i="12"/>
  <c r="P10" i="12" s="1"/>
  <c r="U10" i="12" s="1"/>
  <c r="K21" i="12"/>
  <c r="O21" i="12" s="1"/>
  <c r="M22" i="12"/>
  <c r="L35" i="12"/>
  <c r="P35" i="12" s="1"/>
  <c r="T35" i="12" s="1"/>
  <c r="J36" i="12"/>
  <c r="N36" i="12" s="1"/>
  <c r="H2" i="14"/>
  <c r="H3" i="14" s="1"/>
  <c r="P2" i="14"/>
  <c r="P3" i="14" s="1"/>
  <c r="J9" i="1"/>
  <c r="N9" i="1" s="1"/>
  <c r="AE10" i="1"/>
  <c r="K12" i="1"/>
  <c r="O12" i="1" s="1"/>
  <c r="M14" i="1"/>
  <c r="L15" i="1"/>
  <c r="P15" i="1" s="1"/>
  <c r="J17" i="1"/>
  <c r="N17" i="1" s="1"/>
  <c r="AE18" i="1"/>
  <c r="K20" i="1"/>
  <c r="O20" i="1" s="1"/>
  <c r="I22" i="1"/>
  <c r="M22" i="1" s="1"/>
  <c r="L23" i="1"/>
  <c r="P23" i="1" s="1"/>
  <c r="J25" i="1"/>
  <c r="N25" i="1" s="1"/>
  <c r="AE26" i="1"/>
  <c r="K28" i="1"/>
  <c r="O28" i="1" s="1"/>
  <c r="I30" i="1"/>
  <c r="M30" i="1" s="1"/>
  <c r="L31" i="1"/>
  <c r="P31" i="1" s="1"/>
  <c r="J33" i="1"/>
  <c r="N33" i="1" s="1"/>
  <c r="AE34" i="1"/>
  <c r="K36" i="1"/>
  <c r="O36" i="1" s="1"/>
  <c r="I38" i="1"/>
  <c r="M38" i="1" s="1"/>
  <c r="L39" i="1"/>
  <c r="P39" i="1" s="1"/>
  <c r="J41" i="1"/>
  <c r="N41" i="1" s="1"/>
  <c r="AE42" i="1"/>
  <c r="K44" i="1"/>
  <c r="O44" i="1" s="1"/>
  <c r="I46" i="1"/>
  <c r="M46" i="1" s="1"/>
  <c r="L47" i="1"/>
  <c r="P47" i="1" s="1"/>
  <c r="L49" i="1"/>
  <c r="P49" i="1" s="1"/>
  <c r="K50" i="1"/>
  <c r="O50" i="1" s="1"/>
  <c r="AE50" i="1"/>
  <c r="AE55" i="1"/>
  <c r="I57" i="1"/>
  <c r="M57" i="1" s="1"/>
  <c r="L58" i="1"/>
  <c r="P58" i="1" s="1"/>
  <c r="J59" i="1"/>
  <c r="N59" i="1" s="1"/>
  <c r="L60" i="1"/>
  <c r="P60" i="1" s="1"/>
  <c r="L36" i="1"/>
  <c r="P36" i="1" s="1"/>
  <c r="J38" i="1"/>
  <c r="N38" i="1" s="1"/>
  <c r="AE39" i="1"/>
  <c r="K41" i="1"/>
  <c r="O41" i="1" s="1"/>
  <c r="I43" i="1"/>
  <c r="M43" i="1" s="1"/>
  <c r="L44" i="1"/>
  <c r="P44" i="1" s="1"/>
  <c r="J46" i="1"/>
  <c r="N46" i="1" s="1"/>
  <c r="AE47" i="1"/>
  <c r="L50" i="1"/>
  <c r="P50" i="1" s="1"/>
  <c r="I51" i="1"/>
  <c r="M51" i="1" s="1"/>
  <c r="I52" i="1"/>
  <c r="M52" i="1" s="1"/>
  <c r="AE53" i="1"/>
  <c r="J55" i="1"/>
  <c r="N55" i="1" s="1"/>
  <c r="I56" i="1"/>
  <c r="M56" i="1" s="1"/>
  <c r="J57" i="1"/>
  <c r="N57" i="1" s="1"/>
  <c r="U19" i="9"/>
  <c r="T19" i="9"/>
  <c r="T20" i="8"/>
  <c r="AE9" i="1"/>
  <c r="K11" i="1"/>
  <c r="O11" i="1" s="1"/>
  <c r="M13" i="1"/>
  <c r="L14" i="1"/>
  <c r="P14" i="1" s="1"/>
  <c r="J16" i="1"/>
  <c r="N16" i="1" s="1"/>
  <c r="AE17" i="1"/>
  <c r="K19" i="1"/>
  <c r="O19" i="1" s="1"/>
  <c r="I21" i="1"/>
  <c r="M21" i="1" s="1"/>
  <c r="L22" i="1"/>
  <c r="P22" i="1" s="1"/>
  <c r="J24" i="1"/>
  <c r="N24" i="1" s="1"/>
  <c r="AE25" i="1"/>
  <c r="K27" i="1"/>
  <c r="O27" i="1" s="1"/>
  <c r="I29" i="1"/>
  <c r="M29" i="1" s="1"/>
  <c r="L30" i="1"/>
  <c r="P30" i="1" s="1"/>
  <c r="J32" i="1"/>
  <c r="N32" i="1" s="1"/>
  <c r="AE33" i="1"/>
  <c r="K35" i="1"/>
  <c r="O35" i="1" s="1"/>
  <c r="I37" i="1"/>
  <c r="M37" i="1" s="1"/>
  <c r="L38" i="1"/>
  <c r="P38" i="1" s="1"/>
  <c r="J40" i="1"/>
  <c r="N40" i="1" s="1"/>
  <c r="AE41" i="1"/>
  <c r="K43" i="1"/>
  <c r="O43" i="1" s="1"/>
  <c r="I45" i="1"/>
  <c r="M45" i="1" s="1"/>
  <c r="L46" i="1"/>
  <c r="P46" i="1" s="1"/>
  <c r="J48" i="1"/>
  <c r="N48" i="1" s="1"/>
  <c r="K51" i="1"/>
  <c r="O51" i="1" s="1"/>
  <c r="K52" i="1"/>
  <c r="O52" i="1" s="1"/>
  <c r="L53" i="1"/>
  <c r="P53" i="1" s="1"/>
  <c r="J54" i="1"/>
  <c r="N54" i="1" s="1"/>
  <c r="L55" i="1"/>
  <c r="P55" i="1" s="1"/>
  <c r="T44" i="8"/>
  <c r="U26" i="9"/>
  <c r="AE59" i="1"/>
  <c r="J58" i="1"/>
  <c r="N58" i="1" s="1"/>
  <c r="L56" i="1"/>
  <c r="P56" i="1" s="1"/>
  <c r="I55" i="1"/>
  <c r="M55" i="1" s="1"/>
  <c r="K53" i="1"/>
  <c r="O53" i="1" s="1"/>
  <c r="AE51" i="1"/>
  <c r="J50" i="1"/>
  <c r="N50" i="1" s="1"/>
  <c r="L48" i="1"/>
  <c r="P48" i="1" s="1"/>
  <c r="L59" i="1"/>
  <c r="P59" i="1" s="1"/>
  <c r="I58" i="1"/>
  <c r="M58" i="1" s="1"/>
  <c r="K56" i="1"/>
  <c r="O56" i="1" s="1"/>
  <c r="AE54" i="1"/>
  <c r="J53" i="1"/>
  <c r="N53" i="1" s="1"/>
  <c r="L51" i="1"/>
  <c r="P51" i="1" s="1"/>
  <c r="I50" i="1"/>
  <c r="M50" i="1" s="1"/>
  <c r="K59" i="1"/>
  <c r="O59" i="1" s="1"/>
  <c r="AE57" i="1"/>
  <c r="J56" i="1"/>
  <c r="N56" i="1" s="1"/>
  <c r="L54" i="1"/>
  <c r="P54" i="1" s="1"/>
  <c r="I53" i="1"/>
  <c r="M53" i="1" s="1"/>
  <c r="J10" i="1"/>
  <c r="N10" i="1" s="1"/>
  <c r="AE11" i="1"/>
  <c r="K13" i="1"/>
  <c r="O13" i="1" s="1"/>
  <c r="M15" i="1"/>
  <c r="L16" i="1"/>
  <c r="P16" i="1" s="1"/>
  <c r="J18" i="1"/>
  <c r="N18" i="1" s="1"/>
  <c r="AE19" i="1"/>
  <c r="K21" i="1"/>
  <c r="O21" i="1" s="1"/>
  <c r="I23" i="1"/>
  <c r="M23" i="1" s="1"/>
  <c r="L24" i="1"/>
  <c r="P24" i="1" s="1"/>
  <c r="J26" i="1"/>
  <c r="N26" i="1" s="1"/>
  <c r="AE27" i="1"/>
  <c r="K29" i="1"/>
  <c r="O29" i="1" s="1"/>
  <c r="I31" i="1"/>
  <c r="M31" i="1" s="1"/>
  <c r="L32" i="1"/>
  <c r="P32" i="1" s="1"/>
  <c r="J34" i="1"/>
  <c r="N34" i="1" s="1"/>
  <c r="AE35" i="1"/>
  <c r="K37" i="1"/>
  <c r="O37" i="1" s="1"/>
  <c r="I39" i="1"/>
  <c r="M39" i="1" s="1"/>
  <c r="L40" i="1"/>
  <c r="P40" i="1" s="1"/>
  <c r="J42" i="1"/>
  <c r="N42" i="1" s="1"/>
  <c r="AE43" i="1"/>
  <c r="K45" i="1"/>
  <c r="O45" i="1" s="1"/>
  <c r="I47" i="1"/>
  <c r="M47" i="1" s="1"/>
  <c r="I49" i="1"/>
  <c r="M49" i="1" s="1"/>
  <c r="I60" i="1"/>
  <c r="M60" i="1" s="1"/>
  <c r="AE60" i="1"/>
  <c r="K10" i="1"/>
  <c r="O10" i="1" s="1"/>
  <c r="I12" i="1"/>
  <c r="M12" i="1" s="1"/>
  <c r="L13" i="1"/>
  <c r="P13" i="1" s="1"/>
  <c r="J15" i="1"/>
  <c r="N15" i="1" s="1"/>
  <c r="AE16" i="1"/>
  <c r="K18" i="1"/>
  <c r="O18" i="1" s="1"/>
  <c r="I20" i="1"/>
  <c r="M20" i="1" s="1"/>
  <c r="L21" i="1"/>
  <c r="P21" i="1" s="1"/>
  <c r="J23" i="1"/>
  <c r="N23" i="1" s="1"/>
  <c r="AE24" i="1"/>
  <c r="K26" i="1"/>
  <c r="O26" i="1" s="1"/>
  <c r="I28" i="1"/>
  <c r="M28" i="1" s="1"/>
  <c r="L29" i="1"/>
  <c r="P29" i="1" s="1"/>
  <c r="J31" i="1"/>
  <c r="N31" i="1" s="1"/>
  <c r="AE32" i="1"/>
  <c r="K34" i="1"/>
  <c r="O34" i="1" s="1"/>
  <c r="I36" i="1"/>
  <c r="M36" i="1" s="1"/>
  <c r="L37" i="1"/>
  <c r="P37" i="1" s="1"/>
  <c r="J39" i="1"/>
  <c r="N39" i="1" s="1"/>
  <c r="AE40" i="1"/>
  <c r="K42" i="1"/>
  <c r="O42" i="1" s="1"/>
  <c r="I44" i="1"/>
  <c r="M44" i="1" s="1"/>
  <c r="L45" i="1"/>
  <c r="P45" i="1" s="1"/>
  <c r="J47" i="1"/>
  <c r="N47" i="1" s="1"/>
  <c r="J49" i="1"/>
  <c r="N49" i="1" s="1"/>
  <c r="AE58" i="1"/>
  <c r="J60" i="1"/>
  <c r="N60" i="1" s="1"/>
  <c r="U20" i="8"/>
  <c r="T44" i="10"/>
  <c r="J10" i="8"/>
  <c r="N10" i="8" s="1"/>
  <c r="AE11" i="8"/>
  <c r="K13" i="8"/>
  <c r="O13" i="8" s="1"/>
  <c r="M15" i="8"/>
  <c r="L16" i="8"/>
  <c r="P16" i="8" s="1"/>
  <c r="J18" i="8"/>
  <c r="N18" i="8" s="1"/>
  <c r="AE19" i="8"/>
  <c r="K21" i="8"/>
  <c r="O21" i="8" s="1"/>
  <c r="I23" i="8"/>
  <c r="M23" i="8" s="1"/>
  <c r="L24" i="8"/>
  <c r="P24" i="8" s="1"/>
  <c r="J26" i="8"/>
  <c r="N26" i="8" s="1"/>
  <c r="AE27" i="8"/>
  <c r="K29" i="8"/>
  <c r="O29" i="8" s="1"/>
  <c r="I31" i="8"/>
  <c r="M31" i="8" s="1"/>
  <c r="L32" i="8"/>
  <c r="P32" i="8" s="1"/>
  <c r="J34" i="8"/>
  <c r="N34" i="8" s="1"/>
  <c r="AE35" i="8"/>
  <c r="K37" i="8"/>
  <c r="O37" i="8" s="1"/>
  <c r="I39" i="8"/>
  <c r="M39" i="8" s="1"/>
  <c r="L40" i="8"/>
  <c r="P40" i="8" s="1"/>
  <c r="J42" i="8"/>
  <c r="N42" i="8" s="1"/>
  <c r="AE43" i="8"/>
  <c r="K45" i="8"/>
  <c r="O45" i="8" s="1"/>
  <c r="I47" i="8"/>
  <c r="M47" i="8" s="1"/>
  <c r="L48" i="8"/>
  <c r="P48" i="8" s="1"/>
  <c r="J50" i="8"/>
  <c r="N50" i="8" s="1"/>
  <c r="AE51" i="8"/>
  <c r="K53" i="8"/>
  <c r="O53" i="8" s="1"/>
  <c r="I55" i="8"/>
  <c r="M55" i="8" s="1"/>
  <c r="L56" i="8"/>
  <c r="P56" i="8" s="1"/>
  <c r="J58" i="8"/>
  <c r="N58" i="8" s="1"/>
  <c r="AE59" i="8"/>
  <c r="U44" i="10"/>
  <c r="K10" i="8"/>
  <c r="O10" i="8" s="1"/>
  <c r="M12" i="8"/>
  <c r="L13" i="8"/>
  <c r="P13" i="8" s="1"/>
  <c r="J15" i="8"/>
  <c r="N15" i="8" s="1"/>
  <c r="AE16" i="8"/>
  <c r="K18" i="8"/>
  <c r="O18" i="8" s="1"/>
  <c r="I20" i="8"/>
  <c r="M20" i="8" s="1"/>
  <c r="S20" i="8" s="1"/>
  <c r="L21" i="8"/>
  <c r="P21" i="8" s="1"/>
  <c r="J23" i="8"/>
  <c r="N23" i="8" s="1"/>
  <c r="AE24" i="8"/>
  <c r="K26" i="8"/>
  <c r="O26" i="8" s="1"/>
  <c r="I28" i="8"/>
  <c r="M28" i="8" s="1"/>
  <c r="L29" i="8"/>
  <c r="P29" i="8" s="1"/>
  <c r="J31" i="8"/>
  <c r="N31" i="8" s="1"/>
  <c r="AE32" i="8"/>
  <c r="K34" i="8"/>
  <c r="O34" i="8" s="1"/>
  <c r="I36" i="8"/>
  <c r="M36" i="8" s="1"/>
  <c r="L37" i="8"/>
  <c r="P37" i="8" s="1"/>
  <c r="J39" i="8"/>
  <c r="N39" i="8" s="1"/>
  <c r="AE40" i="8"/>
  <c r="K42" i="8"/>
  <c r="O42" i="8" s="1"/>
  <c r="I44" i="8"/>
  <c r="M44" i="8" s="1"/>
  <c r="S44" i="8" s="1"/>
  <c r="V44" i="8" s="1"/>
  <c r="W44" i="8" s="1"/>
  <c r="Y44" i="8" s="1"/>
  <c r="L45" i="8"/>
  <c r="P45" i="8" s="1"/>
  <c r="J47" i="8"/>
  <c r="N47" i="8" s="1"/>
  <c r="AE48" i="8"/>
  <c r="K50" i="8"/>
  <c r="O50" i="8" s="1"/>
  <c r="I52" i="8"/>
  <c r="M52" i="8" s="1"/>
  <c r="L53" i="8"/>
  <c r="P53" i="8" s="1"/>
  <c r="J55" i="8"/>
  <c r="N55" i="8" s="1"/>
  <c r="AE56" i="8"/>
  <c r="K58" i="8"/>
  <c r="O58" i="8" s="1"/>
  <c r="J60" i="8"/>
  <c r="N60" i="8" s="1"/>
  <c r="U27" i="9"/>
  <c r="M9" i="8"/>
  <c r="L10" i="8"/>
  <c r="P10" i="8" s="1"/>
  <c r="J12" i="8"/>
  <c r="N12" i="8" s="1"/>
  <c r="AE13" i="8"/>
  <c r="K15" i="8"/>
  <c r="O15" i="8" s="1"/>
  <c r="M17" i="8"/>
  <c r="L18" i="8"/>
  <c r="P18" i="8" s="1"/>
  <c r="J20" i="8"/>
  <c r="N20" i="8" s="1"/>
  <c r="AE21" i="8"/>
  <c r="K23" i="8"/>
  <c r="O23" i="8" s="1"/>
  <c r="I25" i="8"/>
  <c r="M25" i="8" s="1"/>
  <c r="S25" i="8" s="1"/>
  <c r="V25" i="8" s="1"/>
  <c r="W25" i="8" s="1"/>
  <c r="Y25" i="8" s="1"/>
  <c r="L26" i="8"/>
  <c r="P26" i="8" s="1"/>
  <c r="J28" i="8"/>
  <c r="N28" i="8" s="1"/>
  <c r="AE29" i="8"/>
  <c r="K31" i="8"/>
  <c r="O31" i="8" s="1"/>
  <c r="I33" i="8"/>
  <c r="M33" i="8" s="1"/>
  <c r="S33" i="8" s="1"/>
  <c r="V33" i="8" s="1"/>
  <c r="W33" i="8" s="1"/>
  <c r="Y33" i="8" s="1"/>
  <c r="L34" i="8"/>
  <c r="P34" i="8" s="1"/>
  <c r="J36" i="8"/>
  <c r="N36" i="8" s="1"/>
  <c r="AE37" i="8"/>
  <c r="K39" i="8"/>
  <c r="O39" i="8" s="1"/>
  <c r="I41" i="8"/>
  <c r="M41" i="8" s="1"/>
  <c r="L42" i="8"/>
  <c r="P42" i="8" s="1"/>
  <c r="J44" i="8"/>
  <c r="N44" i="8" s="1"/>
  <c r="AE45" i="8"/>
  <c r="K47" i="8"/>
  <c r="O47" i="8" s="1"/>
  <c r="I49" i="8"/>
  <c r="M49" i="8" s="1"/>
  <c r="L50" i="8"/>
  <c r="P50" i="8" s="1"/>
  <c r="J52" i="8"/>
  <c r="N52" i="8" s="1"/>
  <c r="AE53" i="8"/>
  <c r="K55" i="8"/>
  <c r="O55" i="8" s="1"/>
  <c r="I57" i="8"/>
  <c r="M57" i="8" s="1"/>
  <c r="L58" i="8"/>
  <c r="P58" i="8" s="1"/>
  <c r="K60" i="8"/>
  <c r="O60" i="8" s="1"/>
  <c r="AE60" i="8"/>
  <c r="AE58" i="8"/>
  <c r="L60" i="8"/>
  <c r="P60" i="8" s="1"/>
  <c r="J9" i="9"/>
  <c r="N9" i="9" s="1"/>
  <c r="AE10" i="9"/>
  <c r="K12" i="9"/>
  <c r="O12" i="9" s="1"/>
  <c r="M14" i="9"/>
  <c r="L15" i="9"/>
  <c r="P15" i="9" s="1"/>
  <c r="J17" i="9"/>
  <c r="N17" i="9" s="1"/>
  <c r="AE18" i="9"/>
  <c r="K20" i="9"/>
  <c r="O20" i="9" s="1"/>
  <c r="I22" i="9"/>
  <c r="M22" i="9" s="1"/>
  <c r="L23" i="9"/>
  <c r="P23" i="9" s="1"/>
  <c r="J25" i="9"/>
  <c r="N25" i="9" s="1"/>
  <c r="AE26" i="9"/>
  <c r="K28" i="9"/>
  <c r="O28" i="9" s="1"/>
  <c r="I30" i="9"/>
  <c r="M30" i="9" s="1"/>
  <c r="L31" i="9"/>
  <c r="P31" i="9" s="1"/>
  <c r="J33" i="9"/>
  <c r="N33" i="9" s="1"/>
  <c r="AE34" i="9"/>
  <c r="K36" i="9"/>
  <c r="O36" i="9" s="1"/>
  <c r="I38" i="9"/>
  <c r="M38" i="9" s="1"/>
  <c r="L39" i="9"/>
  <c r="P39" i="9" s="1"/>
  <c r="J41" i="9"/>
  <c r="N41" i="9" s="1"/>
  <c r="AE42" i="9"/>
  <c r="K44" i="9"/>
  <c r="O44" i="9" s="1"/>
  <c r="I46" i="9"/>
  <c r="M46" i="9" s="1"/>
  <c r="L47" i="9"/>
  <c r="P47" i="9" s="1"/>
  <c r="J49" i="9"/>
  <c r="N49" i="9" s="1"/>
  <c r="AE50" i="9"/>
  <c r="K52" i="9"/>
  <c r="O52" i="9" s="1"/>
  <c r="I54" i="9"/>
  <c r="M54" i="9" s="1"/>
  <c r="L55" i="9"/>
  <c r="P55" i="9" s="1"/>
  <c r="J57" i="9"/>
  <c r="N57" i="9" s="1"/>
  <c r="AE58" i="9"/>
  <c r="K60" i="9"/>
  <c r="O60" i="9" s="1"/>
  <c r="L9" i="10"/>
  <c r="P9" i="10" s="1"/>
  <c r="J11" i="10"/>
  <c r="N11" i="10" s="1"/>
  <c r="AE12" i="10"/>
  <c r="K14" i="10"/>
  <c r="O14" i="10" s="1"/>
  <c r="M17" i="10"/>
  <c r="K21" i="10"/>
  <c r="O21" i="10" s="1"/>
  <c r="L23" i="10"/>
  <c r="P23" i="10" s="1"/>
  <c r="L24" i="10"/>
  <c r="P24" i="10" s="1"/>
  <c r="AE28" i="10"/>
  <c r="K30" i="10"/>
  <c r="O30" i="10" s="1"/>
  <c r="L31" i="10"/>
  <c r="P31" i="10" s="1"/>
  <c r="L34" i="10"/>
  <c r="P34" i="10" s="1"/>
  <c r="L36" i="10"/>
  <c r="P36" i="10" s="1"/>
  <c r="M52" i="10"/>
  <c r="T31" i="11"/>
  <c r="U31" i="11"/>
  <c r="L20" i="9"/>
  <c r="P20" i="9" s="1"/>
  <c r="J22" i="9"/>
  <c r="N22" i="9" s="1"/>
  <c r="AE23" i="9"/>
  <c r="K25" i="9"/>
  <c r="O25" i="9" s="1"/>
  <c r="I27" i="9"/>
  <c r="M27" i="9" s="1"/>
  <c r="S27" i="9" s="1"/>
  <c r="L28" i="9"/>
  <c r="P28" i="9" s="1"/>
  <c r="J30" i="9"/>
  <c r="N30" i="9" s="1"/>
  <c r="AE31" i="9"/>
  <c r="K33" i="9"/>
  <c r="O33" i="9" s="1"/>
  <c r="I35" i="9"/>
  <c r="M35" i="9" s="1"/>
  <c r="L36" i="9"/>
  <c r="P36" i="9" s="1"/>
  <c r="J38" i="9"/>
  <c r="N38" i="9" s="1"/>
  <c r="AE39" i="9"/>
  <c r="K41" i="9"/>
  <c r="O41" i="9" s="1"/>
  <c r="I43" i="9"/>
  <c r="M43" i="9" s="1"/>
  <c r="L44" i="9"/>
  <c r="P44" i="9" s="1"/>
  <c r="J46" i="9"/>
  <c r="N46" i="9" s="1"/>
  <c r="AE47" i="9"/>
  <c r="K49" i="9"/>
  <c r="O49" i="9" s="1"/>
  <c r="I51" i="9"/>
  <c r="M51" i="9" s="1"/>
  <c r="L52" i="9"/>
  <c r="P52" i="9" s="1"/>
  <c r="J54" i="9"/>
  <c r="N54" i="9" s="1"/>
  <c r="AE55" i="9"/>
  <c r="K57" i="9"/>
  <c r="O57" i="9" s="1"/>
  <c r="I59" i="9"/>
  <c r="M59" i="9" s="1"/>
  <c r="L60" i="9"/>
  <c r="P60" i="9" s="1"/>
  <c r="K11" i="10"/>
  <c r="O11" i="10" s="1"/>
  <c r="M13" i="10"/>
  <c r="L14" i="10"/>
  <c r="P14" i="10" s="1"/>
  <c r="AE14" i="10"/>
  <c r="J17" i="10"/>
  <c r="N17" i="10" s="1"/>
  <c r="L21" i="10"/>
  <c r="P21" i="10" s="1"/>
  <c r="J29" i="10"/>
  <c r="N29" i="10" s="1"/>
  <c r="J44" i="10"/>
  <c r="N44" i="10" s="1"/>
  <c r="J49" i="10"/>
  <c r="N49" i="10" s="1"/>
  <c r="L52" i="10"/>
  <c r="P52" i="10" s="1"/>
  <c r="M13" i="9"/>
  <c r="L14" i="9"/>
  <c r="P14" i="9" s="1"/>
  <c r="J16" i="9"/>
  <c r="N16" i="9" s="1"/>
  <c r="AE17" i="9"/>
  <c r="K19" i="9"/>
  <c r="O19" i="9" s="1"/>
  <c r="I21" i="9"/>
  <c r="M21" i="9" s="1"/>
  <c r="L22" i="9"/>
  <c r="P22" i="9" s="1"/>
  <c r="J24" i="9"/>
  <c r="N24" i="9" s="1"/>
  <c r="AE25" i="9"/>
  <c r="K27" i="9"/>
  <c r="O27" i="9" s="1"/>
  <c r="I29" i="9"/>
  <c r="M29" i="9" s="1"/>
  <c r="S29" i="9" s="1"/>
  <c r="L30" i="9"/>
  <c r="P30" i="9" s="1"/>
  <c r="J32" i="9"/>
  <c r="N32" i="9" s="1"/>
  <c r="AE33" i="9"/>
  <c r="K35" i="9"/>
  <c r="O35" i="9" s="1"/>
  <c r="I37" i="9"/>
  <c r="M37" i="9" s="1"/>
  <c r="L38" i="9"/>
  <c r="P38" i="9" s="1"/>
  <c r="J40" i="9"/>
  <c r="N40" i="9" s="1"/>
  <c r="AE41" i="9"/>
  <c r="K43" i="9"/>
  <c r="O43" i="9" s="1"/>
  <c r="I45" i="9"/>
  <c r="M45" i="9" s="1"/>
  <c r="L46" i="9"/>
  <c r="P46" i="9" s="1"/>
  <c r="J48" i="9"/>
  <c r="N48" i="9" s="1"/>
  <c r="AE49" i="9"/>
  <c r="K51" i="9"/>
  <c r="O51" i="9" s="1"/>
  <c r="I53" i="9"/>
  <c r="M53" i="9" s="1"/>
  <c r="L54" i="9"/>
  <c r="P54" i="9" s="1"/>
  <c r="J56" i="9"/>
  <c r="N56" i="9" s="1"/>
  <c r="AE57" i="9"/>
  <c r="K59" i="9"/>
  <c r="O59" i="9" s="1"/>
  <c r="K59" i="10"/>
  <c r="O59" i="10" s="1"/>
  <c r="AE57" i="10"/>
  <c r="J56" i="10"/>
  <c r="N56" i="10" s="1"/>
  <c r="L54" i="10"/>
  <c r="P54" i="10" s="1"/>
  <c r="M53" i="10"/>
  <c r="K51" i="10"/>
  <c r="O51" i="10" s="1"/>
  <c r="AE49" i="10"/>
  <c r="J48" i="10"/>
  <c r="N48" i="10" s="1"/>
  <c r="L46" i="10"/>
  <c r="P46" i="10" s="1"/>
  <c r="M45" i="10"/>
  <c r="K43" i="10"/>
  <c r="O43" i="10" s="1"/>
  <c r="AE41" i="10"/>
  <c r="J40" i="10"/>
  <c r="N40" i="10" s="1"/>
  <c r="L38" i="10"/>
  <c r="P38" i="10" s="1"/>
  <c r="M37" i="10"/>
  <c r="K35" i="10"/>
  <c r="O35" i="10" s="1"/>
  <c r="AE33" i="10"/>
  <c r="J32" i="10"/>
  <c r="N32" i="10" s="1"/>
  <c r="L30" i="10"/>
  <c r="P30" i="10" s="1"/>
  <c r="M29" i="10"/>
  <c r="K27" i="10"/>
  <c r="O27" i="10" s="1"/>
  <c r="AE25" i="10"/>
  <c r="J24" i="10"/>
  <c r="N24" i="10" s="1"/>
  <c r="L22" i="10"/>
  <c r="P22" i="10" s="1"/>
  <c r="M21" i="10"/>
  <c r="K19" i="10"/>
  <c r="O19" i="10" s="1"/>
  <c r="AE17" i="10"/>
  <c r="AE60" i="10"/>
  <c r="J59" i="10"/>
  <c r="N59" i="10" s="1"/>
  <c r="K60" i="10"/>
  <c r="O60" i="10" s="1"/>
  <c r="AE58" i="10"/>
  <c r="J57" i="10"/>
  <c r="N57" i="10" s="1"/>
  <c r="L55" i="10"/>
  <c r="P55" i="10" s="1"/>
  <c r="M54" i="10"/>
  <c r="K52" i="10"/>
  <c r="O52" i="10" s="1"/>
  <c r="K58" i="10"/>
  <c r="O58" i="10" s="1"/>
  <c r="L57" i="10"/>
  <c r="P57" i="10" s="1"/>
  <c r="AE52" i="10"/>
  <c r="J52" i="10"/>
  <c r="N52" i="10" s="1"/>
  <c r="M50" i="10"/>
  <c r="K49" i="10"/>
  <c r="O49" i="10" s="1"/>
  <c r="M47" i="10"/>
  <c r="K44" i="10"/>
  <c r="O44" i="10" s="1"/>
  <c r="J42" i="10"/>
  <c r="N42" i="10" s="1"/>
  <c r="L60" i="10"/>
  <c r="P60" i="10" s="1"/>
  <c r="J58" i="10"/>
  <c r="N58" i="10" s="1"/>
  <c r="K57" i="10"/>
  <c r="O57" i="10" s="1"/>
  <c r="J60" i="10"/>
  <c r="N60" i="10" s="1"/>
  <c r="L59" i="10"/>
  <c r="P59" i="10" s="1"/>
  <c r="M58" i="10"/>
  <c r="M57" i="10"/>
  <c r="K56" i="10"/>
  <c r="O56" i="10" s="1"/>
  <c r="K55" i="10"/>
  <c r="O55" i="10" s="1"/>
  <c r="AE51" i="10"/>
  <c r="L51" i="10"/>
  <c r="P51" i="10" s="1"/>
  <c r="M49" i="10"/>
  <c r="J46" i="10"/>
  <c r="N46" i="10" s="1"/>
  <c r="M44" i="10"/>
  <c r="S44" i="10" s="1"/>
  <c r="J41" i="10"/>
  <c r="N41" i="10" s="1"/>
  <c r="AE38" i="10"/>
  <c r="K38" i="10"/>
  <c r="O38" i="10" s="1"/>
  <c r="J36" i="10"/>
  <c r="N36" i="10" s="1"/>
  <c r="M34" i="10"/>
  <c r="K33" i="10"/>
  <c r="O33" i="10" s="1"/>
  <c r="M31" i="10"/>
  <c r="K28" i="10"/>
  <c r="O28" i="10" s="1"/>
  <c r="J26" i="10"/>
  <c r="N26" i="10" s="1"/>
  <c r="M60" i="10"/>
  <c r="M59" i="10"/>
  <c r="AE56" i="10"/>
  <c r="M56" i="10"/>
  <c r="J55" i="10"/>
  <c r="N55" i="10" s="1"/>
  <c r="J51" i="10"/>
  <c r="N51" i="10" s="1"/>
  <c r="AE48" i="10"/>
  <c r="L48" i="10"/>
  <c r="P48" i="10" s="1"/>
  <c r="M46" i="10"/>
  <c r="AE43" i="10"/>
  <c r="L43" i="10"/>
  <c r="P43" i="10" s="1"/>
  <c r="M41" i="10"/>
  <c r="J38" i="10"/>
  <c r="N38" i="10" s="1"/>
  <c r="M36" i="10"/>
  <c r="J33" i="10"/>
  <c r="N33" i="10" s="1"/>
  <c r="AE59" i="10"/>
  <c r="AE55" i="10"/>
  <c r="M55" i="10"/>
  <c r="K54" i="10"/>
  <c r="O54" i="10" s="1"/>
  <c r="M51" i="10"/>
  <c r="K48" i="10"/>
  <c r="O48" i="10" s="1"/>
  <c r="AE45" i="10"/>
  <c r="L45" i="10"/>
  <c r="P45" i="10" s="1"/>
  <c r="J43" i="10"/>
  <c r="N43" i="10" s="1"/>
  <c r="AE40" i="10"/>
  <c r="L40" i="10"/>
  <c r="P40" i="10" s="1"/>
  <c r="M38" i="10"/>
  <c r="AE35" i="10"/>
  <c r="L35" i="10"/>
  <c r="P35" i="10" s="1"/>
  <c r="M33" i="10"/>
  <c r="J30" i="10"/>
  <c r="N30" i="10" s="1"/>
  <c r="M28" i="10"/>
  <c r="J25" i="10"/>
  <c r="N25" i="10" s="1"/>
  <c r="AE22" i="10"/>
  <c r="K22" i="10"/>
  <c r="O22" i="10" s="1"/>
  <c r="J20" i="10"/>
  <c r="N20" i="10" s="1"/>
  <c r="M18" i="10"/>
  <c r="J16" i="10"/>
  <c r="N16" i="10" s="1"/>
  <c r="AE54" i="10"/>
  <c r="J54" i="10"/>
  <c r="N54" i="10" s="1"/>
  <c r="L53" i="10"/>
  <c r="P53" i="10" s="1"/>
  <c r="AE50" i="10"/>
  <c r="L50" i="10"/>
  <c r="P50" i="10" s="1"/>
  <c r="M48" i="10"/>
  <c r="L47" i="10"/>
  <c r="P47" i="10" s="1"/>
  <c r="K45" i="10"/>
  <c r="O45" i="10" s="1"/>
  <c r="M43" i="10"/>
  <c r="K40" i="10"/>
  <c r="O40" i="10" s="1"/>
  <c r="AE37" i="10"/>
  <c r="L37" i="10"/>
  <c r="P37" i="10" s="1"/>
  <c r="J35" i="10"/>
  <c r="N35" i="10" s="1"/>
  <c r="AE32" i="10"/>
  <c r="L32" i="10"/>
  <c r="P32" i="10" s="1"/>
  <c r="M30" i="10"/>
  <c r="AE27" i="10"/>
  <c r="L27" i="10"/>
  <c r="P27" i="10" s="1"/>
  <c r="M25" i="10"/>
  <c r="J22" i="10"/>
  <c r="N22" i="10" s="1"/>
  <c r="J10" i="10"/>
  <c r="N10" i="10" s="1"/>
  <c r="AE11" i="10"/>
  <c r="K13" i="10"/>
  <c r="O13" i="10" s="1"/>
  <c r="J15" i="10"/>
  <c r="N15" i="10" s="1"/>
  <c r="L17" i="10"/>
  <c r="P17" i="10" s="1"/>
  <c r="K18" i="10"/>
  <c r="O18" i="10" s="1"/>
  <c r="AE18" i="10"/>
  <c r="AE26" i="10"/>
  <c r="L28" i="10"/>
  <c r="P28" i="10" s="1"/>
  <c r="L29" i="10"/>
  <c r="P29" i="10" s="1"/>
  <c r="L33" i="10"/>
  <c r="P33" i="10" s="1"/>
  <c r="AE34" i="10"/>
  <c r="M40" i="10"/>
  <c r="K42" i="10"/>
  <c r="O42" i="10" s="1"/>
  <c r="J47" i="10"/>
  <c r="N47" i="10" s="1"/>
  <c r="J53" i="10"/>
  <c r="N53" i="10" s="1"/>
  <c r="T18" i="11"/>
  <c r="U18" i="11"/>
  <c r="T57" i="11"/>
  <c r="J10" i="9"/>
  <c r="N10" i="9" s="1"/>
  <c r="AE11" i="9"/>
  <c r="K13" i="9"/>
  <c r="O13" i="9" s="1"/>
  <c r="M15" i="9"/>
  <c r="L16" i="9"/>
  <c r="P16" i="9" s="1"/>
  <c r="J18" i="9"/>
  <c r="N18" i="9" s="1"/>
  <c r="AE19" i="9"/>
  <c r="K21" i="9"/>
  <c r="O21" i="9" s="1"/>
  <c r="I23" i="9"/>
  <c r="M23" i="9" s="1"/>
  <c r="L24" i="9"/>
  <c r="P24" i="9" s="1"/>
  <c r="J26" i="9"/>
  <c r="N26" i="9" s="1"/>
  <c r="AE27" i="9"/>
  <c r="K29" i="9"/>
  <c r="O29" i="9" s="1"/>
  <c r="I31" i="9"/>
  <c r="M31" i="9" s="1"/>
  <c r="L32" i="9"/>
  <c r="P32" i="9" s="1"/>
  <c r="J34" i="9"/>
  <c r="N34" i="9" s="1"/>
  <c r="AE35" i="9"/>
  <c r="K37" i="9"/>
  <c r="O37" i="9" s="1"/>
  <c r="I39" i="9"/>
  <c r="M39" i="9" s="1"/>
  <c r="L40" i="9"/>
  <c r="P40" i="9" s="1"/>
  <c r="J42" i="9"/>
  <c r="N42" i="9" s="1"/>
  <c r="AE43" i="9"/>
  <c r="K45" i="9"/>
  <c r="O45" i="9" s="1"/>
  <c r="I47" i="9"/>
  <c r="M47" i="9" s="1"/>
  <c r="L48" i="9"/>
  <c r="P48" i="9" s="1"/>
  <c r="J50" i="9"/>
  <c r="N50" i="9" s="1"/>
  <c r="AE51" i="9"/>
  <c r="K53" i="9"/>
  <c r="O53" i="9" s="1"/>
  <c r="I55" i="9"/>
  <c r="M55" i="9" s="1"/>
  <c r="L56" i="9"/>
  <c r="P56" i="9" s="1"/>
  <c r="J58" i="9"/>
  <c r="N58" i="9" s="1"/>
  <c r="M9" i="10"/>
  <c r="L10" i="10"/>
  <c r="P10" i="10" s="1"/>
  <c r="J12" i="10"/>
  <c r="N12" i="10" s="1"/>
  <c r="AE13" i="10"/>
  <c r="L15" i="10"/>
  <c r="P15" i="10" s="1"/>
  <c r="M16" i="10"/>
  <c r="J19" i="10"/>
  <c r="N19" i="10" s="1"/>
  <c r="M20" i="10"/>
  <c r="M23" i="10"/>
  <c r="AE23" i="10"/>
  <c r="AE24" i="10"/>
  <c r="K26" i="10"/>
  <c r="O26" i="10" s="1"/>
  <c r="J27" i="10"/>
  <c r="N27" i="10" s="1"/>
  <c r="AE30" i="10"/>
  <c r="M32" i="10"/>
  <c r="J37" i="10"/>
  <c r="N37" i="10" s="1"/>
  <c r="J39" i="10"/>
  <c r="N39" i="10" s="1"/>
  <c r="J45" i="10"/>
  <c r="N45" i="10" s="1"/>
  <c r="K50" i="10"/>
  <c r="O50" i="10" s="1"/>
  <c r="U22" i="11"/>
  <c r="T22" i="11"/>
  <c r="U57" i="11"/>
  <c r="S20" i="11"/>
  <c r="V20" i="11" s="1"/>
  <c r="W20" i="11" s="1"/>
  <c r="Y20" i="11" s="1"/>
  <c r="M28" i="11"/>
  <c r="L29" i="11"/>
  <c r="P29" i="11" s="1"/>
  <c r="J31" i="11"/>
  <c r="N31" i="11" s="1"/>
  <c r="AE32" i="11"/>
  <c r="K34" i="11"/>
  <c r="O34" i="11" s="1"/>
  <c r="M36" i="11"/>
  <c r="L37" i="11"/>
  <c r="P37" i="11" s="1"/>
  <c r="J39" i="11"/>
  <c r="N39" i="11" s="1"/>
  <c r="AE40" i="11"/>
  <c r="AE47" i="11"/>
  <c r="I49" i="11"/>
  <c r="M49" i="11" s="1"/>
  <c r="L50" i="11"/>
  <c r="P50" i="11" s="1"/>
  <c r="I59" i="11"/>
  <c r="M59" i="11" s="1"/>
  <c r="J60" i="11"/>
  <c r="N60" i="11" s="1"/>
  <c r="J33" i="11"/>
  <c r="N33" i="11" s="1"/>
  <c r="AE34" i="11"/>
  <c r="K36" i="11"/>
  <c r="O36" i="11" s="1"/>
  <c r="M38" i="11"/>
  <c r="L39" i="11"/>
  <c r="P39" i="11" s="1"/>
  <c r="K41" i="11"/>
  <c r="O41" i="11" s="1"/>
  <c r="J42" i="11"/>
  <c r="N42" i="11" s="1"/>
  <c r="I43" i="11"/>
  <c r="M43" i="11" s="1"/>
  <c r="J44" i="11"/>
  <c r="N44" i="11" s="1"/>
  <c r="J45" i="11"/>
  <c r="N45" i="11" s="1"/>
  <c r="J46" i="11"/>
  <c r="N46" i="11" s="1"/>
  <c r="J47" i="11"/>
  <c r="N47" i="11" s="1"/>
  <c r="K48" i="11"/>
  <c r="O48" i="11" s="1"/>
  <c r="L49" i="11"/>
  <c r="P49" i="11" s="1"/>
  <c r="AE56" i="11"/>
  <c r="K58" i="11"/>
  <c r="O58" i="11" s="1"/>
  <c r="L59" i="11"/>
  <c r="P59" i="11" s="1"/>
  <c r="M27" i="11"/>
  <c r="L28" i="11"/>
  <c r="P28" i="11" s="1"/>
  <c r="N30" i="11"/>
  <c r="AE31" i="11"/>
  <c r="K33" i="11"/>
  <c r="O33" i="11" s="1"/>
  <c r="M35" i="11"/>
  <c r="L36" i="11"/>
  <c r="P36" i="11" s="1"/>
  <c r="J38" i="11"/>
  <c r="N38" i="11" s="1"/>
  <c r="AE39" i="11"/>
  <c r="L41" i="11"/>
  <c r="P41" i="11" s="1"/>
  <c r="K42" i="11"/>
  <c r="O42" i="11" s="1"/>
  <c r="J43" i="11"/>
  <c r="N43" i="11" s="1"/>
  <c r="L44" i="11"/>
  <c r="P44" i="11" s="1"/>
  <c r="L45" i="11"/>
  <c r="P45" i="11" s="1"/>
  <c r="K46" i="11"/>
  <c r="O46" i="11" s="1"/>
  <c r="K47" i="11"/>
  <c r="O47" i="11" s="1"/>
  <c r="AE55" i="11"/>
  <c r="I57" i="11"/>
  <c r="M57" i="11" s="1"/>
  <c r="S57" i="11" s="1"/>
  <c r="L58" i="11"/>
  <c r="P58" i="11" s="1"/>
  <c r="M24" i="11"/>
  <c r="L25" i="11"/>
  <c r="P25" i="11" s="1"/>
  <c r="N27" i="11"/>
  <c r="AE28" i="11"/>
  <c r="K30" i="11"/>
  <c r="O30" i="11" s="1"/>
  <c r="M32" i="11"/>
  <c r="L33" i="11"/>
  <c r="P33" i="11" s="1"/>
  <c r="J35" i="11"/>
  <c r="N35" i="11" s="1"/>
  <c r="AE36" i="11"/>
  <c r="K38" i="11"/>
  <c r="O38" i="11" s="1"/>
  <c r="M40" i="11"/>
  <c r="L42" i="11"/>
  <c r="P42" i="11" s="1"/>
  <c r="L43" i="11"/>
  <c r="P43" i="11" s="1"/>
  <c r="I52" i="11"/>
  <c r="M52" i="11" s="1"/>
  <c r="AE52" i="11"/>
  <c r="AE53" i="11"/>
  <c r="AE54" i="11"/>
  <c r="M56" i="11"/>
  <c r="K57" i="11"/>
  <c r="O57" i="11" s="1"/>
  <c r="M26" i="11"/>
  <c r="L27" i="11"/>
  <c r="P27" i="11" s="1"/>
  <c r="N29" i="11"/>
  <c r="AE30" i="11"/>
  <c r="K32" i="11"/>
  <c r="O32" i="11" s="1"/>
  <c r="M34" i="11"/>
  <c r="L35" i="11"/>
  <c r="P35" i="11" s="1"/>
  <c r="J37" i="11"/>
  <c r="N37" i="11" s="1"/>
  <c r="AE38" i="11"/>
  <c r="K40" i="11"/>
  <c r="O40" i="11" s="1"/>
  <c r="I50" i="11"/>
  <c r="M50" i="11" s="1"/>
  <c r="J51" i="11"/>
  <c r="N51" i="11" s="1"/>
  <c r="L52" i="11"/>
  <c r="P52" i="11" s="1"/>
  <c r="L53" i="11"/>
  <c r="P53" i="11" s="1"/>
  <c r="K54" i="11"/>
  <c r="O54" i="11" s="1"/>
  <c r="K60" i="11"/>
  <c r="O60" i="11" s="1"/>
  <c r="AE58" i="11"/>
  <c r="J57" i="11"/>
  <c r="N57" i="11" s="1"/>
  <c r="L55" i="11"/>
  <c r="P55" i="11" s="1"/>
  <c r="I54" i="11"/>
  <c r="M54" i="11" s="1"/>
  <c r="K52" i="11"/>
  <c r="O52" i="11" s="1"/>
  <c r="AE50" i="11"/>
  <c r="J49" i="11"/>
  <c r="N49" i="11" s="1"/>
  <c r="L47" i="11"/>
  <c r="P47" i="11" s="1"/>
  <c r="I46" i="11"/>
  <c r="M46" i="11" s="1"/>
  <c r="K44" i="11"/>
  <c r="O44" i="11" s="1"/>
  <c r="AE42" i="11"/>
  <c r="J41" i="11"/>
  <c r="N41" i="11" s="1"/>
  <c r="AE59" i="11"/>
  <c r="J58" i="11"/>
  <c r="N58" i="11" s="1"/>
  <c r="L56" i="11"/>
  <c r="P56" i="11" s="1"/>
  <c r="I55" i="11"/>
  <c r="M55" i="11" s="1"/>
  <c r="K53" i="11"/>
  <c r="O53" i="11" s="1"/>
  <c r="AE51" i="11"/>
  <c r="J50" i="11"/>
  <c r="N50" i="11" s="1"/>
  <c r="L48" i="11"/>
  <c r="P48" i="11" s="1"/>
  <c r="I47" i="11"/>
  <c r="M47" i="11" s="1"/>
  <c r="K45" i="11"/>
  <c r="O45" i="11" s="1"/>
  <c r="AE43" i="11"/>
  <c r="K59" i="11"/>
  <c r="O59" i="11" s="1"/>
  <c r="AE57" i="11"/>
  <c r="J56" i="11"/>
  <c r="N56" i="11" s="1"/>
  <c r="L54" i="11"/>
  <c r="P54" i="11" s="1"/>
  <c r="I53" i="11"/>
  <c r="M53" i="11" s="1"/>
  <c r="K51" i="11"/>
  <c r="O51" i="11" s="1"/>
  <c r="AE49" i="11"/>
  <c r="J48" i="11"/>
  <c r="N48" i="11" s="1"/>
  <c r="L46" i="11"/>
  <c r="P46" i="11" s="1"/>
  <c r="I45" i="11"/>
  <c r="M45" i="11" s="1"/>
  <c r="K43" i="11"/>
  <c r="O43" i="11" s="1"/>
  <c r="AE41" i="11"/>
  <c r="N10" i="11"/>
  <c r="AE11" i="11"/>
  <c r="K13" i="11"/>
  <c r="O13" i="11" s="1"/>
  <c r="M15" i="11"/>
  <c r="S15" i="11" s="1"/>
  <c r="U15" i="11" s="1"/>
  <c r="L16" i="11"/>
  <c r="P16" i="11" s="1"/>
  <c r="N18" i="11"/>
  <c r="AE19" i="11"/>
  <c r="K21" i="11"/>
  <c r="O21" i="11" s="1"/>
  <c r="M23" i="11"/>
  <c r="L24" i="11"/>
  <c r="P24" i="11" s="1"/>
  <c r="N26" i="11"/>
  <c r="AE27" i="11"/>
  <c r="K29" i="11"/>
  <c r="O29" i="11" s="1"/>
  <c r="M31" i="11"/>
  <c r="S31" i="11" s="1"/>
  <c r="L32" i="11"/>
  <c r="P32" i="11" s="1"/>
  <c r="J34" i="11"/>
  <c r="N34" i="11" s="1"/>
  <c r="AE35" i="11"/>
  <c r="K37" i="11"/>
  <c r="O37" i="11" s="1"/>
  <c r="M39" i="11"/>
  <c r="L40" i="11"/>
  <c r="P40" i="11" s="1"/>
  <c r="AE48" i="11"/>
  <c r="K50" i="11"/>
  <c r="O50" i="11" s="1"/>
  <c r="L51" i="11"/>
  <c r="P51" i="11" s="1"/>
  <c r="I60" i="11"/>
  <c r="M60" i="11" s="1"/>
  <c r="L59" i="12"/>
  <c r="P59" i="12" s="1"/>
  <c r="M58" i="12"/>
  <c r="K56" i="12"/>
  <c r="O56" i="12" s="1"/>
  <c r="J60" i="12"/>
  <c r="N60" i="12" s="1"/>
  <c r="L58" i="12"/>
  <c r="P58" i="12" s="1"/>
  <c r="M57" i="12"/>
  <c r="K55" i="12"/>
  <c r="O55" i="12" s="1"/>
  <c r="AE53" i="12"/>
  <c r="J52" i="12"/>
  <c r="N52" i="12" s="1"/>
  <c r="M60" i="12"/>
  <c r="K58" i="12"/>
  <c r="O58" i="12" s="1"/>
  <c r="AE56" i="12"/>
  <c r="J55" i="12"/>
  <c r="N55" i="12" s="1"/>
  <c r="L53" i="12"/>
  <c r="P53" i="12" s="1"/>
  <c r="M52" i="12"/>
  <c r="L51" i="12"/>
  <c r="P51" i="12" s="1"/>
  <c r="M50" i="12"/>
  <c r="K48" i="12"/>
  <c r="O48" i="12" s="1"/>
  <c r="AE46" i="12"/>
  <c r="J45" i="12"/>
  <c r="N45" i="12" s="1"/>
  <c r="L43" i="12"/>
  <c r="P43" i="12" s="1"/>
  <c r="M42" i="12"/>
  <c r="L56" i="12"/>
  <c r="P56" i="12" s="1"/>
  <c r="K51" i="12"/>
  <c r="O51" i="12" s="1"/>
  <c r="AE49" i="12"/>
  <c r="J48" i="12"/>
  <c r="N48" i="12" s="1"/>
  <c r="L46" i="12"/>
  <c r="P46" i="12" s="1"/>
  <c r="M45" i="12"/>
  <c r="K43" i="12"/>
  <c r="O43" i="12" s="1"/>
  <c r="AE41" i="12"/>
  <c r="J40" i="12"/>
  <c r="N40" i="12" s="1"/>
  <c r="L38" i="12"/>
  <c r="P38" i="12" s="1"/>
  <c r="M37" i="12"/>
  <c r="K35" i="12"/>
  <c r="O35" i="12" s="1"/>
  <c r="AE33" i="12"/>
  <c r="J32" i="12"/>
  <c r="N32" i="12" s="1"/>
  <c r="L30" i="12"/>
  <c r="P30" i="12" s="1"/>
  <c r="M29" i="12"/>
  <c r="K27" i="12"/>
  <c r="O27" i="12" s="1"/>
  <c r="AE59" i="12"/>
  <c r="AE58" i="12"/>
  <c r="M54" i="12"/>
  <c r="M53" i="12"/>
  <c r="L52" i="12"/>
  <c r="P52" i="12" s="1"/>
  <c r="L50" i="12"/>
  <c r="P50" i="12" s="1"/>
  <c r="M49" i="12"/>
  <c r="K47" i="12"/>
  <c r="O47" i="12" s="1"/>
  <c r="AE60" i="12"/>
  <c r="AE52" i="12"/>
  <c r="K52" i="12"/>
  <c r="O52" i="12" s="1"/>
  <c r="K50" i="12"/>
  <c r="O50" i="12" s="1"/>
  <c r="AE48" i="12"/>
  <c r="J47" i="12"/>
  <c r="N47" i="12" s="1"/>
  <c r="L45" i="12"/>
  <c r="P45" i="12" s="1"/>
  <c r="M44" i="12"/>
  <c r="K42" i="12"/>
  <c r="O42" i="12" s="1"/>
  <c r="AE40" i="12"/>
  <c r="J39" i="12"/>
  <c r="N39" i="12" s="1"/>
  <c r="L37" i="12"/>
  <c r="P37" i="12" s="1"/>
  <c r="M36" i="12"/>
  <c r="K34" i="12"/>
  <c r="O34" i="12" s="1"/>
  <c r="AE32" i="12"/>
  <c r="J31" i="12"/>
  <c r="N31" i="12" s="1"/>
  <c r="L29" i="12"/>
  <c r="P29" i="12" s="1"/>
  <c r="M28" i="12"/>
  <c r="J56" i="12"/>
  <c r="N56" i="12" s="1"/>
  <c r="L54" i="12"/>
  <c r="P54" i="12" s="1"/>
  <c r="L49" i="12"/>
  <c r="P49" i="12" s="1"/>
  <c r="AE47" i="12"/>
  <c r="L44" i="12"/>
  <c r="P44" i="12" s="1"/>
  <c r="K41" i="12"/>
  <c r="O41" i="12" s="1"/>
  <c r="L40" i="12"/>
  <c r="P40" i="12" s="1"/>
  <c r="AE35" i="12"/>
  <c r="J35" i="12"/>
  <c r="N35" i="12" s="1"/>
  <c r="AE28" i="12"/>
  <c r="K28" i="12"/>
  <c r="O28" i="12" s="1"/>
  <c r="M26" i="12"/>
  <c r="K24" i="12"/>
  <c r="O24" i="12" s="1"/>
  <c r="AE22" i="12"/>
  <c r="J21" i="12"/>
  <c r="N21" i="12" s="1"/>
  <c r="L19" i="12"/>
  <c r="P19" i="12" s="1"/>
  <c r="M18" i="12"/>
  <c r="K16" i="12"/>
  <c r="O16" i="12" s="1"/>
  <c r="AE14" i="12"/>
  <c r="J13" i="12"/>
  <c r="N13" i="12" s="1"/>
  <c r="L11" i="12"/>
  <c r="P11" i="12" s="1"/>
  <c r="M10" i="12"/>
  <c r="J58" i="12"/>
  <c r="N58" i="12" s="1"/>
  <c r="M56" i="12"/>
  <c r="K54" i="12"/>
  <c r="O54" i="12" s="1"/>
  <c r="AE51" i="12"/>
  <c r="K49" i="12"/>
  <c r="O49" i="12" s="1"/>
  <c r="K46" i="12"/>
  <c r="O46" i="12" s="1"/>
  <c r="K44" i="12"/>
  <c r="O44" i="12" s="1"/>
  <c r="J43" i="12"/>
  <c r="N43" i="12" s="1"/>
  <c r="L42" i="12"/>
  <c r="P42" i="12" s="1"/>
  <c r="J41" i="12"/>
  <c r="N41" i="12" s="1"/>
  <c r="K40" i="12"/>
  <c r="O40" i="12" s="1"/>
  <c r="L39" i="12"/>
  <c r="P39" i="12" s="1"/>
  <c r="M35" i="12"/>
  <c r="L34" i="12"/>
  <c r="P34" i="12" s="1"/>
  <c r="L33" i="12"/>
  <c r="P33" i="12" s="1"/>
  <c r="J28" i="12"/>
  <c r="N28" i="12" s="1"/>
  <c r="L27" i="12"/>
  <c r="P27" i="12" s="1"/>
  <c r="AE25" i="12"/>
  <c r="J24" i="12"/>
  <c r="N24" i="12" s="1"/>
  <c r="L22" i="12"/>
  <c r="P22" i="12" s="1"/>
  <c r="M21" i="12"/>
  <c r="AE57" i="12"/>
  <c r="AE55" i="12"/>
  <c r="J54" i="12"/>
  <c r="N54" i="12" s="1"/>
  <c r="J49" i="12"/>
  <c r="N49" i="12" s="1"/>
  <c r="J46" i="12"/>
  <c r="N46" i="12" s="1"/>
  <c r="K45" i="12"/>
  <c r="O45" i="12" s="1"/>
  <c r="J44" i="12"/>
  <c r="N44" i="12" s="1"/>
  <c r="M43" i="12"/>
  <c r="J42" i="12"/>
  <c r="N42" i="12" s="1"/>
  <c r="M41" i="12"/>
  <c r="M40" i="12"/>
  <c r="K39" i="12"/>
  <c r="O39" i="12" s="1"/>
  <c r="K38" i="12"/>
  <c r="O38" i="12" s="1"/>
  <c r="AE34" i="12"/>
  <c r="J34" i="12"/>
  <c r="N34" i="12" s="1"/>
  <c r="K33" i="12"/>
  <c r="O33" i="12" s="1"/>
  <c r="L32" i="12"/>
  <c r="P32" i="12" s="1"/>
  <c r="AE27" i="12"/>
  <c r="J27" i="12"/>
  <c r="N27" i="12" s="1"/>
  <c r="L25" i="12"/>
  <c r="P25" i="12" s="1"/>
  <c r="M24" i="12"/>
  <c r="K22" i="12"/>
  <c r="O22" i="12" s="1"/>
  <c r="AE20" i="12"/>
  <c r="J19" i="12"/>
  <c r="N19" i="12" s="1"/>
  <c r="L17" i="12"/>
  <c r="P17" i="12" s="1"/>
  <c r="M16" i="12"/>
  <c r="K14" i="12"/>
  <c r="O14" i="12" s="1"/>
  <c r="AE12" i="12"/>
  <c r="J11" i="12"/>
  <c r="N11" i="12" s="1"/>
  <c r="L60" i="12"/>
  <c r="P60" i="12" s="1"/>
  <c r="M46" i="12"/>
  <c r="AE44" i="12"/>
  <c r="AE43" i="12"/>
  <c r="AE42" i="12"/>
  <c r="AE39" i="12"/>
  <c r="M39" i="12"/>
  <c r="J38" i="12"/>
  <c r="N38" i="12" s="1"/>
  <c r="M34" i="12"/>
  <c r="J33" i="12"/>
  <c r="N33" i="12" s="1"/>
  <c r="K32" i="12"/>
  <c r="O32" i="12" s="1"/>
  <c r="L31" i="12"/>
  <c r="P31" i="12" s="1"/>
  <c r="M27" i="12"/>
  <c r="K25" i="12"/>
  <c r="O25" i="12" s="1"/>
  <c r="AE23" i="12"/>
  <c r="J22" i="12"/>
  <c r="N22" i="12" s="1"/>
  <c r="L20" i="12"/>
  <c r="P20" i="12" s="1"/>
  <c r="M19" i="12"/>
  <c r="K17" i="12"/>
  <c r="O17" i="12" s="1"/>
  <c r="AE15" i="12"/>
  <c r="K59" i="12"/>
  <c r="O59" i="12" s="1"/>
  <c r="K57" i="12"/>
  <c r="O57" i="12" s="1"/>
  <c r="M55" i="12"/>
  <c r="J53" i="12"/>
  <c r="N53" i="12" s="1"/>
  <c r="J51" i="12"/>
  <c r="N51" i="12" s="1"/>
  <c r="K10" i="12"/>
  <c r="O10" i="12" s="1"/>
  <c r="M11" i="12"/>
  <c r="AE11" i="12"/>
  <c r="AE19" i="12"/>
  <c r="M23" i="12"/>
  <c r="K31" i="12"/>
  <c r="O31" i="12" s="1"/>
  <c r="K36" i="12"/>
  <c r="O36" i="12" s="1"/>
  <c r="AE37" i="12"/>
  <c r="L48" i="12"/>
  <c r="P48" i="12" s="1"/>
  <c r="M20" i="12"/>
  <c r="J23" i="12"/>
  <c r="N23" i="12" s="1"/>
  <c r="J26" i="12"/>
  <c r="N26" i="12" s="1"/>
  <c r="AE29" i="12"/>
  <c r="L36" i="12"/>
  <c r="P36" i="12" s="1"/>
  <c r="M38" i="12"/>
  <c r="L41" i="12"/>
  <c r="P41" i="12" s="1"/>
  <c r="J50" i="12"/>
  <c r="N50" i="12" s="1"/>
  <c r="AE50" i="12"/>
  <c r="AE54" i="12"/>
  <c r="M59" i="12"/>
  <c r="I9" i="12"/>
  <c r="M9" i="12" s="1"/>
  <c r="J12" i="12"/>
  <c r="N12" i="12" s="1"/>
  <c r="K13" i="12"/>
  <c r="O13" i="12" s="1"/>
  <c r="AE13" i="12"/>
  <c r="AE16" i="12"/>
  <c r="AE17" i="12"/>
  <c r="AE18" i="12"/>
  <c r="J20" i="12"/>
  <c r="N20" i="12" s="1"/>
  <c r="K23" i="12"/>
  <c r="O23" i="12" s="1"/>
  <c r="K26" i="12"/>
  <c r="O26" i="12" s="1"/>
  <c r="L28" i="12"/>
  <c r="P28" i="12" s="1"/>
  <c r="M30" i="12"/>
  <c r="M51" i="12"/>
  <c r="K53" i="12"/>
  <c r="O53" i="12" s="1"/>
  <c r="L55" i="12"/>
  <c r="P55" i="12" s="1"/>
  <c r="J57" i="12"/>
  <c r="N57" i="12" s="1"/>
  <c r="J59" i="12"/>
  <c r="N59" i="12" s="1"/>
  <c r="K60" i="12"/>
  <c r="O60" i="12" s="1"/>
  <c r="M17" i="12"/>
  <c r="J18" i="12"/>
  <c r="N18" i="12" s="1"/>
  <c r="K19" i="12"/>
  <c r="O19" i="12" s="1"/>
  <c r="K20" i="12"/>
  <c r="O20" i="12" s="1"/>
  <c r="AE21" i="12"/>
  <c r="L23" i="12"/>
  <c r="P23" i="12" s="1"/>
  <c r="AE24" i="12"/>
  <c r="L26" i="12"/>
  <c r="P26" i="12" s="1"/>
  <c r="J30" i="12"/>
  <c r="N30" i="12" s="1"/>
  <c r="AE31" i="12"/>
  <c r="AE45" i="12"/>
  <c r="L57" i="12"/>
  <c r="P57" i="12" s="1"/>
  <c r="L9" i="12"/>
  <c r="P9" i="12" s="1"/>
  <c r="L14" i="12"/>
  <c r="P14" i="12" s="1"/>
  <c r="K15" i="12"/>
  <c r="O15" i="12" s="1"/>
  <c r="L18" i="12"/>
  <c r="P18" i="12" s="1"/>
  <c r="J25" i="12"/>
  <c r="N25" i="12" s="1"/>
  <c r="J29" i="12"/>
  <c r="N29" i="12" s="1"/>
  <c r="J37" i="12"/>
  <c r="N37" i="12" s="1"/>
  <c r="U19" i="13"/>
  <c r="T19" i="13"/>
  <c r="G2" i="14"/>
  <c r="O2" i="14"/>
  <c r="J9" i="13"/>
  <c r="N9" i="13" s="1"/>
  <c r="AE10" i="13"/>
  <c r="K12" i="13"/>
  <c r="O12" i="13" s="1"/>
  <c r="I14" i="13"/>
  <c r="M14" i="13" s="1"/>
  <c r="AE14" i="13"/>
  <c r="J20" i="13"/>
  <c r="N20" i="13" s="1"/>
  <c r="AE20" i="13"/>
  <c r="L26" i="13"/>
  <c r="P26" i="13" s="1"/>
  <c r="J27" i="13"/>
  <c r="N27" i="13" s="1"/>
  <c r="AE27" i="13"/>
  <c r="L31" i="13"/>
  <c r="P31" i="13" s="1"/>
  <c r="J33" i="13"/>
  <c r="N33" i="13" s="1"/>
  <c r="J34" i="13"/>
  <c r="N34" i="13" s="1"/>
  <c r="J39" i="13"/>
  <c r="N39" i="13" s="1"/>
  <c r="K40" i="13"/>
  <c r="O40" i="13" s="1"/>
  <c r="AE40" i="13"/>
  <c r="K45" i="13"/>
  <c r="O45" i="13" s="1"/>
  <c r="K9" i="13"/>
  <c r="O9" i="13" s="1"/>
  <c r="I11" i="13"/>
  <c r="M11" i="13" s="1"/>
  <c r="S11" i="13" s="1"/>
  <c r="L12" i="13"/>
  <c r="P12" i="13" s="1"/>
  <c r="K14" i="13"/>
  <c r="O14" i="13" s="1"/>
  <c r="I15" i="13"/>
  <c r="M15" i="13" s="1"/>
  <c r="I16" i="13"/>
  <c r="M16" i="13" s="1"/>
  <c r="K20" i="13"/>
  <c r="O20" i="13" s="1"/>
  <c r="J21" i="13"/>
  <c r="N21" i="13" s="1"/>
  <c r="AE21" i="13"/>
  <c r="L27" i="13"/>
  <c r="P27" i="13" s="1"/>
  <c r="I28" i="13"/>
  <c r="M28" i="13" s="1"/>
  <c r="L33" i="13"/>
  <c r="P33" i="13" s="1"/>
  <c r="K34" i="13"/>
  <c r="O34" i="13" s="1"/>
  <c r="AE34" i="13"/>
  <c r="K39" i="13"/>
  <c r="O39" i="13" s="1"/>
  <c r="L40" i="13"/>
  <c r="P40" i="13" s="1"/>
  <c r="I41" i="13"/>
  <c r="M41" i="13" s="1"/>
  <c r="I42" i="13"/>
  <c r="M42" i="13" s="1"/>
  <c r="L42" i="13"/>
  <c r="P42" i="13" s="1"/>
  <c r="J43" i="13"/>
  <c r="N43" i="13" s="1"/>
  <c r="AE43" i="13"/>
  <c r="I48" i="13"/>
  <c r="M48" i="13" s="1"/>
  <c r="K49" i="13"/>
  <c r="O49" i="13" s="1"/>
  <c r="I56" i="13"/>
  <c r="M56" i="13" s="1"/>
  <c r="J60" i="13"/>
  <c r="N60" i="13" s="1"/>
  <c r="L58" i="13"/>
  <c r="P58" i="13" s="1"/>
  <c r="I57" i="13"/>
  <c r="M57" i="13" s="1"/>
  <c r="K55" i="13"/>
  <c r="O55" i="13" s="1"/>
  <c r="AE53" i="13"/>
  <c r="J52" i="13"/>
  <c r="N52" i="13" s="1"/>
  <c r="L50" i="13"/>
  <c r="P50" i="13" s="1"/>
  <c r="I49" i="13"/>
  <c r="M49" i="13" s="1"/>
  <c r="K47" i="13"/>
  <c r="O47" i="13" s="1"/>
  <c r="AE45" i="13"/>
  <c r="I60" i="13"/>
  <c r="M60" i="13" s="1"/>
  <c r="K58" i="13"/>
  <c r="O58" i="13" s="1"/>
  <c r="AE56" i="13"/>
  <c r="J55" i="13"/>
  <c r="N55" i="13" s="1"/>
  <c r="L53" i="13"/>
  <c r="P53" i="13" s="1"/>
  <c r="I52" i="13"/>
  <c r="M52" i="13" s="1"/>
  <c r="K50" i="13"/>
  <c r="O50" i="13" s="1"/>
  <c r="AE48" i="13"/>
  <c r="J47" i="13"/>
  <c r="N47" i="13" s="1"/>
  <c r="L45" i="13"/>
  <c r="P45" i="13" s="1"/>
  <c r="AE59" i="13"/>
  <c r="J58" i="13"/>
  <c r="N58" i="13" s="1"/>
  <c r="L56" i="13"/>
  <c r="P56" i="13" s="1"/>
  <c r="I55" i="13"/>
  <c r="M55" i="13" s="1"/>
  <c r="K53" i="13"/>
  <c r="O53" i="13" s="1"/>
  <c r="AE51" i="13"/>
  <c r="J50" i="13"/>
  <c r="N50" i="13" s="1"/>
  <c r="L48" i="13"/>
  <c r="P48" i="13" s="1"/>
  <c r="I47" i="13"/>
  <c r="M47" i="13" s="1"/>
  <c r="L59" i="13"/>
  <c r="P59" i="13" s="1"/>
  <c r="I58" i="13"/>
  <c r="M58" i="13" s="1"/>
  <c r="K56" i="13"/>
  <c r="O56" i="13" s="1"/>
  <c r="AE54" i="13"/>
  <c r="J53" i="13"/>
  <c r="N53" i="13" s="1"/>
  <c r="L51" i="13"/>
  <c r="P51" i="13" s="1"/>
  <c r="I50" i="13"/>
  <c r="M50" i="13" s="1"/>
  <c r="K48" i="13"/>
  <c r="O48" i="13" s="1"/>
  <c r="AE46" i="13"/>
  <c r="K59" i="13"/>
  <c r="O59" i="13" s="1"/>
  <c r="AE57" i="13"/>
  <c r="J56" i="13"/>
  <c r="N56" i="13" s="1"/>
  <c r="L54" i="13"/>
  <c r="P54" i="13" s="1"/>
  <c r="I53" i="13"/>
  <c r="M53" i="13" s="1"/>
  <c r="K51" i="13"/>
  <c r="O51" i="13" s="1"/>
  <c r="AE49" i="13"/>
  <c r="J48" i="13"/>
  <c r="N48" i="13" s="1"/>
  <c r="L46" i="13"/>
  <c r="P46" i="13" s="1"/>
  <c r="K60" i="13"/>
  <c r="O60" i="13" s="1"/>
  <c r="AE58" i="13"/>
  <c r="J57" i="13"/>
  <c r="N57" i="13" s="1"/>
  <c r="L55" i="13"/>
  <c r="P55" i="13" s="1"/>
  <c r="I54" i="13"/>
  <c r="M54" i="13" s="1"/>
  <c r="K52" i="13"/>
  <c r="O52" i="13" s="1"/>
  <c r="AE50" i="13"/>
  <c r="J49" i="13"/>
  <c r="N49" i="13" s="1"/>
  <c r="L47" i="13"/>
  <c r="P47" i="13" s="1"/>
  <c r="I46" i="13"/>
  <c r="M46" i="13" s="1"/>
  <c r="K54" i="13"/>
  <c r="O54" i="13" s="1"/>
  <c r="K46" i="13"/>
  <c r="O46" i="13" s="1"/>
  <c r="I45" i="13"/>
  <c r="M45" i="13" s="1"/>
  <c r="K43" i="13"/>
  <c r="O43" i="13" s="1"/>
  <c r="AE41" i="13"/>
  <c r="J40" i="13"/>
  <c r="N40" i="13" s="1"/>
  <c r="L38" i="13"/>
  <c r="P38" i="13" s="1"/>
  <c r="I37" i="13"/>
  <c r="M37" i="13" s="1"/>
  <c r="K35" i="13"/>
  <c r="O35" i="13" s="1"/>
  <c r="AE33" i="13"/>
  <c r="J32" i="13"/>
  <c r="N32" i="13" s="1"/>
  <c r="L30" i="13"/>
  <c r="P30" i="13" s="1"/>
  <c r="I29" i="13"/>
  <c r="M29" i="13" s="1"/>
  <c r="K27" i="13"/>
  <c r="O27" i="13" s="1"/>
  <c r="AE25" i="13"/>
  <c r="J24" i="13"/>
  <c r="N24" i="13" s="1"/>
  <c r="L22" i="13"/>
  <c r="P22" i="13" s="1"/>
  <c r="I21" i="13"/>
  <c r="M21" i="13" s="1"/>
  <c r="K19" i="13"/>
  <c r="O19" i="13" s="1"/>
  <c r="AE17" i="13"/>
  <c r="J16" i="13"/>
  <c r="N16" i="13" s="1"/>
  <c r="L14" i="13"/>
  <c r="P14" i="13" s="1"/>
  <c r="AE60" i="13"/>
  <c r="AE52" i="13"/>
  <c r="L44" i="13"/>
  <c r="P44" i="13" s="1"/>
  <c r="I43" i="13"/>
  <c r="M43" i="13" s="1"/>
  <c r="K41" i="13"/>
  <c r="O41" i="13" s="1"/>
  <c r="AE39" i="13"/>
  <c r="J38" i="13"/>
  <c r="N38" i="13" s="1"/>
  <c r="L36" i="13"/>
  <c r="P36" i="13" s="1"/>
  <c r="I35" i="13"/>
  <c r="M35" i="13" s="1"/>
  <c r="K33" i="13"/>
  <c r="O33" i="13" s="1"/>
  <c r="AE31" i="13"/>
  <c r="J30" i="13"/>
  <c r="N30" i="13" s="1"/>
  <c r="L28" i="13"/>
  <c r="P28" i="13" s="1"/>
  <c r="I27" i="13"/>
  <c r="M27" i="13" s="1"/>
  <c r="K25" i="13"/>
  <c r="O25" i="13" s="1"/>
  <c r="AE23" i="13"/>
  <c r="J22" i="13"/>
  <c r="N22" i="13" s="1"/>
  <c r="L20" i="13"/>
  <c r="P20" i="13" s="1"/>
  <c r="I19" i="13"/>
  <c r="M19" i="13" s="1"/>
  <c r="S19" i="13" s="1"/>
  <c r="K17" i="13"/>
  <c r="O17" i="13" s="1"/>
  <c r="AE15" i="13"/>
  <c r="J14" i="13"/>
  <c r="N14" i="13" s="1"/>
  <c r="J10" i="13"/>
  <c r="N10" i="13" s="1"/>
  <c r="AE11" i="13"/>
  <c r="K13" i="13"/>
  <c r="O13" i="13" s="1"/>
  <c r="L17" i="13"/>
  <c r="P17" i="13" s="1"/>
  <c r="K18" i="13"/>
  <c r="O18" i="13" s="1"/>
  <c r="AE18" i="13"/>
  <c r="K23" i="13"/>
  <c r="O23" i="13" s="1"/>
  <c r="L24" i="13"/>
  <c r="P24" i="13" s="1"/>
  <c r="I25" i="13"/>
  <c r="M25" i="13" s="1"/>
  <c r="I26" i="13"/>
  <c r="M26" i="13" s="1"/>
  <c r="L29" i="13"/>
  <c r="P29" i="13" s="1"/>
  <c r="K30" i="13"/>
  <c r="O30" i="13" s="1"/>
  <c r="I31" i="13"/>
  <c r="M31" i="13" s="1"/>
  <c r="I32" i="13"/>
  <c r="M32" i="13" s="1"/>
  <c r="K36" i="13"/>
  <c r="O36" i="13" s="1"/>
  <c r="J37" i="13"/>
  <c r="N37" i="13" s="1"/>
  <c r="AE37" i="13"/>
  <c r="L43" i="13"/>
  <c r="P43" i="13" s="1"/>
  <c r="I44" i="13"/>
  <c r="M44" i="13" s="1"/>
  <c r="L49" i="13"/>
  <c r="P49" i="13" s="1"/>
  <c r="I51" i="13"/>
  <c r="M51" i="13" s="1"/>
  <c r="L52" i="13"/>
  <c r="P52" i="13" s="1"/>
  <c r="L57" i="13"/>
  <c r="P57" i="13" s="1"/>
  <c r="I59" i="13"/>
  <c r="M59" i="13" s="1"/>
  <c r="L60" i="13"/>
  <c r="P60" i="13" s="1"/>
  <c r="F2" i="14"/>
  <c r="N2" i="14"/>
  <c r="K10" i="13"/>
  <c r="O10" i="13" s="1"/>
  <c r="I12" i="13"/>
  <c r="M12" i="13" s="1"/>
  <c r="L13" i="13"/>
  <c r="P13" i="13" s="1"/>
  <c r="L18" i="13"/>
  <c r="P18" i="13" s="1"/>
  <c r="J19" i="13"/>
  <c r="N19" i="13" s="1"/>
  <c r="AE19" i="13"/>
  <c r="L23" i="13"/>
  <c r="P23" i="13" s="1"/>
  <c r="J25" i="13"/>
  <c r="N25" i="13" s="1"/>
  <c r="J26" i="13"/>
  <c r="N26" i="13" s="1"/>
  <c r="J31" i="13"/>
  <c r="N31" i="13" s="1"/>
  <c r="K32" i="13"/>
  <c r="O32" i="13" s="1"/>
  <c r="AE32" i="13"/>
  <c r="K37" i="13"/>
  <c r="O37" i="13" s="1"/>
  <c r="I38" i="13"/>
  <c r="M38" i="13" s="1"/>
  <c r="AE38" i="13"/>
  <c r="J44" i="13"/>
  <c r="N44" i="13" s="1"/>
  <c r="AE44" i="13"/>
  <c r="J51" i="13"/>
  <c r="N51" i="13" s="1"/>
  <c r="J59" i="13"/>
  <c r="N59" i="13" s="1"/>
  <c r="M2" i="14"/>
  <c r="E2" i="14"/>
  <c r="K32" i="2" l="1"/>
  <c r="O27" i="2"/>
  <c r="O20" i="2"/>
  <c r="O13" i="2"/>
  <c r="O7" i="2"/>
  <c r="O36" i="2"/>
  <c r="O31" i="2"/>
  <c r="O24" i="2"/>
  <c r="O14" i="2"/>
  <c r="O19" i="2"/>
  <c r="O3" i="2"/>
  <c r="O25" i="2"/>
  <c r="O15" i="2"/>
  <c r="O26" i="2"/>
  <c r="O9" i="2"/>
  <c r="O32" i="2"/>
  <c r="O12" i="2"/>
  <c r="O35" i="2"/>
  <c r="O33" i="2"/>
  <c r="O34" i="2"/>
  <c r="O2" i="2"/>
  <c r="O30" i="2"/>
  <c r="O8" i="2"/>
  <c r="O21" i="2"/>
  <c r="O10" i="2"/>
  <c r="O16" i="2"/>
  <c r="O11" i="2"/>
  <c r="O22" i="2"/>
  <c r="O5" i="2"/>
  <c r="O29" i="2"/>
  <c r="O4" i="2"/>
  <c r="O28" i="2"/>
  <c r="O18" i="2"/>
  <c r="O6" i="2"/>
  <c r="O23" i="2"/>
  <c r="O17" i="2"/>
  <c r="N19" i="2"/>
  <c r="N12" i="2"/>
  <c r="N4" i="2"/>
  <c r="N26" i="2"/>
  <c r="N23" i="2"/>
  <c r="N18" i="2"/>
  <c r="N2" i="2"/>
  <c r="N13" i="2"/>
  <c r="N25" i="2"/>
  <c r="N20" i="2"/>
  <c r="N14" i="2"/>
  <c r="N36" i="2"/>
  <c r="N16" i="2"/>
  <c r="N30" i="2"/>
  <c r="N27" i="2"/>
  <c r="N29" i="2"/>
  <c r="N24" i="2"/>
  <c r="N17" i="2"/>
  <c r="N21" i="2"/>
  <c r="N32" i="2"/>
  <c r="N35" i="2"/>
  <c r="N5" i="2"/>
  <c r="N33" i="2"/>
  <c r="N34" i="2"/>
  <c r="N3" i="2"/>
  <c r="N22" i="2"/>
  <c r="N6" i="2"/>
  <c r="N28" i="2"/>
  <c r="N9" i="2"/>
  <c r="N11" i="2"/>
  <c r="N15" i="2"/>
  <c r="N7" i="2"/>
  <c r="N31" i="2"/>
  <c r="N8" i="2"/>
  <c r="N10" i="2"/>
  <c r="M32" i="2"/>
  <c r="M31" i="2"/>
  <c r="M21" i="2"/>
  <c r="M20" i="2"/>
  <c r="M17" i="2"/>
  <c r="M28" i="2"/>
  <c r="M27" i="2"/>
  <c r="M11" i="2"/>
  <c r="M4" i="2"/>
  <c r="M15" i="2"/>
  <c r="M5" i="2"/>
  <c r="M24" i="2"/>
  <c r="M22" i="2"/>
  <c r="M10" i="2"/>
  <c r="M9" i="2"/>
  <c r="M36" i="2"/>
  <c r="M13" i="2"/>
  <c r="M3" i="2"/>
  <c r="M29" i="2"/>
  <c r="M16" i="2"/>
  <c r="M7" i="2"/>
  <c r="M6" i="2"/>
  <c r="M8" i="2"/>
  <c r="M33" i="2"/>
  <c r="M19" i="2"/>
  <c r="M18" i="2"/>
  <c r="M34" i="2"/>
  <c r="M26" i="2"/>
  <c r="M35" i="2"/>
  <c r="M2" i="2"/>
  <c r="M12" i="2"/>
  <c r="M23" i="2"/>
  <c r="M14" i="2"/>
  <c r="M25" i="2"/>
  <c r="M30" i="2"/>
  <c r="L25" i="2"/>
  <c r="L26" i="2"/>
  <c r="L14" i="2"/>
  <c r="L19" i="2"/>
  <c r="L8" i="2"/>
  <c r="L34" i="2"/>
  <c r="K35" i="2"/>
  <c r="K18" i="2"/>
  <c r="K17" i="2"/>
  <c r="K13" i="2"/>
  <c r="K2" i="2"/>
  <c r="K24" i="2"/>
  <c r="K4" i="2"/>
  <c r="K19" i="2"/>
  <c r="K34" i="2"/>
  <c r="K12" i="2"/>
  <c r="K5" i="2"/>
  <c r="K23" i="2"/>
  <c r="K26" i="2"/>
  <c r="K3" i="2"/>
  <c r="K27" i="2"/>
  <c r="K7" i="2"/>
  <c r="K25" i="2"/>
  <c r="K33" i="2"/>
  <c r="K6" i="2"/>
  <c r="K29" i="2"/>
  <c r="K8" i="2"/>
  <c r="K14" i="2"/>
  <c r="K15" i="2"/>
  <c r="K31" i="2"/>
  <c r="K9" i="2"/>
  <c r="K28" i="2"/>
  <c r="K22" i="2"/>
  <c r="K11" i="2"/>
  <c r="K30" i="2"/>
  <c r="K10" i="2"/>
  <c r="K20" i="2"/>
  <c r="K21" i="2"/>
  <c r="K36" i="2"/>
  <c r="K16" i="2"/>
  <c r="J31" i="2"/>
  <c r="J26" i="2"/>
  <c r="J18" i="2"/>
  <c r="J15" i="2"/>
  <c r="J2" i="2"/>
  <c r="J20" i="2"/>
  <c r="J9" i="2"/>
  <c r="J24" i="2"/>
  <c r="J13" i="2"/>
  <c r="J3" i="2"/>
  <c r="J27" i="2"/>
  <c r="J19" i="2"/>
  <c r="J5" i="2"/>
  <c r="J23" i="2"/>
  <c r="J12" i="2"/>
  <c r="J6" i="2"/>
  <c r="J36" i="2"/>
  <c r="J7" i="2"/>
  <c r="J33" i="2"/>
  <c r="J16" i="2"/>
  <c r="J34" i="2"/>
  <c r="J28" i="2"/>
  <c r="J35" i="2"/>
  <c r="J8" i="2"/>
  <c r="J21" i="2"/>
  <c r="J30" i="2"/>
  <c r="J25" i="2"/>
  <c r="J14" i="2"/>
  <c r="J4" i="2"/>
  <c r="J11" i="2"/>
  <c r="J17" i="2"/>
  <c r="J22" i="2"/>
  <c r="J10" i="2"/>
  <c r="J29" i="2"/>
  <c r="J32" i="2"/>
  <c r="L33" i="2"/>
  <c r="L17" i="2"/>
  <c r="L9" i="2"/>
  <c r="L21" i="2"/>
  <c r="L36" i="2"/>
  <c r="L35" i="2"/>
  <c r="L10" i="2"/>
  <c r="L32" i="2"/>
  <c r="L24" i="2"/>
  <c r="Q24" i="2" s="1"/>
  <c r="L16" i="2"/>
  <c r="L6" i="2"/>
  <c r="L13" i="2"/>
  <c r="L28" i="2"/>
  <c r="L12" i="2"/>
  <c r="L3" i="2"/>
  <c r="L18" i="2"/>
  <c r="L2" i="2"/>
  <c r="L31" i="2"/>
  <c r="L23" i="2"/>
  <c r="L15" i="2"/>
  <c r="L7" i="2"/>
  <c r="L30" i="2"/>
  <c r="L22" i="2"/>
  <c r="L29" i="2"/>
  <c r="L5" i="2"/>
  <c r="L20" i="2"/>
  <c r="L4" i="2"/>
  <c r="L27" i="2"/>
  <c r="L11" i="2"/>
  <c r="T57" i="1"/>
  <c r="S57" i="1"/>
  <c r="V57" i="1" s="1"/>
  <c r="W57" i="1" s="1"/>
  <c r="Y57" i="1" s="1"/>
  <c r="T15" i="11"/>
  <c r="T9" i="8"/>
  <c r="U34" i="1"/>
  <c r="T11" i="8"/>
  <c r="T34" i="11"/>
  <c r="U19" i="1"/>
  <c r="S36" i="8"/>
  <c r="V36" i="8" s="1"/>
  <c r="W36" i="8" s="1"/>
  <c r="Y36" i="8" s="1"/>
  <c r="S27" i="8"/>
  <c r="V27" i="8" s="1"/>
  <c r="W27" i="8" s="1"/>
  <c r="Y27" i="8" s="1"/>
  <c r="T27" i="8"/>
  <c r="T35" i="13"/>
  <c r="U12" i="12"/>
  <c r="S12" i="12"/>
  <c r="T16" i="12"/>
  <c r="U19" i="8"/>
  <c r="T10" i="9"/>
  <c r="S19" i="8"/>
  <c r="U20" i="1"/>
  <c r="S20" i="1"/>
  <c r="S53" i="9"/>
  <c r="U53" i="9"/>
  <c r="U12" i="11"/>
  <c r="V12" i="11" s="1"/>
  <c r="W12" i="11" s="1"/>
  <c r="Y12" i="11" s="1"/>
  <c r="T14" i="11"/>
  <c r="S19" i="1"/>
  <c r="T12" i="1"/>
  <c r="T24" i="12"/>
  <c r="T17" i="1"/>
  <c r="T11" i="1"/>
  <c r="T12" i="8"/>
  <c r="S41" i="13"/>
  <c r="V41" i="13" s="1"/>
  <c r="W41" i="13" s="1"/>
  <c r="Y41" i="13" s="1"/>
  <c r="U23" i="8"/>
  <c r="U26" i="10"/>
  <c r="S28" i="8"/>
  <c r="V28" i="8" s="1"/>
  <c r="W28" i="8" s="1"/>
  <c r="Y28" i="8" s="1"/>
  <c r="T30" i="11"/>
  <c r="U30" i="11"/>
  <c r="V30" i="11" s="1"/>
  <c r="W30" i="11" s="1"/>
  <c r="Y30" i="11" s="1"/>
  <c r="T10" i="11"/>
  <c r="U60" i="11"/>
  <c r="S51" i="9"/>
  <c r="V51" i="9" s="1"/>
  <c r="W51" i="9" s="1"/>
  <c r="Y51" i="9" s="1"/>
  <c r="U47" i="12"/>
  <c r="U21" i="11"/>
  <c r="S54" i="8"/>
  <c r="U21" i="9"/>
  <c r="S32" i="13"/>
  <c r="U57" i="9"/>
  <c r="T12" i="10"/>
  <c r="S35" i="13"/>
  <c r="V35" i="13" s="1"/>
  <c r="W35" i="13" s="1"/>
  <c r="Y35" i="13" s="1"/>
  <c r="U46" i="8"/>
  <c r="S10" i="11"/>
  <c r="S46" i="8"/>
  <c r="T52" i="1"/>
  <c r="S34" i="13"/>
  <c r="T11" i="9"/>
  <c r="U30" i="8"/>
  <c r="V15" i="11"/>
  <c r="W15" i="11" s="1"/>
  <c r="Y15" i="11" s="1"/>
  <c r="S41" i="10"/>
  <c r="T51" i="9"/>
  <c r="S25" i="1"/>
  <c r="V25" i="1" s="1"/>
  <c r="W25" i="1" s="1"/>
  <c r="Y25" i="1" s="1"/>
  <c r="U41" i="10"/>
  <c r="U35" i="9"/>
  <c r="U18" i="1"/>
  <c r="T25" i="10"/>
  <c r="V27" i="9"/>
  <c r="W27" i="9" s="1"/>
  <c r="Y27" i="9" s="1"/>
  <c r="S56" i="10"/>
  <c r="U16" i="13"/>
  <c r="S10" i="12"/>
  <c r="V10" i="12" s="1"/>
  <c r="W10" i="12" s="1"/>
  <c r="Y10" i="12" s="1"/>
  <c r="T52" i="8"/>
  <c r="S18" i="9"/>
  <c r="U28" i="1"/>
  <c r="T15" i="13"/>
  <c r="U33" i="9"/>
  <c r="U56" i="10"/>
  <c r="S35" i="8"/>
  <c r="S16" i="13"/>
  <c r="S15" i="13"/>
  <c r="V15" i="13" s="1"/>
  <c r="W15" i="13" s="1"/>
  <c r="Y15" i="13" s="1"/>
  <c r="T10" i="12"/>
  <c r="S52" i="8"/>
  <c r="V52" i="8" s="1"/>
  <c r="W52" i="8" s="1"/>
  <c r="Y52" i="8" s="1"/>
  <c r="T42" i="1"/>
  <c r="U10" i="1"/>
  <c r="S15" i="12"/>
  <c r="V15" i="12" s="1"/>
  <c r="W15" i="12" s="1"/>
  <c r="Y15" i="12" s="1"/>
  <c r="T13" i="11"/>
  <c r="S59" i="9"/>
  <c r="U59" i="9"/>
  <c r="U41" i="9"/>
  <c r="S13" i="11"/>
  <c r="T17" i="11"/>
  <c r="S42" i="1"/>
  <c r="V42" i="1" s="1"/>
  <c r="W42" i="1" s="1"/>
  <c r="Y42" i="1" s="1"/>
  <c r="T15" i="12"/>
  <c r="U16" i="10"/>
  <c r="V59" i="8"/>
  <c r="W59" i="8" s="1"/>
  <c r="Y59" i="8" s="1"/>
  <c r="S41" i="1"/>
  <c r="V41" i="1" s="1"/>
  <c r="W41" i="1" s="1"/>
  <c r="Y41" i="1" s="1"/>
  <c r="T41" i="13"/>
  <c r="S12" i="1"/>
  <c r="U12" i="1" s="1"/>
  <c r="S9" i="9"/>
  <c r="T9" i="9"/>
  <c r="U13" i="9"/>
  <c r="U29" i="9"/>
  <c r="V29" i="9" s="1"/>
  <c r="W29" i="9" s="1"/>
  <c r="Y29" i="9" s="1"/>
  <c r="S11" i="9"/>
  <c r="U11" i="9" s="1"/>
  <c r="V9" i="11"/>
  <c r="W9" i="11" s="1"/>
  <c r="Y9" i="11" s="1"/>
  <c r="S42" i="9"/>
  <c r="T21" i="13"/>
  <c r="T9" i="13"/>
  <c r="S55" i="8"/>
  <c r="V55" i="8" s="1"/>
  <c r="W55" i="8" s="1"/>
  <c r="Y55" i="8" s="1"/>
  <c r="S23" i="8"/>
  <c r="U18" i="9"/>
  <c r="S41" i="9"/>
  <c r="T20" i="10"/>
  <c r="T36" i="8"/>
  <c r="U25" i="9"/>
  <c r="S60" i="11"/>
  <c r="S38" i="11"/>
  <c r="S13" i="9"/>
  <c r="U34" i="13"/>
  <c r="T21" i="12"/>
  <c r="S34" i="11"/>
  <c r="V34" i="11" s="1"/>
  <c r="W34" i="11" s="1"/>
  <c r="Y34" i="11" s="1"/>
  <c r="S41" i="8"/>
  <c r="S9" i="8"/>
  <c r="U9" i="8" s="1"/>
  <c r="S15" i="8"/>
  <c r="S26" i="1"/>
  <c r="V26" i="1" s="1"/>
  <c r="W26" i="1" s="1"/>
  <c r="Y26" i="1" s="1"/>
  <c r="S26" i="10"/>
  <c r="S33" i="1"/>
  <c r="T26" i="1"/>
  <c r="S37" i="13"/>
  <c r="S39" i="13"/>
  <c r="V39" i="13" s="1"/>
  <c r="W39" i="13" s="1"/>
  <c r="Y39" i="13" s="1"/>
  <c r="T34" i="13"/>
  <c r="S16" i="12"/>
  <c r="V16" i="12" s="1"/>
  <c r="W16" i="12" s="1"/>
  <c r="Y16" i="12" s="1"/>
  <c r="S20" i="10"/>
  <c r="V20" i="10" s="1"/>
  <c r="W20" i="10" s="1"/>
  <c r="Y20" i="10" s="1"/>
  <c r="S37" i="9"/>
  <c r="U38" i="11"/>
  <c r="U49" i="8"/>
  <c r="S52" i="1"/>
  <c r="V52" i="1" s="1"/>
  <c r="W52" i="1" s="1"/>
  <c r="Y52" i="1" s="1"/>
  <c r="T11" i="10"/>
  <c r="S25" i="9"/>
  <c r="S18" i="1"/>
  <c r="S21" i="13"/>
  <c r="V21" i="13" s="1"/>
  <c r="W21" i="13" s="1"/>
  <c r="Y21" i="13" s="1"/>
  <c r="T39" i="13"/>
  <c r="U37" i="13"/>
  <c r="S23" i="11"/>
  <c r="V23" i="11" s="1"/>
  <c r="W23" i="11" s="1"/>
  <c r="Y23" i="11" s="1"/>
  <c r="U37" i="9"/>
  <c r="S49" i="8"/>
  <c r="V10" i="9"/>
  <c r="W10" i="9" s="1"/>
  <c r="Y10" i="9" s="1"/>
  <c r="U41" i="8"/>
  <c r="T57" i="8"/>
  <c r="T41" i="1"/>
  <c r="S11" i="1"/>
  <c r="U11" i="1" s="1"/>
  <c r="V19" i="13"/>
  <c r="W19" i="13" s="1"/>
  <c r="Y19" i="13" s="1"/>
  <c r="V31" i="11"/>
  <c r="W31" i="11" s="1"/>
  <c r="Y31" i="11" s="1"/>
  <c r="T23" i="11"/>
  <c r="S11" i="11"/>
  <c r="U11" i="11" s="1"/>
  <c r="S43" i="9"/>
  <c r="S57" i="8"/>
  <c r="V57" i="8" s="1"/>
  <c r="W57" i="8" s="1"/>
  <c r="Y57" i="8" s="1"/>
  <c r="U43" i="9"/>
  <c r="T15" i="8"/>
  <c r="S11" i="8"/>
  <c r="U11" i="8" s="1"/>
  <c r="T55" i="8"/>
  <c r="S10" i="1"/>
  <c r="S21" i="12"/>
  <c r="S21" i="9"/>
  <c r="S35" i="9"/>
  <c r="S28" i="1"/>
  <c r="T28" i="8"/>
  <c r="U27" i="1"/>
  <c r="S57" i="9"/>
  <c r="S47" i="12"/>
  <c r="T25" i="13"/>
  <c r="S35" i="12"/>
  <c r="T31" i="8"/>
  <c r="T25" i="1"/>
  <c r="S17" i="8"/>
  <c r="S31" i="8"/>
  <c r="V31" i="8" s="1"/>
  <c r="W31" i="8" s="1"/>
  <c r="Y31" i="8" s="1"/>
  <c r="U19" i="11"/>
  <c r="U34" i="9"/>
  <c r="V44" i="10"/>
  <c r="W44" i="10" s="1"/>
  <c r="Y44" i="10" s="1"/>
  <c r="S19" i="11"/>
  <c r="U39" i="8"/>
  <c r="S35" i="1"/>
  <c r="V19" i="9"/>
  <c r="W19" i="9" s="1"/>
  <c r="Y19" i="9" s="1"/>
  <c r="U35" i="12"/>
  <c r="U35" i="1"/>
  <c r="S34" i="1"/>
  <c r="S9" i="13"/>
  <c r="V9" i="13" s="1"/>
  <c r="W9" i="13" s="1"/>
  <c r="Y9" i="13" s="1"/>
  <c r="S27" i="1"/>
  <c r="S34" i="9"/>
  <c r="S50" i="9"/>
  <c r="V11" i="13"/>
  <c r="W11" i="13" s="1"/>
  <c r="Y11" i="13" s="1"/>
  <c r="S25" i="13"/>
  <c r="V25" i="13" s="1"/>
  <c r="W25" i="13" s="1"/>
  <c r="Y25" i="13" s="1"/>
  <c r="S24" i="12"/>
  <c r="U24" i="12" s="1"/>
  <c r="S13" i="12"/>
  <c r="U13" i="12"/>
  <c r="S17" i="11"/>
  <c r="V17" i="11" s="1"/>
  <c r="W17" i="11" s="1"/>
  <c r="Y17" i="11" s="1"/>
  <c r="V14" i="11"/>
  <c r="W14" i="11" s="1"/>
  <c r="Y14" i="11" s="1"/>
  <c r="S11" i="10"/>
  <c r="S58" i="10"/>
  <c r="V58" i="10" s="1"/>
  <c r="W58" i="10" s="1"/>
  <c r="Y58" i="10" s="1"/>
  <c r="T49" i="10"/>
  <c r="S18" i="10"/>
  <c r="S49" i="10"/>
  <c r="V49" i="10" s="1"/>
  <c r="W49" i="10" s="1"/>
  <c r="Y49" i="10" s="1"/>
  <c r="T42" i="10"/>
  <c r="T58" i="10"/>
  <c r="U18" i="10"/>
  <c r="S42" i="10"/>
  <c r="V42" i="10" s="1"/>
  <c r="W42" i="10" s="1"/>
  <c r="Y42" i="10" s="1"/>
  <c r="U45" i="9"/>
  <c r="S49" i="9"/>
  <c r="V49" i="9" s="1"/>
  <c r="W49" i="9" s="1"/>
  <c r="Y49" i="9" s="1"/>
  <c r="S33" i="9"/>
  <c r="S45" i="9"/>
  <c r="S17" i="9"/>
  <c r="U17" i="9" s="1"/>
  <c r="T49" i="9"/>
  <c r="S12" i="9"/>
  <c r="U50" i="9"/>
  <c r="T12" i="9"/>
  <c r="S30" i="8"/>
  <c r="T47" i="8"/>
  <c r="S39" i="8"/>
  <c r="U17" i="8"/>
  <c r="S47" i="8"/>
  <c r="V47" i="8" s="1"/>
  <c r="W47" i="8" s="1"/>
  <c r="Y47" i="8" s="1"/>
  <c r="S10" i="13"/>
  <c r="V10" i="13" s="1"/>
  <c r="W10" i="13" s="1"/>
  <c r="Y10" i="13" s="1"/>
  <c r="S26" i="11"/>
  <c r="S13" i="10"/>
  <c r="T51" i="8"/>
  <c r="U43" i="1"/>
  <c r="T10" i="13"/>
  <c r="U26" i="11"/>
  <c r="S22" i="8"/>
  <c r="V22" i="8" s="1"/>
  <c r="W22" i="8" s="1"/>
  <c r="Y22" i="8" s="1"/>
  <c r="S17" i="1"/>
  <c r="V17" i="1" s="1"/>
  <c r="W17" i="1" s="1"/>
  <c r="Y17" i="1" s="1"/>
  <c r="T22" i="8"/>
  <c r="U13" i="10"/>
  <c r="S9" i="1"/>
  <c r="V9" i="1" s="1"/>
  <c r="W9" i="1" s="1"/>
  <c r="Y9" i="1" s="1"/>
  <c r="S39" i="10"/>
  <c r="S14" i="8"/>
  <c r="T9" i="1"/>
  <c r="S21" i="11"/>
  <c r="S51" i="8"/>
  <c r="V51" i="8" s="1"/>
  <c r="W51" i="8" s="1"/>
  <c r="Y51" i="8" s="1"/>
  <c r="S43" i="1"/>
  <c r="T14" i="8"/>
  <c r="S12" i="10"/>
  <c r="U12" i="10" s="1"/>
  <c r="V20" i="8"/>
  <c r="W20" i="8" s="1"/>
  <c r="Y20" i="8" s="1"/>
  <c r="V57" i="11"/>
  <c r="W57" i="11" s="1"/>
  <c r="Y57" i="11" s="1"/>
  <c r="U33" i="1"/>
  <c r="T32" i="13"/>
  <c r="U32" i="13"/>
  <c r="T42" i="9"/>
  <c r="U42" i="9"/>
  <c r="T54" i="8"/>
  <c r="U54" i="8"/>
  <c r="S25" i="10"/>
  <c r="V25" i="10" s="1"/>
  <c r="W25" i="10" s="1"/>
  <c r="Y25" i="10" s="1"/>
  <c r="U39" i="10"/>
  <c r="S12" i="8"/>
  <c r="U12" i="8" s="1"/>
  <c r="U38" i="8"/>
  <c r="T38" i="8"/>
  <c r="S38" i="8"/>
  <c r="T35" i="8"/>
  <c r="U35" i="8"/>
  <c r="S43" i="8"/>
  <c r="V43" i="8" s="1"/>
  <c r="W43" i="8" s="1"/>
  <c r="Y43" i="8" s="1"/>
  <c r="S19" i="10"/>
  <c r="V19" i="10" s="1"/>
  <c r="W19" i="10" s="1"/>
  <c r="Y19" i="10" s="1"/>
  <c r="T43" i="8"/>
  <c r="T58" i="9"/>
  <c r="U58" i="9"/>
  <c r="S58" i="9"/>
  <c r="S16" i="10"/>
  <c r="T19" i="10"/>
  <c r="T33" i="1"/>
  <c r="S29" i="13"/>
  <c r="T29" i="13"/>
  <c r="U29" i="13"/>
  <c r="T20" i="13"/>
  <c r="S20" i="13"/>
  <c r="U20" i="13"/>
  <c r="T27" i="11"/>
  <c r="S27" i="11"/>
  <c r="U27" i="11"/>
  <c r="T48" i="9"/>
  <c r="U48" i="9"/>
  <c r="S48" i="9"/>
  <c r="U51" i="10"/>
  <c r="T51" i="10"/>
  <c r="S51" i="10"/>
  <c r="S47" i="9"/>
  <c r="U47" i="9"/>
  <c r="T47" i="9"/>
  <c r="T10" i="8"/>
  <c r="S10" i="8"/>
  <c r="U10" i="8" s="1"/>
  <c r="U37" i="8"/>
  <c r="S37" i="8"/>
  <c r="T37" i="8"/>
  <c r="U24" i="8"/>
  <c r="T24" i="8"/>
  <c r="S24" i="8"/>
  <c r="T14" i="1"/>
  <c r="S14" i="1"/>
  <c r="U14" i="1" s="1"/>
  <c r="S57" i="13"/>
  <c r="T57" i="13"/>
  <c r="U57" i="13"/>
  <c r="T38" i="13"/>
  <c r="U38" i="13"/>
  <c r="S38" i="13"/>
  <c r="U47" i="13"/>
  <c r="T47" i="13"/>
  <c r="S47" i="13"/>
  <c r="U27" i="13"/>
  <c r="S27" i="13"/>
  <c r="T27" i="13"/>
  <c r="T23" i="12"/>
  <c r="S23" i="12"/>
  <c r="U23" i="12" s="1"/>
  <c r="T19" i="12"/>
  <c r="S19" i="12"/>
  <c r="U19" i="12" s="1"/>
  <c r="U59" i="12"/>
  <c r="T59" i="12"/>
  <c r="S59" i="12"/>
  <c r="U16" i="11"/>
  <c r="S16" i="11"/>
  <c r="T16" i="11"/>
  <c r="S46" i="11"/>
  <c r="T46" i="11"/>
  <c r="U46" i="11"/>
  <c r="S47" i="11"/>
  <c r="T47" i="11"/>
  <c r="U47" i="11"/>
  <c r="U44" i="11"/>
  <c r="T44" i="11"/>
  <c r="S44" i="11"/>
  <c r="U37" i="11"/>
  <c r="T37" i="11"/>
  <c r="S37" i="11"/>
  <c r="V22" i="11"/>
  <c r="W22" i="11" s="1"/>
  <c r="Y22" i="11" s="1"/>
  <c r="T28" i="10"/>
  <c r="S28" i="10"/>
  <c r="U28" i="10"/>
  <c r="T50" i="10"/>
  <c r="S50" i="10"/>
  <c r="U50" i="10"/>
  <c r="U43" i="10"/>
  <c r="T43" i="10"/>
  <c r="S43" i="10"/>
  <c r="U38" i="10"/>
  <c r="T38" i="10"/>
  <c r="S38" i="10"/>
  <c r="T30" i="9"/>
  <c r="S30" i="9"/>
  <c r="U30" i="9"/>
  <c r="U14" i="10"/>
  <c r="T14" i="10"/>
  <c r="S14" i="10"/>
  <c r="U60" i="9"/>
  <c r="T60" i="9"/>
  <c r="S60" i="9"/>
  <c r="U34" i="8"/>
  <c r="T34" i="8"/>
  <c r="S34" i="8"/>
  <c r="T48" i="8"/>
  <c r="S48" i="8"/>
  <c r="U48" i="8"/>
  <c r="S13" i="1"/>
  <c r="U13" i="1" s="1"/>
  <c r="T13" i="1"/>
  <c r="T38" i="1"/>
  <c r="S38" i="1"/>
  <c r="U38" i="1"/>
  <c r="T39" i="1"/>
  <c r="S39" i="1"/>
  <c r="U39" i="1"/>
  <c r="M3" i="14"/>
  <c r="U13" i="13"/>
  <c r="S13" i="13"/>
  <c r="T13" i="13"/>
  <c r="U43" i="13"/>
  <c r="S43" i="13"/>
  <c r="T43" i="13"/>
  <c r="U17" i="13"/>
  <c r="S17" i="13"/>
  <c r="T17" i="13"/>
  <c r="S12" i="13"/>
  <c r="U12" i="13"/>
  <c r="T12" i="13"/>
  <c r="U26" i="13"/>
  <c r="T26" i="13"/>
  <c r="S26" i="13"/>
  <c r="S28" i="12"/>
  <c r="U28" i="12"/>
  <c r="T28" i="12"/>
  <c r="S20" i="12"/>
  <c r="U20" i="12" s="1"/>
  <c r="T20" i="12"/>
  <c r="T60" i="12"/>
  <c r="S60" i="12"/>
  <c r="U60" i="12"/>
  <c r="U45" i="11"/>
  <c r="S45" i="11"/>
  <c r="T45" i="11"/>
  <c r="T10" i="10"/>
  <c r="S10" i="10"/>
  <c r="U10" i="10" s="1"/>
  <c r="S29" i="10"/>
  <c r="T29" i="10"/>
  <c r="U29" i="10"/>
  <c r="U36" i="9"/>
  <c r="T36" i="9"/>
  <c r="S36" i="9"/>
  <c r="S23" i="10"/>
  <c r="T23" i="10"/>
  <c r="U23" i="10"/>
  <c r="S60" i="8"/>
  <c r="U60" i="8"/>
  <c r="T60" i="8"/>
  <c r="U24" i="1"/>
  <c r="T24" i="1"/>
  <c r="S24" i="1"/>
  <c r="U51" i="1"/>
  <c r="T51" i="1"/>
  <c r="S51" i="1"/>
  <c r="U53" i="1"/>
  <c r="T53" i="1"/>
  <c r="S53" i="1"/>
  <c r="T15" i="1"/>
  <c r="S15" i="1"/>
  <c r="U15" i="1" s="1"/>
  <c r="E3" i="14"/>
  <c r="S18" i="13"/>
  <c r="T18" i="13"/>
  <c r="U18" i="13"/>
  <c r="S36" i="13"/>
  <c r="U36" i="13"/>
  <c r="T36" i="13"/>
  <c r="T14" i="13"/>
  <c r="S14" i="13"/>
  <c r="U14" i="13"/>
  <c r="S46" i="13"/>
  <c r="U46" i="13"/>
  <c r="T46" i="13"/>
  <c r="U56" i="13"/>
  <c r="T56" i="13"/>
  <c r="S56" i="13"/>
  <c r="U53" i="13"/>
  <c r="T53" i="13"/>
  <c r="S53" i="13"/>
  <c r="U50" i="13"/>
  <c r="T50" i="13"/>
  <c r="S50" i="13"/>
  <c r="T40" i="13"/>
  <c r="U40" i="13"/>
  <c r="S40" i="13"/>
  <c r="S18" i="12"/>
  <c r="U18" i="12" s="1"/>
  <c r="T18" i="12"/>
  <c r="U41" i="12"/>
  <c r="S41" i="12"/>
  <c r="T41" i="12"/>
  <c r="T25" i="12"/>
  <c r="S25" i="12"/>
  <c r="U25" i="12" s="1"/>
  <c r="U27" i="12"/>
  <c r="T27" i="12"/>
  <c r="S27" i="12"/>
  <c r="S42" i="12"/>
  <c r="U42" i="12"/>
  <c r="T42" i="12"/>
  <c r="T40" i="12"/>
  <c r="U40" i="12"/>
  <c r="S40" i="12"/>
  <c r="S29" i="12"/>
  <c r="U29" i="12"/>
  <c r="T29" i="12"/>
  <c r="U38" i="12"/>
  <c r="S38" i="12"/>
  <c r="T38" i="12"/>
  <c r="U51" i="12"/>
  <c r="T51" i="12"/>
  <c r="S51" i="12"/>
  <c r="U40" i="11"/>
  <c r="S40" i="11"/>
  <c r="T40" i="11"/>
  <c r="T56" i="11"/>
  <c r="U56" i="11"/>
  <c r="S56" i="11"/>
  <c r="U33" i="11"/>
  <c r="T33" i="11"/>
  <c r="S33" i="11"/>
  <c r="T58" i="11"/>
  <c r="U58" i="11"/>
  <c r="S58" i="11"/>
  <c r="T49" i="11"/>
  <c r="U49" i="11"/>
  <c r="S49" i="11"/>
  <c r="T32" i="9"/>
  <c r="U32" i="9"/>
  <c r="S32" i="9"/>
  <c r="S37" i="10"/>
  <c r="U37" i="10"/>
  <c r="T37" i="10"/>
  <c r="T40" i="10"/>
  <c r="S40" i="10"/>
  <c r="U40" i="10"/>
  <c r="U60" i="10"/>
  <c r="T60" i="10"/>
  <c r="S60" i="10"/>
  <c r="T57" i="10"/>
  <c r="U57" i="10"/>
  <c r="S57" i="10"/>
  <c r="T54" i="9"/>
  <c r="S54" i="9"/>
  <c r="U54" i="9"/>
  <c r="U20" i="9"/>
  <c r="T20" i="9"/>
  <c r="S20" i="9"/>
  <c r="U36" i="10"/>
  <c r="T36" i="10"/>
  <c r="S36" i="10"/>
  <c r="S31" i="9"/>
  <c r="U31" i="9"/>
  <c r="T31" i="9"/>
  <c r="U58" i="8"/>
  <c r="T58" i="8"/>
  <c r="S58" i="8"/>
  <c r="U21" i="8"/>
  <c r="S21" i="8"/>
  <c r="T21" i="8"/>
  <c r="T37" i="1"/>
  <c r="U37" i="1"/>
  <c r="S37" i="1"/>
  <c r="T50" i="1"/>
  <c r="S50" i="1"/>
  <c r="U50" i="1"/>
  <c r="T56" i="9"/>
  <c r="U56" i="9"/>
  <c r="S56" i="9"/>
  <c r="U44" i="9"/>
  <c r="T44" i="9"/>
  <c r="S44" i="9"/>
  <c r="S55" i="9"/>
  <c r="U55" i="9"/>
  <c r="T55" i="9"/>
  <c r="U54" i="1"/>
  <c r="T54" i="1"/>
  <c r="S54" i="1"/>
  <c r="U60" i="1"/>
  <c r="T60" i="1"/>
  <c r="S60" i="1"/>
  <c r="S36" i="12"/>
  <c r="U36" i="12"/>
  <c r="T36" i="12"/>
  <c r="U33" i="12"/>
  <c r="T33" i="12"/>
  <c r="S33" i="12"/>
  <c r="T11" i="12"/>
  <c r="U11" i="12"/>
  <c r="S11" i="12"/>
  <c r="T45" i="12"/>
  <c r="S45" i="12"/>
  <c r="U45" i="12"/>
  <c r="U53" i="12"/>
  <c r="T53" i="12"/>
  <c r="S53" i="12"/>
  <c r="S39" i="11"/>
  <c r="T39" i="11"/>
  <c r="U39" i="11"/>
  <c r="T16" i="9"/>
  <c r="S16" i="9"/>
  <c r="U16" i="9" s="1"/>
  <c r="U27" i="10"/>
  <c r="T27" i="10"/>
  <c r="S27" i="10"/>
  <c r="T48" i="10"/>
  <c r="U48" i="10"/>
  <c r="S48" i="10"/>
  <c r="S15" i="9"/>
  <c r="U15" i="9" s="1"/>
  <c r="T15" i="9"/>
  <c r="U42" i="8"/>
  <c r="T42" i="8"/>
  <c r="S42" i="8"/>
  <c r="U21" i="1"/>
  <c r="T21" i="1"/>
  <c r="S21" i="1"/>
  <c r="T46" i="1"/>
  <c r="S46" i="1"/>
  <c r="U46" i="1"/>
  <c r="T47" i="1"/>
  <c r="S47" i="1"/>
  <c r="U47" i="1"/>
  <c r="U59" i="13"/>
  <c r="S59" i="13"/>
  <c r="T59" i="13"/>
  <c r="O3" i="14"/>
  <c r="U55" i="12"/>
  <c r="T55" i="12"/>
  <c r="S55" i="12"/>
  <c r="S53" i="10"/>
  <c r="U53" i="10"/>
  <c r="T53" i="10"/>
  <c r="T34" i="10"/>
  <c r="S34" i="10"/>
  <c r="U34" i="10"/>
  <c r="U45" i="8"/>
  <c r="T45" i="8"/>
  <c r="S45" i="8"/>
  <c r="U32" i="8"/>
  <c r="T32" i="8"/>
  <c r="S32" i="8"/>
  <c r="U56" i="1"/>
  <c r="T56" i="1"/>
  <c r="S56" i="1"/>
  <c r="T22" i="1"/>
  <c r="S22" i="1"/>
  <c r="U22" i="1"/>
  <c r="U24" i="11"/>
  <c r="S24" i="11"/>
  <c r="T24" i="11"/>
  <c r="U43" i="11"/>
  <c r="S43" i="11"/>
  <c r="T43" i="11"/>
  <c r="T41" i="11"/>
  <c r="S41" i="11"/>
  <c r="U41" i="11"/>
  <c r="T31" i="10"/>
  <c r="U31" i="10"/>
  <c r="S31" i="10"/>
  <c r="T56" i="8"/>
  <c r="S56" i="8"/>
  <c r="U56" i="8"/>
  <c r="S49" i="13"/>
  <c r="T49" i="13"/>
  <c r="U49" i="13"/>
  <c r="U28" i="13"/>
  <c r="T28" i="13"/>
  <c r="S28" i="13"/>
  <c r="U48" i="13"/>
  <c r="T48" i="13"/>
  <c r="S48" i="13"/>
  <c r="T45" i="13"/>
  <c r="S45" i="13"/>
  <c r="U45" i="13"/>
  <c r="U31" i="13"/>
  <c r="T31" i="13"/>
  <c r="S31" i="13"/>
  <c r="T9" i="12"/>
  <c r="S9" i="12"/>
  <c r="U9" i="12"/>
  <c r="T31" i="12"/>
  <c r="U31" i="12"/>
  <c r="S31" i="12"/>
  <c r="U17" i="12"/>
  <c r="T17" i="12"/>
  <c r="S17" i="12"/>
  <c r="T32" i="12"/>
  <c r="U32" i="12"/>
  <c r="S32" i="12"/>
  <c r="U34" i="12"/>
  <c r="T34" i="12"/>
  <c r="S34" i="12"/>
  <c r="S50" i="12"/>
  <c r="U50" i="12"/>
  <c r="T50" i="12"/>
  <c r="S30" i="12"/>
  <c r="T30" i="12"/>
  <c r="U30" i="12"/>
  <c r="U43" i="12"/>
  <c r="T43" i="12"/>
  <c r="S43" i="12"/>
  <c r="S58" i="12"/>
  <c r="U58" i="12"/>
  <c r="T58" i="12"/>
  <c r="T48" i="11"/>
  <c r="U48" i="11"/>
  <c r="S48" i="11"/>
  <c r="U52" i="11"/>
  <c r="T52" i="11"/>
  <c r="S52" i="11"/>
  <c r="S42" i="11"/>
  <c r="T42" i="11"/>
  <c r="U42" i="11"/>
  <c r="U15" i="10"/>
  <c r="S15" i="10"/>
  <c r="T15" i="10"/>
  <c r="T40" i="9"/>
  <c r="U40" i="9"/>
  <c r="S40" i="9"/>
  <c r="U17" i="10"/>
  <c r="T17" i="10"/>
  <c r="S17" i="10"/>
  <c r="S45" i="10"/>
  <c r="U45" i="10"/>
  <c r="T45" i="10"/>
  <c r="U28" i="9"/>
  <c r="T28" i="9"/>
  <c r="S28" i="9"/>
  <c r="S39" i="9"/>
  <c r="U39" i="9"/>
  <c r="T39" i="9"/>
  <c r="U29" i="8"/>
  <c r="T29" i="8"/>
  <c r="S29" i="8"/>
  <c r="U16" i="8"/>
  <c r="T16" i="8"/>
  <c r="S16" i="8"/>
  <c r="U45" i="1"/>
  <c r="T45" i="1"/>
  <c r="S45" i="1"/>
  <c r="U16" i="1"/>
  <c r="T16" i="1"/>
  <c r="S16" i="1"/>
  <c r="U59" i="1"/>
  <c r="T59" i="1"/>
  <c r="S59" i="1"/>
  <c r="T58" i="1"/>
  <c r="S58" i="1"/>
  <c r="U58" i="1"/>
  <c r="T35" i="11"/>
  <c r="S35" i="11"/>
  <c r="U35" i="11"/>
  <c r="T50" i="11"/>
  <c r="U50" i="11"/>
  <c r="S50" i="11"/>
  <c r="S54" i="10"/>
  <c r="U54" i="10"/>
  <c r="T54" i="10"/>
  <c r="S14" i="9"/>
  <c r="U14" i="9"/>
  <c r="T14" i="9"/>
  <c r="U18" i="8"/>
  <c r="T18" i="8"/>
  <c r="S18" i="8"/>
  <c r="U49" i="1"/>
  <c r="S49" i="1"/>
  <c r="T49" i="1"/>
  <c r="T30" i="13"/>
  <c r="U30" i="13"/>
  <c r="S30" i="13"/>
  <c r="G3" i="14"/>
  <c r="U14" i="12"/>
  <c r="T14" i="12"/>
  <c r="S14" i="12"/>
  <c r="U48" i="12"/>
  <c r="T48" i="12"/>
  <c r="S48" i="12"/>
  <c r="S28" i="11"/>
  <c r="U28" i="11"/>
  <c r="T28" i="11"/>
  <c r="S57" i="12"/>
  <c r="U57" i="12"/>
  <c r="T57" i="12"/>
  <c r="S49" i="12"/>
  <c r="U49" i="12"/>
  <c r="T49" i="12"/>
  <c r="T52" i="12"/>
  <c r="S52" i="12"/>
  <c r="U52" i="12"/>
  <c r="S54" i="11"/>
  <c r="U54" i="11"/>
  <c r="T54" i="11"/>
  <c r="S55" i="11"/>
  <c r="U55" i="11"/>
  <c r="T55" i="11"/>
  <c r="U29" i="11"/>
  <c r="T29" i="11"/>
  <c r="S29" i="11"/>
  <c r="U59" i="10"/>
  <c r="T59" i="10"/>
  <c r="S59" i="10"/>
  <c r="U55" i="10"/>
  <c r="T55" i="10"/>
  <c r="S55" i="10"/>
  <c r="U46" i="10"/>
  <c r="T46" i="10"/>
  <c r="S46" i="10"/>
  <c r="T22" i="9"/>
  <c r="S22" i="9"/>
  <c r="U22" i="9"/>
  <c r="S21" i="10"/>
  <c r="U21" i="10"/>
  <c r="T21" i="10"/>
  <c r="U52" i="9"/>
  <c r="T52" i="9"/>
  <c r="S52" i="9"/>
  <c r="U26" i="8"/>
  <c r="T26" i="8"/>
  <c r="S26" i="8"/>
  <c r="U53" i="8"/>
  <c r="T53" i="8"/>
  <c r="S53" i="8"/>
  <c r="U40" i="8"/>
  <c r="T40" i="8"/>
  <c r="S40" i="8"/>
  <c r="U40" i="1"/>
  <c r="T40" i="1"/>
  <c r="S40" i="1"/>
  <c r="U48" i="1"/>
  <c r="S48" i="1"/>
  <c r="T48" i="1"/>
  <c r="S55" i="1"/>
  <c r="T55" i="1"/>
  <c r="U55" i="1"/>
  <c r="T30" i="1"/>
  <c r="S30" i="1"/>
  <c r="U30" i="1"/>
  <c r="S44" i="1"/>
  <c r="U44" i="1"/>
  <c r="T44" i="1"/>
  <c r="T31" i="1"/>
  <c r="S31" i="1"/>
  <c r="U31" i="1"/>
  <c r="T52" i="13"/>
  <c r="S52" i="13"/>
  <c r="U52" i="13"/>
  <c r="T24" i="13"/>
  <c r="S24" i="13"/>
  <c r="U24" i="13"/>
  <c r="U56" i="12"/>
  <c r="T56" i="12"/>
  <c r="S56" i="12"/>
  <c r="U32" i="1"/>
  <c r="T32" i="1"/>
  <c r="S32" i="1"/>
  <c r="S36" i="1"/>
  <c r="U36" i="1"/>
  <c r="T36" i="1"/>
  <c r="T23" i="1"/>
  <c r="S23" i="1"/>
  <c r="U23" i="1"/>
  <c r="S44" i="12"/>
  <c r="U44" i="12"/>
  <c r="T44" i="12"/>
  <c r="U53" i="11"/>
  <c r="S53" i="11"/>
  <c r="T53" i="11"/>
  <c r="U30" i="10"/>
  <c r="T30" i="10"/>
  <c r="S30" i="10"/>
  <c r="T38" i="9"/>
  <c r="S38" i="9"/>
  <c r="U38" i="9"/>
  <c r="N3" i="14"/>
  <c r="U55" i="13"/>
  <c r="T55" i="13"/>
  <c r="S55" i="13"/>
  <c r="U51" i="13"/>
  <c r="S51" i="13"/>
  <c r="T51" i="13"/>
  <c r="S23" i="13"/>
  <c r="U23" i="13"/>
  <c r="T23" i="13"/>
  <c r="F3" i="14"/>
  <c r="T60" i="13"/>
  <c r="S60" i="13"/>
  <c r="U60" i="13"/>
  <c r="U44" i="13"/>
  <c r="T44" i="13"/>
  <c r="S44" i="13"/>
  <c r="T22" i="13"/>
  <c r="U22" i="13"/>
  <c r="S22" i="13"/>
  <c r="S54" i="13"/>
  <c r="U54" i="13"/>
  <c r="T54" i="13"/>
  <c r="U58" i="13"/>
  <c r="T58" i="13"/>
  <c r="S58" i="13"/>
  <c r="U42" i="13"/>
  <c r="T42" i="13"/>
  <c r="S42" i="13"/>
  <c r="U33" i="13"/>
  <c r="T33" i="13"/>
  <c r="S33" i="13"/>
  <c r="S26" i="12"/>
  <c r="T26" i="12"/>
  <c r="U26" i="12"/>
  <c r="T22" i="12"/>
  <c r="S22" i="12"/>
  <c r="U22" i="12" s="1"/>
  <c r="T39" i="12"/>
  <c r="U39" i="12"/>
  <c r="S39" i="12"/>
  <c r="U54" i="12"/>
  <c r="T54" i="12"/>
  <c r="S54" i="12"/>
  <c r="S37" i="12"/>
  <c r="U37" i="12"/>
  <c r="T37" i="12"/>
  <c r="S46" i="12"/>
  <c r="U46" i="12"/>
  <c r="T46" i="12"/>
  <c r="U51" i="11"/>
  <c r="T51" i="11"/>
  <c r="S51" i="11"/>
  <c r="U32" i="11"/>
  <c r="S32" i="11"/>
  <c r="T32" i="11"/>
  <c r="U25" i="11"/>
  <c r="T25" i="11"/>
  <c r="S25" i="11"/>
  <c r="U36" i="11"/>
  <c r="S36" i="11"/>
  <c r="T36" i="11"/>
  <c r="U59" i="11"/>
  <c r="T59" i="11"/>
  <c r="S59" i="11"/>
  <c r="T24" i="9"/>
  <c r="U24" i="9"/>
  <c r="S24" i="9"/>
  <c r="V18" i="11"/>
  <c r="W18" i="11" s="1"/>
  <c r="Y18" i="11" s="1"/>
  <c r="U33" i="10"/>
  <c r="T33" i="10"/>
  <c r="S33" i="10"/>
  <c r="T32" i="10"/>
  <c r="S32" i="10"/>
  <c r="U32" i="10"/>
  <c r="T47" i="10"/>
  <c r="U47" i="10"/>
  <c r="S47" i="10"/>
  <c r="U35" i="10"/>
  <c r="T35" i="10"/>
  <c r="S35" i="10"/>
  <c r="U22" i="10"/>
  <c r="T22" i="10"/>
  <c r="S22" i="10"/>
  <c r="T46" i="9"/>
  <c r="S46" i="9"/>
  <c r="U46" i="9"/>
  <c r="U52" i="10"/>
  <c r="T52" i="10"/>
  <c r="S52" i="10"/>
  <c r="T24" i="10"/>
  <c r="S24" i="10"/>
  <c r="U24" i="10"/>
  <c r="S9" i="10"/>
  <c r="U9" i="10" s="1"/>
  <c r="T9" i="10"/>
  <c r="S23" i="9"/>
  <c r="U23" i="9"/>
  <c r="T23" i="9"/>
  <c r="U50" i="8"/>
  <c r="T50" i="8"/>
  <c r="S50" i="8"/>
  <c r="U13" i="8"/>
  <c r="T13" i="8"/>
  <c r="S13" i="8"/>
  <c r="U29" i="1"/>
  <c r="T29" i="1"/>
  <c r="S29" i="1"/>
  <c r="V26" i="9"/>
  <c r="W26" i="9" s="1"/>
  <c r="Y26" i="9" s="1"/>
  <c r="Q23" i="2" l="1"/>
  <c r="Q20" i="2"/>
  <c r="Q25" i="2"/>
  <c r="Q4" i="2"/>
  <c r="Q26" i="2"/>
  <c r="Q33" i="2"/>
  <c r="Q8" i="2"/>
  <c r="Q5" i="2"/>
  <c r="Q2" i="2"/>
  <c r="Q14" i="2"/>
  <c r="Q28" i="2"/>
  <c r="Q36" i="2"/>
  <c r="Q32" i="2"/>
  <c r="Q27" i="2"/>
  <c r="Q3" i="2"/>
  <c r="Q10" i="2"/>
  <c r="Q9" i="2"/>
  <c r="Q30" i="2"/>
  <c r="Q35" i="2"/>
  <c r="Q17" i="2"/>
  <c r="Q34" i="2"/>
  <c r="Q31" i="2"/>
  <c r="Q12" i="2"/>
  <c r="Q11" i="2"/>
  <c r="Q7" i="2"/>
  <c r="Q19" i="2"/>
  <c r="Q18" i="2"/>
  <c r="Q13" i="2"/>
  <c r="Q29" i="2"/>
  <c r="Q15" i="2"/>
  <c r="Q21" i="2"/>
  <c r="Q22" i="2"/>
  <c r="Q6" i="2"/>
  <c r="Q16" i="2"/>
  <c r="V34" i="1"/>
  <c r="W34" i="1" s="1"/>
  <c r="Y34" i="1" s="1"/>
  <c r="V19" i="1"/>
  <c r="W19" i="1" s="1"/>
  <c r="Y19" i="1" s="1"/>
  <c r="V12" i="12"/>
  <c r="W12" i="12" s="1"/>
  <c r="Y12" i="12" s="1"/>
  <c r="V19" i="8"/>
  <c r="W19" i="8" s="1"/>
  <c r="Y19" i="8" s="1"/>
  <c r="V53" i="9"/>
  <c r="W53" i="9" s="1"/>
  <c r="Y53" i="9" s="1"/>
  <c r="U10" i="11"/>
  <c r="V10" i="11" s="1"/>
  <c r="W10" i="11" s="1"/>
  <c r="Y10" i="11" s="1"/>
  <c r="V20" i="1"/>
  <c r="W20" i="1" s="1"/>
  <c r="Y20" i="1" s="1"/>
  <c r="U11" i="10"/>
  <c r="V11" i="10" s="1"/>
  <c r="W11" i="10" s="1"/>
  <c r="Y11" i="10" s="1"/>
  <c r="V21" i="11"/>
  <c r="W21" i="11" s="1"/>
  <c r="Y21" i="11" s="1"/>
  <c r="V26" i="10"/>
  <c r="W26" i="10" s="1"/>
  <c r="Y26" i="10" s="1"/>
  <c r="U9" i="9"/>
  <c r="V9" i="9" s="1"/>
  <c r="W9" i="9" s="1"/>
  <c r="Y9" i="9" s="1"/>
  <c r="V47" i="12"/>
  <c r="W47" i="12" s="1"/>
  <c r="Y47" i="12" s="1"/>
  <c r="V23" i="8"/>
  <c r="W23" i="8" s="1"/>
  <c r="Y23" i="8" s="1"/>
  <c r="U12" i="9"/>
  <c r="V12" i="9" s="1"/>
  <c r="W12" i="9" s="1"/>
  <c r="Y12" i="9" s="1"/>
  <c r="V57" i="9"/>
  <c r="W57" i="9" s="1"/>
  <c r="Y57" i="9" s="1"/>
  <c r="U15" i="8"/>
  <c r="V15" i="8" s="1"/>
  <c r="W15" i="8" s="1"/>
  <c r="Y15" i="8" s="1"/>
  <c r="U13" i="11"/>
  <c r="V13" i="11" s="1"/>
  <c r="W13" i="11" s="1"/>
  <c r="Y13" i="11" s="1"/>
  <c r="V54" i="8"/>
  <c r="W54" i="8" s="1"/>
  <c r="Y54" i="8" s="1"/>
  <c r="V30" i="8"/>
  <c r="W30" i="8" s="1"/>
  <c r="Y30" i="8" s="1"/>
  <c r="V34" i="13"/>
  <c r="W34" i="13" s="1"/>
  <c r="Y34" i="13" s="1"/>
  <c r="U21" i="12"/>
  <c r="V21" i="12" s="1"/>
  <c r="W21" i="12" s="1"/>
  <c r="Y21" i="12" s="1"/>
  <c r="V41" i="9"/>
  <c r="W41" i="9" s="1"/>
  <c r="Y41" i="9" s="1"/>
  <c r="V32" i="13"/>
  <c r="W32" i="13" s="1"/>
  <c r="Y32" i="13" s="1"/>
  <c r="V60" i="11"/>
  <c r="W60" i="11" s="1"/>
  <c r="Y60" i="11" s="1"/>
  <c r="V33" i="9"/>
  <c r="W33" i="9" s="1"/>
  <c r="Y33" i="9" s="1"/>
  <c r="V41" i="10"/>
  <c r="W41" i="10" s="1"/>
  <c r="Y41" i="10" s="1"/>
  <c r="V46" i="8"/>
  <c r="W46" i="8" s="1"/>
  <c r="Y46" i="8" s="1"/>
  <c r="V16" i="10"/>
  <c r="W16" i="10" s="1"/>
  <c r="Y16" i="10" s="1"/>
  <c r="V35" i="9"/>
  <c r="W35" i="9" s="1"/>
  <c r="Y35" i="9" s="1"/>
  <c r="V21" i="9"/>
  <c r="W21" i="9" s="1"/>
  <c r="Y21" i="9" s="1"/>
  <c r="V49" i="8"/>
  <c r="W49" i="8" s="1"/>
  <c r="Y49" i="8" s="1"/>
  <c r="V16" i="13"/>
  <c r="W16" i="13" s="1"/>
  <c r="Y16" i="13" s="1"/>
  <c r="V18" i="1"/>
  <c r="W18" i="1" s="1"/>
  <c r="Y18" i="1" s="1"/>
  <c r="V28" i="1"/>
  <c r="W28" i="1" s="1"/>
  <c r="Y28" i="1" s="1"/>
  <c r="V11" i="1"/>
  <c r="W11" i="1" s="1"/>
  <c r="Y11" i="1" s="1"/>
  <c r="V56" i="10"/>
  <c r="W56" i="10" s="1"/>
  <c r="Y56" i="10" s="1"/>
  <c r="U14" i="8"/>
  <c r="V14" i="8" s="1"/>
  <c r="W14" i="8" s="1"/>
  <c r="Y14" i="8" s="1"/>
  <c r="V42" i="9"/>
  <c r="W42" i="9" s="1"/>
  <c r="Y42" i="9" s="1"/>
  <c r="V13" i="9"/>
  <c r="W13" i="9" s="1"/>
  <c r="Y13" i="9" s="1"/>
  <c r="V18" i="9"/>
  <c r="W18" i="9" s="1"/>
  <c r="Y18" i="9" s="1"/>
  <c r="V35" i="8"/>
  <c r="W35" i="8" s="1"/>
  <c r="Y35" i="8" s="1"/>
  <c r="V12" i="1"/>
  <c r="W12" i="1" s="1"/>
  <c r="Y12" i="1" s="1"/>
  <c r="V59" i="9"/>
  <c r="W59" i="9" s="1"/>
  <c r="Y59" i="9" s="1"/>
  <c r="V10" i="1"/>
  <c r="W10" i="1" s="1"/>
  <c r="Y10" i="1" s="1"/>
  <c r="V41" i="8"/>
  <c r="W41" i="8" s="1"/>
  <c r="Y41" i="8" s="1"/>
  <c r="V11" i="9"/>
  <c r="W11" i="9" s="1"/>
  <c r="Y11" i="9" s="1"/>
  <c r="V11" i="8"/>
  <c r="W11" i="8" s="1"/>
  <c r="Y11" i="8" s="1"/>
  <c r="V38" i="11"/>
  <c r="W38" i="11" s="1"/>
  <c r="Y38" i="11" s="1"/>
  <c r="V11" i="11"/>
  <c r="W11" i="11" s="1"/>
  <c r="Y11" i="11" s="1"/>
  <c r="V25" i="9"/>
  <c r="W25" i="9" s="1"/>
  <c r="Y25" i="9" s="1"/>
  <c r="V19" i="11"/>
  <c r="W19" i="11" s="1"/>
  <c r="Y19" i="11" s="1"/>
  <c r="V37" i="13"/>
  <c r="W37" i="13" s="1"/>
  <c r="Y37" i="13" s="1"/>
  <c r="V12" i="10"/>
  <c r="W12" i="10" s="1"/>
  <c r="Y12" i="10" s="1"/>
  <c r="V39" i="8"/>
  <c r="W39" i="8" s="1"/>
  <c r="Y39" i="8" s="1"/>
  <c r="V45" i="9"/>
  <c r="W45" i="9" s="1"/>
  <c r="Y45" i="9" s="1"/>
  <c r="V9" i="8"/>
  <c r="Y9" i="8" s="1"/>
  <c r="V43" i="9"/>
  <c r="W43" i="9" s="1"/>
  <c r="Y43" i="9" s="1"/>
  <c r="V33" i="1"/>
  <c r="W33" i="1" s="1"/>
  <c r="Y33" i="1" s="1"/>
  <c r="V50" i="9"/>
  <c r="W50" i="9" s="1"/>
  <c r="Y50" i="9" s="1"/>
  <c r="V37" i="9"/>
  <c r="W37" i="9" s="1"/>
  <c r="Y37" i="9" s="1"/>
  <c r="V13" i="12"/>
  <c r="W13" i="12" s="1"/>
  <c r="Y13" i="12" s="1"/>
  <c r="V35" i="1"/>
  <c r="W35" i="1" s="1"/>
  <c r="Y35" i="1" s="1"/>
  <c r="V47" i="1"/>
  <c r="W47" i="1" s="1"/>
  <c r="Y47" i="1" s="1"/>
  <c r="V45" i="8"/>
  <c r="W45" i="8" s="1"/>
  <c r="Y45" i="8" s="1"/>
  <c r="V33" i="12"/>
  <c r="W33" i="12" s="1"/>
  <c r="Y33" i="12" s="1"/>
  <c r="V24" i="12"/>
  <c r="W24" i="12" s="1"/>
  <c r="Y24" i="12" s="1"/>
  <c r="V27" i="1"/>
  <c r="W27" i="1" s="1"/>
  <c r="Y27" i="1" s="1"/>
  <c r="V32" i="9"/>
  <c r="W32" i="9" s="1"/>
  <c r="Y32" i="9" s="1"/>
  <c r="V58" i="11"/>
  <c r="W58" i="11" s="1"/>
  <c r="Y58" i="11" s="1"/>
  <c r="V40" i="13"/>
  <c r="W40" i="13" s="1"/>
  <c r="Y40" i="13" s="1"/>
  <c r="V13" i="13"/>
  <c r="W13" i="13" s="1"/>
  <c r="Y13" i="13" s="1"/>
  <c r="V15" i="1"/>
  <c r="W15" i="1" s="1"/>
  <c r="Y15" i="1" s="1"/>
  <c r="V39" i="1"/>
  <c r="W39" i="1" s="1"/>
  <c r="Y39" i="1" s="1"/>
  <c r="V13" i="1"/>
  <c r="W13" i="1" s="1"/>
  <c r="Y13" i="1" s="1"/>
  <c r="V13" i="8"/>
  <c r="W13" i="8" s="1"/>
  <c r="Y13" i="8" s="1"/>
  <c r="V57" i="12"/>
  <c r="W57" i="12" s="1"/>
  <c r="Y57" i="12" s="1"/>
  <c r="V35" i="12"/>
  <c r="W35" i="12" s="1"/>
  <c r="Y35" i="12" s="1"/>
  <c r="V43" i="1"/>
  <c r="W43" i="1" s="1"/>
  <c r="Y43" i="1" s="1"/>
  <c r="V34" i="9"/>
  <c r="W34" i="9" s="1"/>
  <c r="Y34" i="9" s="1"/>
  <c r="V17" i="8"/>
  <c r="W17" i="8" s="1"/>
  <c r="Y17" i="8" s="1"/>
  <c r="V17" i="9"/>
  <c r="W17" i="9" s="1"/>
  <c r="Y17" i="9" s="1"/>
  <c r="V45" i="12"/>
  <c r="W45" i="12" s="1"/>
  <c r="Y45" i="12" s="1"/>
  <c r="V35" i="11"/>
  <c r="W35" i="11" s="1"/>
  <c r="Y35" i="11" s="1"/>
  <c r="V13" i="10"/>
  <c r="W13" i="10" s="1"/>
  <c r="Y13" i="10" s="1"/>
  <c r="V18" i="10"/>
  <c r="W18" i="10" s="1"/>
  <c r="Y18" i="10" s="1"/>
  <c r="V9" i="10"/>
  <c r="Y9" i="10" s="1"/>
  <c r="V39" i="10"/>
  <c r="W39" i="10" s="1"/>
  <c r="Y39" i="10" s="1"/>
  <c r="V60" i="10"/>
  <c r="W60" i="10" s="1"/>
  <c r="Y60" i="10" s="1"/>
  <c r="V54" i="9"/>
  <c r="W54" i="9" s="1"/>
  <c r="Y54" i="9" s="1"/>
  <c r="V50" i="8"/>
  <c r="W50" i="8" s="1"/>
  <c r="Y50" i="8" s="1"/>
  <c r="V39" i="12"/>
  <c r="W39" i="12" s="1"/>
  <c r="Y39" i="12" s="1"/>
  <c r="V31" i="1"/>
  <c r="W31" i="1" s="1"/>
  <c r="Y31" i="1" s="1"/>
  <c r="V10" i="8"/>
  <c r="W10" i="8" s="1"/>
  <c r="Y10" i="8" s="1"/>
  <c r="V29" i="1"/>
  <c r="W29" i="1" s="1"/>
  <c r="Y29" i="1" s="1"/>
  <c r="V32" i="11"/>
  <c r="W32" i="11" s="1"/>
  <c r="Y32" i="11" s="1"/>
  <c r="V52" i="13"/>
  <c r="W52" i="13" s="1"/>
  <c r="Y52" i="13" s="1"/>
  <c r="V26" i="11"/>
  <c r="W26" i="11" s="1"/>
  <c r="Y26" i="11" s="1"/>
  <c r="V28" i="12"/>
  <c r="W28" i="12" s="1"/>
  <c r="Y28" i="12" s="1"/>
  <c r="V12" i="13"/>
  <c r="W12" i="13" s="1"/>
  <c r="Y12" i="13" s="1"/>
  <c r="V58" i="9"/>
  <c r="W58" i="9" s="1"/>
  <c r="Y58" i="9" s="1"/>
  <c r="V32" i="8"/>
  <c r="W32" i="8" s="1"/>
  <c r="Y32" i="8" s="1"/>
  <c r="V16" i="11"/>
  <c r="W16" i="11" s="1"/>
  <c r="Y16" i="11" s="1"/>
  <c r="V57" i="13"/>
  <c r="W57" i="13" s="1"/>
  <c r="Y57" i="13" s="1"/>
  <c r="V38" i="8"/>
  <c r="W38" i="8" s="1"/>
  <c r="Y38" i="8" s="1"/>
  <c r="V53" i="13"/>
  <c r="W53" i="13" s="1"/>
  <c r="Y53" i="13" s="1"/>
  <c r="V36" i="9"/>
  <c r="W36" i="9" s="1"/>
  <c r="Y36" i="9" s="1"/>
  <c r="V38" i="10"/>
  <c r="W38" i="10" s="1"/>
  <c r="Y38" i="10" s="1"/>
  <c r="V59" i="12"/>
  <c r="W59" i="12" s="1"/>
  <c r="Y59" i="12" s="1"/>
  <c r="V32" i="1"/>
  <c r="W32" i="1" s="1"/>
  <c r="Y32" i="1" s="1"/>
  <c r="V24" i="13"/>
  <c r="W24" i="13" s="1"/>
  <c r="Y24" i="13" s="1"/>
  <c r="V15" i="10"/>
  <c r="W15" i="10" s="1"/>
  <c r="Y15" i="10" s="1"/>
  <c r="V22" i="1"/>
  <c r="W22" i="1" s="1"/>
  <c r="Y22" i="1" s="1"/>
  <c r="V53" i="10"/>
  <c r="W53" i="10" s="1"/>
  <c r="Y53" i="10" s="1"/>
  <c r="V37" i="10"/>
  <c r="W37" i="10" s="1"/>
  <c r="Y37" i="10" s="1"/>
  <c r="V42" i="12"/>
  <c r="W42" i="12" s="1"/>
  <c r="Y42" i="12" s="1"/>
  <c r="V41" i="12"/>
  <c r="W41" i="12" s="1"/>
  <c r="Y41" i="12" s="1"/>
  <c r="V48" i="8"/>
  <c r="W48" i="8" s="1"/>
  <c r="Y48" i="8" s="1"/>
  <c r="V47" i="11"/>
  <c r="W47" i="11" s="1"/>
  <c r="Y47" i="11" s="1"/>
  <c r="V38" i="13"/>
  <c r="W38" i="13" s="1"/>
  <c r="Y38" i="13" s="1"/>
  <c r="V14" i="1"/>
  <c r="W14" i="1" s="1"/>
  <c r="Y14" i="1" s="1"/>
  <c r="V39" i="11"/>
  <c r="W39" i="11" s="1"/>
  <c r="Y39" i="11" s="1"/>
  <c r="V20" i="9"/>
  <c r="W20" i="9" s="1"/>
  <c r="Y20" i="9" s="1"/>
  <c r="V49" i="11"/>
  <c r="W49" i="11" s="1"/>
  <c r="Y49" i="11" s="1"/>
  <c r="V38" i="12"/>
  <c r="W38" i="12" s="1"/>
  <c r="Y38" i="12" s="1"/>
  <c r="V24" i="1"/>
  <c r="W24" i="1" s="1"/>
  <c r="Y24" i="1" s="1"/>
  <c r="V23" i="10"/>
  <c r="W23" i="10" s="1"/>
  <c r="Y23" i="10" s="1"/>
  <c r="V29" i="10"/>
  <c r="W29" i="10" s="1"/>
  <c r="Y29" i="10" s="1"/>
  <c r="V20" i="13"/>
  <c r="W20" i="13" s="1"/>
  <c r="Y20" i="13" s="1"/>
  <c r="V51" i="13"/>
  <c r="W51" i="13" s="1"/>
  <c r="Y51" i="13" s="1"/>
  <c r="V53" i="8"/>
  <c r="W53" i="8" s="1"/>
  <c r="Y53" i="8" s="1"/>
  <c r="V49" i="1"/>
  <c r="W49" i="1" s="1"/>
  <c r="Y49" i="1" s="1"/>
  <c r="V59" i="1"/>
  <c r="W59" i="1" s="1"/>
  <c r="Y59" i="1" s="1"/>
  <c r="V30" i="12"/>
  <c r="W30" i="12" s="1"/>
  <c r="Y30" i="12" s="1"/>
  <c r="V28" i="13"/>
  <c r="W28" i="13" s="1"/>
  <c r="Y28" i="13" s="1"/>
  <c r="V10" i="10"/>
  <c r="W10" i="10" s="1"/>
  <c r="Y10" i="10" s="1"/>
  <c r="V26" i="12"/>
  <c r="W26" i="12" s="1"/>
  <c r="Y26" i="12" s="1"/>
  <c r="V41" i="11"/>
  <c r="W41" i="11" s="1"/>
  <c r="Y41" i="11" s="1"/>
  <c r="V14" i="10"/>
  <c r="W14" i="10" s="1"/>
  <c r="Y14" i="10" s="1"/>
  <c r="V44" i="11"/>
  <c r="W44" i="11" s="1"/>
  <c r="Y44" i="11" s="1"/>
  <c r="V12" i="8"/>
  <c r="W12" i="8" s="1"/>
  <c r="Y12" i="8" s="1"/>
  <c r="V24" i="10"/>
  <c r="W24" i="10" s="1"/>
  <c r="Y24" i="10" s="1"/>
  <c r="V44" i="13"/>
  <c r="W44" i="13" s="1"/>
  <c r="Y44" i="13" s="1"/>
  <c r="V23" i="13"/>
  <c r="W23" i="13" s="1"/>
  <c r="Y23" i="13" s="1"/>
  <c r="V55" i="13"/>
  <c r="W55" i="13" s="1"/>
  <c r="Y55" i="13" s="1"/>
  <c r="V24" i="9"/>
  <c r="W24" i="9" s="1"/>
  <c r="Y24" i="9" s="1"/>
  <c r="V36" i="11"/>
  <c r="W36" i="11" s="1"/>
  <c r="Y36" i="11" s="1"/>
  <c r="V38" i="9"/>
  <c r="W38" i="9" s="1"/>
  <c r="Y38" i="9" s="1"/>
  <c r="V23" i="1"/>
  <c r="W23" i="1" s="1"/>
  <c r="Y23" i="1" s="1"/>
  <c r="V26" i="8"/>
  <c r="W26" i="8" s="1"/>
  <c r="Y26" i="8" s="1"/>
  <c r="V28" i="11"/>
  <c r="W28" i="11" s="1"/>
  <c r="Y28" i="11" s="1"/>
  <c r="V30" i="13"/>
  <c r="W30" i="13" s="1"/>
  <c r="Y30" i="13" s="1"/>
  <c r="V50" i="11"/>
  <c r="W50" i="11" s="1"/>
  <c r="Y50" i="11" s="1"/>
  <c r="V16" i="1"/>
  <c r="W16" i="1" s="1"/>
  <c r="Y16" i="1" s="1"/>
  <c r="V43" i="12"/>
  <c r="W43" i="12" s="1"/>
  <c r="Y43" i="12" s="1"/>
  <c r="V50" i="12"/>
  <c r="W50" i="12" s="1"/>
  <c r="Y50" i="12" s="1"/>
  <c r="V45" i="13"/>
  <c r="W45" i="13" s="1"/>
  <c r="Y45" i="13" s="1"/>
  <c r="V56" i="1"/>
  <c r="W56" i="1" s="1"/>
  <c r="Y56" i="1" s="1"/>
  <c r="V26" i="13"/>
  <c r="W26" i="13" s="1"/>
  <c r="Y26" i="13" s="1"/>
  <c r="V34" i="8"/>
  <c r="W34" i="8" s="1"/>
  <c r="Y34" i="8" s="1"/>
  <c r="V43" i="10"/>
  <c r="W43" i="10" s="1"/>
  <c r="Y43" i="10" s="1"/>
  <c r="V19" i="12"/>
  <c r="W19" i="12" s="1"/>
  <c r="Y19" i="12" s="1"/>
  <c r="V37" i="8"/>
  <c r="W37" i="8" s="1"/>
  <c r="Y37" i="8" s="1"/>
  <c r="V51" i="10"/>
  <c r="W51" i="10" s="1"/>
  <c r="Y51" i="10" s="1"/>
  <c r="V29" i="13"/>
  <c r="W29" i="13" s="1"/>
  <c r="Y29" i="13" s="1"/>
  <c r="V51" i="11"/>
  <c r="W51" i="11" s="1"/>
  <c r="Y51" i="11" s="1"/>
  <c r="V21" i="8"/>
  <c r="W21" i="8" s="1"/>
  <c r="Y21" i="8" s="1"/>
  <c r="V36" i="10"/>
  <c r="W36" i="10" s="1"/>
  <c r="Y36" i="10" s="1"/>
  <c r="V56" i="11"/>
  <c r="W56" i="11" s="1"/>
  <c r="Y56" i="11" s="1"/>
  <c r="V40" i="12"/>
  <c r="W40" i="12" s="1"/>
  <c r="Y40" i="12" s="1"/>
  <c r="V23" i="9"/>
  <c r="W23" i="9" s="1"/>
  <c r="Y23" i="9" s="1"/>
  <c r="V52" i="10"/>
  <c r="W52" i="10" s="1"/>
  <c r="Y52" i="10" s="1"/>
  <c r="V32" i="10"/>
  <c r="W32" i="10" s="1"/>
  <c r="Y32" i="10" s="1"/>
  <c r="V25" i="11"/>
  <c r="W25" i="11" s="1"/>
  <c r="Y25" i="11" s="1"/>
  <c r="V54" i="12"/>
  <c r="W54" i="12" s="1"/>
  <c r="Y54" i="12" s="1"/>
  <c r="V40" i="8"/>
  <c r="W40" i="8" s="1"/>
  <c r="Y40" i="8" s="1"/>
  <c r="V21" i="10"/>
  <c r="W21" i="10" s="1"/>
  <c r="Y21" i="10" s="1"/>
  <c r="V49" i="12"/>
  <c r="W49" i="12" s="1"/>
  <c r="Y49" i="12" s="1"/>
  <c r="V58" i="1"/>
  <c r="W58" i="1" s="1"/>
  <c r="Y58" i="1" s="1"/>
  <c r="V40" i="9"/>
  <c r="W40" i="9" s="1"/>
  <c r="Y40" i="9" s="1"/>
  <c r="V48" i="11"/>
  <c r="W48" i="11" s="1"/>
  <c r="Y48" i="11" s="1"/>
  <c r="V31" i="12"/>
  <c r="W31" i="12" s="1"/>
  <c r="Y31" i="12" s="1"/>
  <c r="V48" i="13"/>
  <c r="W48" i="13" s="1"/>
  <c r="Y48" i="13" s="1"/>
  <c r="V31" i="10"/>
  <c r="W31" i="10" s="1"/>
  <c r="Y31" i="10" s="1"/>
  <c r="V43" i="11"/>
  <c r="W43" i="11" s="1"/>
  <c r="Y43" i="11" s="1"/>
  <c r="V35" i="10"/>
  <c r="W35" i="10" s="1"/>
  <c r="Y35" i="10" s="1"/>
  <c r="V33" i="10"/>
  <c r="W33" i="10" s="1"/>
  <c r="Y33" i="10" s="1"/>
  <c r="V59" i="11"/>
  <c r="W59" i="11" s="1"/>
  <c r="Y59" i="11" s="1"/>
  <c r="V22" i="13"/>
  <c r="W22" i="13" s="1"/>
  <c r="Y22" i="13" s="1"/>
  <c r="V53" i="11"/>
  <c r="W53" i="11" s="1"/>
  <c r="Y53" i="11" s="1"/>
  <c r="V18" i="8"/>
  <c r="W18" i="8" s="1"/>
  <c r="Y18" i="8" s="1"/>
  <c r="V54" i="10"/>
  <c r="W54" i="10" s="1"/>
  <c r="Y54" i="10" s="1"/>
  <c r="V28" i="9"/>
  <c r="W28" i="9" s="1"/>
  <c r="Y28" i="9" s="1"/>
  <c r="V17" i="10"/>
  <c r="W17" i="10" s="1"/>
  <c r="Y17" i="10" s="1"/>
  <c r="V52" i="11"/>
  <c r="W52" i="11" s="1"/>
  <c r="Y52" i="11" s="1"/>
  <c r="V58" i="12"/>
  <c r="W58" i="12" s="1"/>
  <c r="Y58" i="12" s="1"/>
  <c r="V17" i="12"/>
  <c r="W17" i="12" s="1"/>
  <c r="Y17" i="12" s="1"/>
  <c r="V59" i="13"/>
  <c r="W59" i="13" s="1"/>
  <c r="Y59" i="13" s="1"/>
  <c r="V27" i="10"/>
  <c r="W27" i="10" s="1"/>
  <c r="Y27" i="10" s="1"/>
  <c r="V11" i="12"/>
  <c r="W11" i="12" s="1"/>
  <c r="Y11" i="12" s="1"/>
  <c r="V36" i="12"/>
  <c r="W36" i="12" s="1"/>
  <c r="Y36" i="12" s="1"/>
  <c r="V56" i="9"/>
  <c r="W56" i="9" s="1"/>
  <c r="Y56" i="9" s="1"/>
  <c r="V50" i="1"/>
  <c r="W50" i="1" s="1"/>
  <c r="Y50" i="1" s="1"/>
  <c r="V58" i="8"/>
  <c r="W58" i="8" s="1"/>
  <c r="Y58" i="8" s="1"/>
  <c r="V57" i="10"/>
  <c r="W57" i="10" s="1"/>
  <c r="Y57" i="10" s="1"/>
  <c r="V36" i="13"/>
  <c r="W36" i="13" s="1"/>
  <c r="Y36" i="13" s="1"/>
  <c r="V45" i="11"/>
  <c r="W45" i="11" s="1"/>
  <c r="Y45" i="11" s="1"/>
  <c r="V20" i="12"/>
  <c r="W20" i="12" s="1"/>
  <c r="Y20" i="12" s="1"/>
  <c r="V43" i="13"/>
  <c r="W43" i="13" s="1"/>
  <c r="Y43" i="13" s="1"/>
  <c r="V38" i="1"/>
  <c r="W38" i="1" s="1"/>
  <c r="Y38" i="1" s="1"/>
  <c r="V28" i="10"/>
  <c r="W28" i="10" s="1"/>
  <c r="Y28" i="10" s="1"/>
  <c r="V47" i="9"/>
  <c r="W47" i="9" s="1"/>
  <c r="Y47" i="9" s="1"/>
  <c r="V46" i="9"/>
  <c r="W46" i="9" s="1"/>
  <c r="Y46" i="9" s="1"/>
  <c r="V47" i="10"/>
  <c r="W47" i="10" s="1"/>
  <c r="Y47" i="10" s="1"/>
  <c r="V46" i="12"/>
  <c r="W46" i="12" s="1"/>
  <c r="Y46" i="12" s="1"/>
  <c r="V58" i="13"/>
  <c r="W58" i="13" s="1"/>
  <c r="Y58" i="13" s="1"/>
  <c r="V30" i="10"/>
  <c r="W30" i="10" s="1"/>
  <c r="Y30" i="10" s="1"/>
  <c r="V56" i="12"/>
  <c r="W56" i="12" s="1"/>
  <c r="Y56" i="12" s="1"/>
  <c r="V55" i="10"/>
  <c r="W55" i="10" s="1"/>
  <c r="Y55" i="10" s="1"/>
  <c r="V29" i="11"/>
  <c r="W29" i="11" s="1"/>
  <c r="Y29" i="11" s="1"/>
  <c r="V55" i="11"/>
  <c r="W55" i="11" s="1"/>
  <c r="Y55" i="11" s="1"/>
  <c r="V48" i="12"/>
  <c r="W48" i="12" s="1"/>
  <c r="Y48" i="12" s="1"/>
  <c r="V29" i="8"/>
  <c r="W29" i="8" s="1"/>
  <c r="Y29" i="8" s="1"/>
  <c r="V34" i="12"/>
  <c r="W34" i="12" s="1"/>
  <c r="Y34" i="12" s="1"/>
  <c r="V56" i="8"/>
  <c r="W56" i="8" s="1"/>
  <c r="Y56" i="8" s="1"/>
  <c r="V46" i="1"/>
  <c r="W46" i="1" s="1"/>
  <c r="Y46" i="1" s="1"/>
  <c r="V53" i="12"/>
  <c r="W53" i="12" s="1"/>
  <c r="Y53" i="12" s="1"/>
  <c r="V60" i="1"/>
  <c r="W60" i="1" s="1"/>
  <c r="Y60" i="1" s="1"/>
  <c r="V37" i="1"/>
  <c r="W37" i="1" s="1"/>
  <c r="Y37" i="1" s="1"/>
  <c r="V40" i="11"/>
  <c r="W40" i="11" s="1"/>
  <c r="Y40" i="11" s="1"/>
  <c r="V46" i="13"/>
  <c r="W46" i="13" s="1"/>
  <c r="Y46" i="13" s="1"/>
  <c r="V46" i="11"/>
  <c r="W46" i="11" s="1"/>
  <c r="Y46" i="11" s="1"/>
  <c r="V27" i="13"/>
  <c r="W27" i="13" s="1"/>
  <c r="Y27" i="13" s="1"/>
  <c r="V27" i="11"/>
  <c r="W27" i="11" s="1"/>
  <c r="Y27" i="11" s="1"/>
  <c r="V55" i="1"/>
  <c r="W55" i="1" s="1"/>
  <c r="Y55" i="1" s="1"/>
  <c r="V49" i="13"/>
  <c r="W49" i="13" s="1"/>
  <c r="Y49" i="13" s="1"/>
  <c r="V18" i="13"/>
  <c r="W18" i="13" s="1"/>
  <c r="Y18" i="13" s="1"/>
  <c r="V22" i="10"/>
  <c r="W22" i="10" s="1"/>
  <c r="Y22" i="10" s="1"/>
  <c r="V22" i="12"/>
  <c r="W22" i="12" s="1"/>
  <c r="Y22" i="12" s="1"/>
  <c r="V33" i="13"/>
  <c r="W33" i="13" s="1"/>
  <c r="Y33" i="13" s="1"/>
  <c r="V44" i="12"/>
  <c r="W44" i="12" s="1"/>
  <c r="Y44" i="12" s="1"/>
  <c r="V52" i="9"/>
  <c r="W52" i="9" s="1"/>
  <c r="Y52" i="9" s="1"/>
  <c r="V45" i="1"/>
  <c r="W45" i="1" s="1"/>
  <c r="Y45" i="1" s="1"/>
  <c r="V31" i="13"/>
  <c r="W31" i="13" s="1"/>
  <c r="Y31" i="13" s="1"/>
  <c r="V55" i="12"/>
  <c r="W55" i="12" s="1"/>
  <c r="Y55" i="12" s="1"/>
  <c r="V21" i="1"/>
  <c r="W21" i="1" s="1"/>
  <c r="Y21" i="1" s="1"/>
  <c r="V15" i="9"/>
  <c r="W15" i="9" s="1"/>
  <c r="Y15" i="9" s="1"/>
  <c r="V16" i="9"/>
  <c r="W16" i="9" s="1"/>
  <c r="Y16" i="9" s="1"/>
  <c r="V55" i="9"/>
  <c r="W55" i="9" s="1"/>
  <c r="Y55" i="9" s="1"/>
  <c r="V27" i="12"/>
  <c r="W27" i="12" s="1"/>
  <c r="Y27" i="12" s="1"/>
  <c r="V14" i="13"/>
  <c r="W14" i="13" s="1"/>
  <c r="Y14" i="13" s="1"/>
  <c r="V53" i="1"/>
  <c r="W53" i="1" s="1"/>
  <c r="Y53" i="1" s="1"/>
  <c r="V60" i="12"/>
  <c r="W60" i="12" s="1"/>
  <c r="Y60" i="12" s="1"/>
  <c r="V60" i="9"/>
  <c r="W60" i="9" s="1"/>
  <c r="Y60" i="9" s="1"/>
  <c r="V30" i="9"/>
  <c r="W30" i="9" s="1"/>
  <c r="Y30" i="9" s="1"/>
  <c r="V47" i="13"/>
  <c r="W47" i="13" s="1"/>
  <c r="Y47" i="13" s="1"/>
  <c r="V48" i="9"/>
  <c r="W48" i="9" s="1"/>
  <c r="Y48" i="9" s="1"/>
  <c r="V37" i="12"/>
  <c r="W37" i="12" s="1"/>
  <c r="Y37" i="12" s="1"/>
  <c r="V36" i="1"/>
  <c r="W36" i="1" s="1"/>
  <c r="Y36" i="1" s="1"/>
  <c r="V44" i="1"/>
  <c r="W44" i="1" s="1"/>
  <c r="Y44" i="1" s="1"/>
  <c r="V48" i="1"/>
  <c r="W48" i="1" s="1"/>
  <c r="Y48" i="1" s="1"/>
  <c r="V22" i="9"/>
  <c r="W22" i="9" s="1"/>
  <c r="Y22" i="9" s="1"/>
  <c r="V59" i="10"/>
  <c r="W59" i="10" s="1"/>
  <c r="Y59" i="10" s="1"/>
  <c r="V54" i="11"/>
  <c r="W54" i="11" s="1"/>
  <c r="Y54" i="11" s="1"/>
  <c r="V14" i="12"/>
  <c r="W14" i="12" s="1"/>
  <c r="Y14" i="12" s="1"/>
  <c r="V14" i="9"/>
  <c r="W14" i="9" s="1"/>
  <c r="Y14" i="9" s="1"/>
  <c r="V42" i="11"/>
  <c r="W42" i="11" s="1"/>
  <c r="Y42" i="11" s="1"/>
  <c r="V32" i="12"/>
  <c r="W32" i="12" s="1"/>
  <c r="Y32" i="12" s="1"/>
  <c r="V34" i="10"/>
  <c r="W34" i="10" s="1"/>
  <c r="Y34" i="10" s="1"/>
  <c r="V48" i="10"/>
  <c r="W48" i="10" s="1"/>
  <c r="Y48" i="10" s="1"/>
  <c r="V44" i="9"/>
  <c r="W44" i="9" s="1"/>
  <c r="Y44" i="9" s="1"/>
  <c r="V31" i="9"/>
  <c r="W31" i="9" s="1"/>
  <c r="Y31" i="9" s="1"/>
  <c r="V51" i="12"/>
  <c r="W51" i="12" s="1"/>
  <c r="Y51" i="12" s="1"/>
  <c r="V29" i="12"/>
  <c r="W29" i="12" s="1"/>
  <c r="Y29" i="12" s="1"/>
  <c r="V56" i="13"/>
  <c r="W56" i="13" s="1"/>
  <c r="Y56" i="13" s="1"/>
  <c r="V17" i="13"/>
  <c r="W17" i="13" s="1"/>
  <c r="Y17" i="13" s="1"/>
  <c r="V50" i="10"/>
  <c r="W50" i="10" s="1"/>
  <c r="Y50" i="10" s="1"/>
  <c r="V37" i="11"/>
  <c r="W37" i="11" s="1"/>
  <c r="Y37" i="11" s="1"/>
  <c r="V23" i="12"/>
  <c r="W23" i="12" s="1"/>
  <c r="Y23" i="12" s="1"/>
  <c r="V24" i="8"/>
  <c r="W24" i="8" s="1"/>
  <c r="Y24" i="8" s="1"/>
  <c r="V42" i="13"/>
  <c r="W42" i="13" s="1"/>
  <c r="Y42" i="13" s="1"/>
  <c r="V54" i="13"/>
  <c r="W54" i="13" s="1"/>
  <c r="Y54" i="13" s="1"/>
  <c r="V60" i="13"/>
  <c r="W60" i="13" s="1"/>
  <c r="Y60" i="13" s="1"/>
  <c r="V30" i="1"/>
  <c r="W30" i="1" s="1"/>
  <c r="Y30" i="1" s="1"/>
  <c r="V40" i="1"/>
  <c r="W40" i="1" s="1"/>
  <c r="Y40" i="1" s="1"/>
  <c r="V46" i="10"/>
  <c r="W46" i="10" s="1"/>
  <c r="Y46" i="10" s="1"/>
  <c r="V52" i="12"/>
  <c r="W52" i="12" s="1"/>
  <c r="Y52" i="12" s="1"/>
  <c r="V16" i="8"/>
  <c r="W16" i="8" s="1"/>
  <c r="Y16" i="8" s="1"/>
  <c r="V39" i="9"/>
  <c r="W39" i="9" s="1"/>
  <c r="Y39" i="9" s="1"/>
  <c r="V45" i="10"/>
  <c r="W45" i="10" s="1"/>
  <c r="Y45" i="10" s="1"/>
  <c r="V9" i="12"/>
  <c r="W9" i="12" s="1"/>
  <c r="Y9" i="12" s="1"/>
  <c r="V24" i="11"/>
  <c r="W24" i="11" s="1"/>
  <c r="Y24" i="11" s="1"/>
  <c r="V42" i="8"/>
  <c r="W42" i="8" s="1"/>
  <c r="Y42" i="8" s="1"/>
  <c r="V54" i="1"/>
  <c r="W54" i="1" s="1"/>
  <c r="Y54" i="1" s="1"/>
  <c r="V40" i="10"/>
  <c r="W40" i="10" s="1"/>
  <c r="Y40" i="10" s="1"/>
  <c r="V33" i="11"/>
  <c r="W33" i="11" s="1"/>
  <c r="Y33" i="11" s="1"/>
  <c r="V25" i="12"/>
  <c r="W25" i="12" s="1"/>
  <c r="Y25" i="12" s="1"/>
  <c r="V18" i="12"/>
  <c r="W18" i="12" s="1"/>
  <c r="Y18" i="12" s="1"/>
  <c r="V50" i="13"/>
  <c r="W50" i="13" s="1"/>
  <c r="Y50" i="13" s="1"/>
  <c r="V51" i="1"/>
  <c r="W51" i="1" s="1"/>
  <c r="Y51" i="1" s="1"/>
  <c r="V60" i="8"/>
  <c r="W60" i="8" s="1"/>
  <c r="Y60" i="8" s="1"/>
  <c r="E23" i="10"/>
  <c r="E47" i="9"/>
  <c r="D50" i="1"/>
  <c r="D48" i="8"/>
  <c r="B50" i="9"/>
  <c r="B48" i="11"/>
  <c r="B40" i="13"/>
  <c r="A38" i="10"/>
  <c r="C47" i="11"/>
  <c r="B57" i="8"/>
  <c r="C45" i="8"/>
  <c r="A58" i="10"/>
  <c r="A30" i="11"/>
  <c r="C56" i="9"/>
  <c r="D29" i="10"/>
  <c r="D14" i="13"/>
  <c r="D31" i="10"/>
  <c r="E53" i="1"/>
  <c r="C54" i="8"/>
  <c r="E28" i="9"/>
  <c r="A45" i="11"/>
  <c r="B52" i="12"/>
  <c r="B44" i="1"/>
  <c r="E32" i="1"/>
  <c r="C45" i="12"/>
  <c r="C33" i="8"/>
  <c r="D50" i="12"/>
  <c r="E34" i="13"/>
  <c r="C50" i="12"/>
  <c r="A12" i="13"/>
  <c r="C54" i="11"/>
  <c r="B10" i="1"/>
  <c r="B56" i="11"/>
  <c r="E39" i="11"/>
  <c r="D45" i="1"/>
  <c r="D37" i="10"/>
  <c r="A35" i="12"/>
  <c r="A40" i="12"/>
  <c r="A44" i="10"/>
  <c r="B34" i="10"/>
  <c r="B23" i="1"/>
  <c r="D41" i="1"/>
  <c r="C41" i="12"/>
  <c r="A56" i="9"/>
  <c r="A47" i="9"/>
  <c r="E59" i="12"/>
  <c r="A39" i="12"/>
  <c r="D31" i="11"/>
  <c r="A52" i="1"/>
  <c r="A59" i="9"/>
  <c r="D34" i="10"/>
  <c r="E22" i="13"/>
  <c r="D44" i="8"/>
  <c r="E15" i="13"/>
  <c r="D11" i="13"/>
  <c r="D58" i="9"/>
  <c r="D37" i="1"/>
  <c r="A44" i="13"/>
  <c r="A52" i="12"/>
  <c r="D28" i="9"/>
  <c r="C44" i="12"/>
  <c r="A47" i="1"/>
  <c r="A36" i="1"/>
  <c r="D43" i="9"/>
  <c r="A35" i="8"/>
  <c r="C56" i="10"/>
  <c r="D23" i="1"/>
  <c r="B53" i="1"/>
  <c r="D35" i="9"/>
  <c r="E21" i="1"/>
  <c r="A45" i="13"/>
  <c r="A59" i="10"/>
  <c r="E36" i="11"/>
  <c r="B23" i="13"/>
  <c r="A50" i="8"/>
  <c r="D59" i="12"/>
  <c r="A28" i="8"/>
  <c r="A58" i="8"/>
  <c r="B49" i="13"/>
  <c r="A42" i="1"/>
  <c r="D52" i="8"/>
  <c r="A46" i="12"/>
  <c r="E42" i="12"/>
  <c r="B46" i="9"/>
  <c r="A47" i="11"/>
  <c r="A31" i="10"/>
  <c r="A37" i="11"/>
  <c r="E45" i="12"/>
  <c r="E37" i="9"/>
  <c r="C46" i="11"/>
  <c r="A33" i="13"/>
  <c r="B53" i="13"/>
  <c r="A56" i="10"/>
  <c r="D48" i="9"/>
  <c r="D48" i="13"/>
  <c r="D11" i="1"/>
  <c r="A51" i="1"/>
  <c r="B34" i="8"/>
  <c r="A36" i="11"/>
  <c r="E50" i="12"/>
  <c r="B26" i="9"/>
  <c r="E27" i="13"/>
  <c r="C58" i="1"/>
  <c r="C26" i="9"/>
  <c r="E38" i="8"/>
  <c r="A43" i="10"/>
  <c r="A53" i="1"/>
  <c r="B55" i="13"/>
  <c r="D43" i="8"/>
  <c r="D40" i="1"/>
  <c r="E45" i="9"/>
  <c r="A27" i="10"/>
  <c r="D27" i="13"/>
  <c r="E57" i="1"/>
  <c r="A30" i="1"/>
  <c r="D42" i="10"/>
  <c r="E43" i="1"/>
  <c r="C29" i="8"/>
  <c r="E52" i="1"/>
  <c r="B24" i="11"/>
  <c r="E60" i="13"/>
  <c r="E58" i="13"/>
  <c r="A54" i="9"/>
  <c r="B40" i="9"/>
  <c r="C12" i="13"/>
  <c r="A14" i="13"/>
  <c r="E26" i="8"/>
  <c r="B26" i="13"/>
  <c r="B44" i="11"/>
  <c r="C25" i="11"/>
  <c r="B16" i="1"/>
  <c r="D39" i="8"/>
  <c r="A19" i="13"/>
  <c r="E51" i="13"/>
  <c r="C57" i="1"/>
  <c r="D45" i="13"/>
  <c r="C23" i="1"/>
  <c r="B44" i="9"/>
  <c r="E50" i="11"/>
  <c r="C39" i="13"/>
  <c r="B10" i="13"/>
  <c r="A25" i="10"/>
  <c r="D36" i="11"/>
  <c r="C55" i="13"/>
  <c r="B31" i="8"/>
  <c r="A44" i="1"/>
  <c r="A36" i="12"/>
  <c r="D28" i="13"/>
  <c r="C35" i="12"/>
  <c r="E25" i="10"/>
  <c r="A52" i="9"/>
  <c r="E24" i="13"/>
  <c r="A41" i="10"/>
  <c r="B29" i="9"/>
  <c r="B40" i="1"/>
  <c r="D34" i="1"/>
  <c r="A51" i="12"/>
  <c r="B28" i="1"/>
  <c r="D13" i="1"/>
  <c r="A40" i="13"/>
  <c r="D25" i="10"/>
  <c r="D42" i="8"/>
  <c r="C28" i="1"/>
  <c r="D56" i="8"/>
  <c r="E60" i="11"/>
  <c r="D29" i="13"/>
  <c r="B57" i="11"/>
  <c r="A58" i="12"/>
  <c r="A26" i="1"/>
  <c r="A48" i="10"/>
  <c r="A60" i="12"/>
  <c r="D23" i="10"/>
  <c r="D54" i="13"/>
  <c r="D22" i="13"/>
  <c r="E45" i="13"/>
  <c r="C37" i="1"/>
  <c r="C11" i="1"/>
  <c r="E49" i="12"/>
  <c r="A49" i="8"/>
  <c r="E18" i="13"/>
  <c r="A55" i="9"/>
  <c r="D36" i="9"/>
  <c r="D49" i="12"/>
  <c r="B37" i="8"/>
  <c r="A52" i="10"/>
  <c r="C57" i="10"/>
  <c r="B42" i="10"/>
  <c r="C36" i="10"/>
  <c r="B47" i="8"/>
  <c r="B46" i="13"/>
  <c r="C40" i="13"/>
  <c r="E50" i="1"/>
  <c r="A9" i="13"/>
  <c r="B16" i="13"/>
  <c r="A34" i="11"/>
  <c r="C24" i="1"/>
  <c r="B33" i="9"/>
  <c r="D25" i="11"/>
  <c r="C49" i="10"/>
  <c r="E52" i="10"/>
  <c r="C44" i="9"/>
  <c r="B55" i="12"/>
  <c r="A26" i="13"/>
  <c r="B36" i="12"/>
  <c r="D24" i="10"/>
  <c r="E54" i="10"/>
  <c r="B52" i="11"/>
  <c r="E38" i="9"/>
  <c r="E43" i="8"/>
  <c r="D9" i="1"/>
  <c r="A25" i="8"/>
  <c r="C60" i="10"/>
  <c r="B30" i="13"/>
  <c r="D20" i="8"/>
  <c r="C50" i="9"/>
  <c r="C16" i="1"/>
  <c r="E46" i="9"/>
  <c r="A56" i="13"/>
  <c r="E28" i="1"/>
  <c r="C30" i="13"/>
  <c r="E19" i="1"/>
  <c r="E27" i="11"/>
  <c r="C59" i="12"/>
  <c r="C17" i="13"/>
  <c r="B58" i="11"/>
  <c r="B44" i="12"/>
  <c r="B58" i="13"/>
  <c r="D25" i="8"/>
  <c r="B58" i="12"/>
  <c r="A49" i="13"/>
  <c r="C47" i="12"/>
  <c r="B59" i="13"/>
  <c r="E36" i="12"/>
  <c r="B41" i="13"/>
  <c r="C59" i="9"/>
  <c r="A34" i="8"/>
  <c r="B29" i="10"/>
  <c r="C42" i="1"/>
  <c r="C30" i="9"/>
  <c r="E55" i="13"/>
  <c r="D26" i="10"/>
  <c r="D12" i="13"/>
  <c r="D52" i="10"/>
  <c r="C19" i="1"/>
  <c r="A35" i="1"/>
  <c r="D56" i="11"/>
  <c r="B27" i="11"/>
  <c r="C59" i="10"/>
  <c r="C42" i="8"/>
  <c r="E35" i="13"/>
  <c r="B37" i="9"/>
  <c r="C46" i="10"/>
  <c r="E35" i="1"/>
  <c r="D17" i="1"/>
  <c r="D18" i="13"/>
  <c r="D58" i="10"/>
  <c r="D30" i="8"/>
  <c r="A29" i="13"/>
  <c r="D51" i="1"/>
  <c r="E23" i="1"/>
  <c r="D37" i="11"/>
  <c r="D53" i="11"/>
  <c r="B60" i="8"/>
  <c r="D55" i="11"/>
  <c r="A56" i="12"/>
  <c r="A47" i="13"/>
  <c r="D32" i="13"/>
  <c r="B38" i="9"/>
  <c r="E33" i="1"/>
  <c r="C53" i="13"/>
  <c r="E20" i="13"/>
  <c r="A57" i="8"/>
  <c r="E21" i="13"/>
  <c r="A53" i="12"/>
  <c r="D38" i="8"/>
  <c r="E30" i="11"/>
  <c r="C53" i="10"/>
  <c r="D60" i="11"/>
  <c r="A50" i="11"/>
  <c r="D28" i="10"/>
  <c r="E31" i="1"/>
  <c r="C26" i="11"/>
  <c r="A43" i="9"/>
  <c r="B60" i="1"/>
  <c r="D16" i="1"/>
  <c r="B27" i="13"/>
  <c r="E44" i="12"/>
  <c r="B52" i="8"/>
  <c r="A33" i="9"/>
  <c r="B37" i="11"/>
  <c r="C43" i="8"/>
  <c r="C34" i="10"/>
  <c r="E52" i="8"/>
  <c r="C30" i="11"/>
  <c r="A54" i="10"/>
  <c r="B60" i="11"/>
  <c r="E29" i="11"/>
  <c r="B25" i="1"/>
  <c r="B14" i="1"/>
  <c r="D57" i="8"/>
  <c r="D39" i="12"/>
  <c r="B54" i="12"/>
  <c r="C56" i="12"/>
  <c r="B32" i="1"/>
  <c r="B43" i="13"/>
  <c r="E45" i="8"/>
  <c r="B9" i="1"/>
  <c r="E50" i="9"/>
  <c r="E27" i="8"/>
  <c r="E34" i="10"/>
  <c r="A57" i="10"/>
  <c r="C42" i="10"/>
  <c r="D45" i="12"/>
  <c r="A23" i="8"/>
  <c r="B46" i="10"/>
  <c r="B56" i="1"/>
  <c r="C39" i="11"/>
  <c r="B45" i="10"/>
  <c r="E32" i="8"/>
  <c r="D58" i="1"/>
  <c r="D22" i="1"/>
  <c r="C40" i="9"/>
  <c r="B54" i="9"/>
  <c r="E36" i="9"/>
  <c r="A44" i="11"/>
  <c r="E44" i="8"/>
  <c r="C9" i="13"/>
  <c r="D31" i="8"/>
  <c r="B54" i="11"/>
  <c r="E22" i="8"/>
  <c r="E17" i="1"/>
  <c r="E59" i="11"/>
  <c r="E28" i="11"/>
  <c r="E41" i="8"/>
  <c r="C31" i="8"/>
  <c r="D51" i="9"/>
  <c r="A49" i="12"/>
  <c r="D49" i="13"/>
  <c r="B59" i="1"/>
  <c r="E26" i="13"/>
  <c r="B21" i="8"/>
  <c r="C53" i="1"/>
  <c r="A31" i="8"/>
  <c r="C36" i="12"/>
  <c r="D35" i="13"/>
  <c r="E36" i="8"/>
  <c r="D28" i="8"/>
  <c r="A22" i="13"/>
  <c r="D34" i="8"/>
  <c r="D35" i="8"/>
  <c r="A60" i="8"/>
  <c r="B56" i="8"/>
  <c r="A29" i="9"/>
  <c r="E57" i="10"/>
  <c r="A27" i="9"/>
  <c r="B25" i="13"/>
  <c r="D56" i="10"/>
  <c r="A44" i="12"/>
  <c r="C21" i="8"/>
  <c r="D50" i="13"/>
  <c r="C31" i="9"/>
  <c r="C50" i="13"/>
  <c r="C52" i="12"/>
  <c r="B37" i="1"/>
  <c r="C10" i="1"/>
  <c r="C47" i="10"/>
  <c r="C26" i="1"/>
  <c r="D29" i="9"/>
  <c r="E36" i="1"/>
  <c r="A24" i="13"/>
  <c r="C47" i="1"/>
  <c r="E31" i="8"/>
  <c r="E50" i="8"/>
  <c r="D10" i="1"/>
  <c r="D44" i="11"/>
  <c r="D35" i="10"/>
  <c r="A46" i="13"/>
  <c r="E48" i="1"/>
  <c r="B13" i="1"/>
  <c r="A44" i="9"/>
  <c r="C34" i="1"/>
  <c r="E37" i="11"/>
  <c r="A42" i="13"/>
  <c r="D42" i="1"/>
  <c r="A38" i="13"/>
  <c r="D15" i="1"/>
  <c r="C39" i="9"/>
  <c r="C60" i="9"/>
  <c r="E12" i="1"/>
  <c r="D58" i="12"/>
  <c r="B33" i="10"/>
  <c r="E33" i="13"/>
  <c r="E49" i="11"/>
  <c r="E52" i="13"/>
  <c r="C23" i="10"/>
  <c r="D17" i="13"/>
  <c r="D44" i="9"/>
  <c r="D46" i="9"/>
  <c r="C49" i="11"/>
  <c r="C57" i="8"/>
  <c r="C60" i="13"/>
  <c r="A29" i="11"/>
  <c r="E29" i="10"/>
  <c r="B43" i="10"/>
  <c r="A53" i="13"/>
  <c r="E56" i="12"/>
  <c r="C46" i="1"/>
  <c r="E11" i="1"/>
  <c r="C36" i="1"/>
  <c r="C31" i="11"/>
  <c r="A39" i="13"/>
  <c r="D26" i="8"/>
  <c r="E46" i="10"/>
  <c r="B21" i="13"/>
  <c r="D54" i="10"/>
  <c r="B52" i="9"/>
  <c r="B44" i="13"/>
  <c r="C49" i="8"/>
  <c r="E13" i="13"/>
  <c r="C37" i="9"/>
  <c r="A13" i="13"/>
  <c r="B43" i="8"/>
  <c r="C58" i="9"/>
  <c r="D48" i="11"/>
  <c r="D42" i="11"/>
  <c r="A40" i="10"/>
  <c r="C54" i="12"/>
  <c r="A50" i="12"/>
  <c r="C51" i="9"/>
  <c r="C43" i="1"/>
  <c r="D26" i="11"/>
  <c r="B30" i="1"/>
  <c r="B39" i="12"/>
  <c r="E51" i="10"/>
  <c r="B51" i="9"/>
  <c r="C59" i="1"/>
  <c r="B57" i="10"/>
  <c r="E37" i="12"/>
  <c r="C25" i="8"/>
  <c r="A38" i="12"/>
  <c r="A45" i="8"/>
  <c r="B22" i="1"/>
  <c r="D34" i="9"/>
  <c r="A38" i="8"/>
  <c r="D21" i="1"/>
  <c r="D52" i="9"/>
  <c r="C32" i="1"/>
  <c r="D48" i="1"/>
  <c r="D29" i="11"/>
  <c r="B21" i="1"/>
  <c r="C39" i="10"/>
  <c r="B48" i="13"/>
  <c r="B39" i="11"/>
  <c r="A22" i="8"/>
  <c r="A54" i="13"/>
  <c r="C40" i="11"/>
  <c r="E39" i="1"/>
  <c r="E41" i="10"/>
  <c r="C52" i="10"/>
  <c r="C44" i="1"/>
  <c r="B31" i="13"/>
  <c r="B29" i="13"/>
  <c r="A29" i="8"/>
  <c r="C23" i="8"/>
  <c r="D46" i="13"/>
  <c r="C49" i="12"/>
  <c r="A42" i="12"/>
  <c r="C58" i="10"/>
  <c r="D47" i="13"/>
  <c r="C41" i="13"/>
  <c r="E51" i="11"/>
  <c r="D38" i="12"/>
  <c r="B53" i="11"/>
  <c r="C36" i="13"/>
  <c r="A43" i="8"/>
  <c r="B51" i="12"/>
  <c r="D15" i="13"/>
  <c r="E50" i="13"/>
  <c r="E41" i="11"/>
  <c r="E48" i="8"/>
  <c r="E14" i="13"/>
  <c r="B42" i="8"/>
  <c r="C46" i="13"/>
  <c r="C35" i="13"/>
  <c r="E54" i="8"/>
  <c r="D36" i="10"/>
  <c r="B29" i="8"/>
  <c r="E41" i="1"/>
  <c r="D41" i="12"/>
  <c r="A41" i="13"/>
  <c r="B13" i="13"/>
  <c r="B57" i="13"/>
  <c r="C51" i="10"/>
  <c r="C46" i="12"/>
  <c r="D35" i="1"/>
  <c r="B59" i="10"/>
  <c r="C52" i="13"/>
  <c r="E29" i="1"/>
  <c r="B35" i="1"/>
  <c r="E60" i="12"/>
  <c r="A33" i="11"/>
  <c r="D21" i="13"/>
  <c r="D39" i="11"/>
  <c r="C33" i="1"/>
  <c r="C40" i="12"/>
  <c r="D57" i="1"/>
  <c r="E55" i="12"/>
  <c r="B47" i="10"/>
  <c r="B54" i="10"/>
  <c r="A52" i="11"/>
  <c r="D55" i="10"/>
  <c r="D50" i="9"/>
  <c r="B55" i="11"/>
  <c r="B23" i="8"/>
  <c r="A11" i="13"/>
  <c r="D41" i="8"/>
  <c r="B28" i="13"/>
  <c r="B36" i="1"/>
  <c r="D45" i="9"/>
  <c r="E43" i="9"/>
  <c r="A46" i="10"/>
  <c r="A23" i="10"/>
  <c r="B55" i="1"/>
  <c r="D29" i="8"/>
  <c r="C48" i="10"/>
  <c r="E56" i="1"/>
  <c r="D59" i="10"/>
  <c r="E10" i="1"/>
  <c r="A52" i="8"/>
  <c r="A51" i="11"/>
  <c r="E29" i="13"/>
  <c r="E43" i="10"/>
  <c r="A54" i="12"/>
  <c r="E25" i="13"/>
  <c r="D58" i="11"/>
  <c r="A30" i="9"/>
  <c r="C43" i="9"/>
  <c r="A47" i="12"/>
  <c r="D60" i="1"/>
  <c r="A37" i="10"/>
  <c r="B41" i="8"/>
  <c r="B30" i="9"/>
  <c r="C57" i="9"/>
  <c r="C31" i="10"/>
  <c r="D54" i="1"/>
  <c r="E9" i="13"/>
  <c r="B26" i="8"/>
  <c r="B60" i="10"/>
  <c r="E44" i="1"/>
  <c r="D36" i="8"/>
  <c r="E49" i="13"/>
  <c r="C21" i="1"/>
  <c r="B54" i="13"/>
  <c r="C55" i="12"/>
  <c r="E60" i="9"/>
  <c r="D53" i="12"/>
  <c r="A48" i="9"/>
  <c r="E9" i="1"/>
  <c r="B15" i="13"/>
  <c r="A35" i="11"/>
  <c r="E22" i="1"/>
  <c r="B30" i="10"/>
  <c r="D41" i="11"/>
  <c r="E46" i="8"/>
  <c r="E51" i="8"/>
  <c r="B38" i="11"/>
  <c r="C32" i="13"/>
  <c r="A32" i="11"/>
  <c r="D14" i="1"/>
  <c r="B39" i="1"/>
  <c r="E30" i="8"/>
  <c r="A27" i="11"/>
  <c r="B49" i="10"/>
  <c r="D59" i="9"/>
  <c r="B56" i="13"/>
  <c r="A48" i="11"/>
  <c r="C22" i="8"/>
  <c r="E32" i="13"/>
  <c r="E41" i="9"/>
  <c r="C33" i="9"/>
  <c r="D52" i="11"/>
  <c r="A37" i="8"/>
  <c r="A18" i="13"/>
  <c r="C20" i="1"/>
  <c r="A29" i="1"/>
  <c r="E11" i="13"/>
  <c r="B25" i="11"/>
  <c r="A32" i="13"/>
  <c r="A24" i="10"/>
  <c r="A47" i="8"/>
  <c r="A45" i="12"/>
  <c r="D56" i="12"/>
  <c r="E53" i="11"/>
  <c r="A40" i="9"/>
  <c r="E59" i="1"/>
  <c r="C42" i="9"/>
  <c r="D43" i="11"/>
  <c r="D54" i="9"/>
  <c r="A37" i="13"/>
  <c r="C37" i="10"/>
  <c r="E32" i="11"/>
  <c r="D60" i="13"/>
  <c r="E30" i="1"/>
  <c r="C25" i="10"/>
  <c r="A48" i="12"/>
  <c r="A53" i="9"/>
  <c r="B20" i="13"/>
  <c r="C41" i="10"/>
  <c r="A37" i="9"/>
  <c r="D30" i="10"/>
  <c r="D56" i="9"/>
  <c r="D28" i="1"/>
  <c r="B22" i="13"/>
  <c r="C46" i="9"/>
  <c r="B30" i="8"/>
  <c r="D60" i="9"/>
  <c r="C37" i="12"/>
  <c r="B42" i="13"/>
  <c r="B45" i="9"/>
  <c r="C37" i="8"/>
  <c r="A34" i="1"/>
  <c r="D51" i="13"/>
  <c r="E42" i="1"/>
  <c r="A10" i="13"/>
  <c r="B12" i="1"/>
  <c r="A43" i="13"/>
  <c r="C48" i="8"/>
  <c r="D45" i="11"/>
  <c r="C58" i="13"/>
  <c r="A39" i="9"/>
  <c r="E10" i="13"/>
  <c r="E33" i="10"/>
  <c r="B46" i="11"/>
  <c r="D46" i="11"/>
  <c r="A55" i="10"/>
  <c r="A24" i="1"/>
  <c r="C42" i="11"/>
  <c r="D22" i="8"/>
  <c r="E37" i="10"/>
  <c r="A49" i="9"/>
  <c r="D44" i="12"/>
  <c r="B53" i="12"/>
  <c r="A44" i="8"/>
  <c r="B36" i="13"/>
  <c r="D26" i="13"/>
  <c r="C43" i="11"/>
  <c r="A54" i="1"/>
  <c r="D32" i="11"/>
  <c r="C10" i="13"/>
  <c r="A33" i="1"/>
  <c r="E52" i="12"/>
  <c r="B57" i="9"/>
  <c r="B12" i="13"/>
  <c r="C29" i="1"/>
  <c r="B35" i="13"/>
  <c r="D59" i="8"/>
  <c r="B35" i="12"/>
  <c r="C15" i="13"/>
  <c r="C56" i="11"/>
  <c r="D27" i="11"/>
  <c r="D33" i="10"/>
  <c r="E29" i="8"/>
  <c r="C26" i="8"/>
  <c r="D47" i="8"/>
  <c r="B27" i="10"/>
  <c r="A31" i="11"/>
  <c r="A27" i="8"/>
  <c r="D53" i="10"/>
  <c r="C42" i="12"/>
  <c r="D33" i="13"/>
  <c r="E30" i="13"/>
  <c r="C54" i="9"/>
  <c r="D21" i="8"/>
  <c r="E49" i="9"/>
  <c r="C33" i="10"/>
  <c r="B18" i="13"/>
  <c r="A43" i="12"/>
  <c r="A42" i="10"/>
  <c r="C59" i="8"/>
  <c r="D51" i="11"/>
  <c r="E20" i="8"/>
  <c r="C47" i="9"/>
  <c r="C14" i="1"/>
  <c r="B32" i="11"/>
  <c r="C29" i="9"/>
  <c r="E46" i="13"/>
  <c r="D49" i="10"/>
  <c r="E48" i="11"/>
  <c r="B32" i="10"/>
  <c r="B26" i="10"/>
  <c r="C49" i="1"/>
  <c r="D31" i="13"/>
  <c r="D16" i="13"/>
  <c r="D37" i="9"/>
  <c r="B44" i="10"/>
  <c r="D47" i="10"/>
  <c r="B45" i="12"/>
  <c r="A49" i="1"/>
  <c r="A48" i="8"/>
  <c r="B40" i="11"/>
  <c r="D9" i="13"/>
  <c r="D41" i="10"/>
  <c r="E39" i="10"/>
  <c r="A40" i="11"/>
  <c r="E55" i="1"/>
  <c r="E56" i="10"/>
  <c r="A45" i="9"/>
  <c r="E37" i="13"/>
  <c r="A20" i="1"/>
  <c r="A45" i="1"/>
  <c r="E55" i="10"/>
  <c r="C55" i="1"/>
  <c r="B59" i="12"/>
  <c r="C48" i="9"/>
  <c r="B43" i="1"/>
  <c r="D45" i="10"/>
  <c r="C60" i="1"/>
  <c r="E32" i="9"/>
  <c r="E25" i="1"/>
  <c r="B56" i="12"/>
  <c r="E60" i="1"/>
  <c r="E33" i="11"/>
  <c r="E54" i="12"/>
  <c r="A41" i="11"/>
  <c r="B45" i="1"/>
  <c r="B24" i="8"/>
  <c r="B47" i="1"/>
  <c r="D26" i="1"/>
  <c r="E40" i="12"/>
  <c r="A55" i="8"/>
  <c r="E23" i="8"/>
  <c r="C47" i="8"/>
  <c r="A56" i="1"/>
  <c r="C35" i="11"/>
  <c r="B51" i="1"/>
  <c r="D27" i="8"/>
  <c r="A26" i="11"/>
  <c r="D47" i="1"/>
  <c r="A51" i="13"/>
  <c r="A60" i="9"/>
  <c r="E58" i="11"/>
  <c r="D33" i="8"/>
  <c r="B58" i="1"/>
  <c r="E25" i="8"/>
  <c r="C39" i="8"/>
  <c r="E50" i="10"/>
  <c r="B28" i="9"/>
  <c r="A28" i="10"/>
  <c r="E48" i="13"/>
  <c r="D52" i="12"/>
  <c r="D46" i="1"/>
  <c r="A57" i="11"/>
  <c r="B32" i="13"/>
  <c r="C58" i="8"/>
  <c r="C45" i="1"/>
  <c r="A36" i="9"/>
  <c r="E38" i="10"/>
  <c r="B35" i="11"/>
  <c r="D10" i="13"/>
  <c r="E21" i="8"/>
  <c r="A39" i="10"/>
  <c r="C35" i="9"/>
  <c r="E27" i="9"/>
  <c r="B53" i="10"/>
  <c r="C36" i="8"/>
  <c r="C52" i="1"/>
  <c r="E20" i="1"/>
  <c r="B45" i="11"/>
  <c r="A25" i="11"/>
  <c r="D55" i="1"/>
  <c r="E38" i="12"/>
  <c r="C40" i="8"/>
  <c r="E41" i="13"/>
  <c r="E44" i="10"/>
  <c r="A21" i="8"/>
  <c r="D33" i="1"/>
  <c r="B36" i="10"/>
  <c r="B50" i="13"/>
  <c r="E48" i="10"/>
  <c r="A50" i="13"/>
  <c r="B36" i="8"/>
  <c r="B28" i="11"/>
  <c r="C41" i="9"/>
  <c r="C18" i="13"/>
  <c r="E46" i="12"/>
  <c r="A32" i="10"/>
  <c r="D48" i="10"/>
  <c r="B50" i="10"/>
  <c r="C51" i="13"/>
  <c r="C18" i="1"/>
  <c r="C24" i="10"/>
  <c r="C14" i="13"/>
  <c r="D33" i="11"/>
  <c r="C24" i="11"/>
  <c r="E40" i="8"/>
  <c r="B36" i="11"/>
  <c r="E56" i="11"/>
  <c r="B31" i="9"/>
  <c r="B60" i="13"/>
  <c r="D37" i="12"/>
  <c r="E47" i="10"/>
  <c r="B59" i="11"/>
  <c r="E34" i="8"/>
  <c r="E40" i="11"/>
  <c r="A16" i="13"/>
  <c r="C41" i="11"/>
  <c r="E53" i="10"/>
  <c r="D24" i="8"/>
  <c r="A28" i="1"/>
  <c r="E41" i="12"/>
  <c r="A40" i="1"/>
  <c r="B24" i="13"/>
  <c r="A33" i="10"/>
  <c r="B31" i="10"/>
  <c r="D26" i="9"/>
  <c r="D24" i="13"/>
  <c r="C34" i="11"/>
  <c r="A53" i="10"/>
  <c r="A58" i="1"/>
  <c r="A35" i="10"/>
  <c r="C54" i="1"/>
  <c r="B24" i="10"/>
  <c r="E51" i="1"/>
  <c r="D59" i="1"/>
  <c r="A42" i="9"/>
  <c r="A51" i="9"/>
  <c r="E28" i="8"/>
  <c r="C36" i="9"/>
  <c r="A36" i="10"/>
  <c r="D37" i="13"/>
  <c r="A59" i="1"/>
  <c r="E55" i="8"/>
  <c r="E47" i="8"/>
  <c r="A23" i="13"/>
  <c r="B43" i="12"/>
  <c r="B39" i="13"/>
  <c r="D27" i="10"/>
  <c r="B49" i="8"/>
  <c r="C32" i="10"/>
  <c r="E40" i="1"/>
  <c r="E44" i="11"/>
  <c r="C55" i="8"/>
  <c r="C27" i="13"/>
  <c r="B47" i="9"/>
  <c r="E44" i="9"/>
  <c r="E39" i="8"/>
  <c r="A21" i="1"/>
  <c r="E58" i="1"/>
  <c r="D50" i="8"/>
  <c r="A39" i="8"/>
  <c r="E14" i="1"/>
  <c r="E43" i="12"/>
  <c r="C51" i="1"/>
  <c r="C58" i="12"/>
  <c r="B50" i="8"/>
  <c r="C21" i="13"/>
  <c r="B51" i="8"/>
  <c r="C27" i="9"/>
  <c r="D58" i="8"/>
  <c r="E57" i="11"/>
  <c r="B46" i="1"/>
  <c r="E45" i="10"/>
  <c r="A59" i="8"/>
  <c r="E35" i="10"/>
  <c r="C32" i="8"/>
  <c r="E29" i="9"/>
  <c r="A31" i="13"/>
  <c r="D40" i="10"/>
  <c r="B42" i="12"/>
  <c r="D30" i="1"/>
  <c r="C27" i="11"/>
  <c r="D27" i="9"/>
  <c r="B26" i="11"/>
  <c r="B60" i="9"/>
  <c r="B46" i="12"/>
  <c r="B49" i="9"/>
  <c r="E45" i="1"/>
  <c r="B22" i="8"/>
  <c r="D49" i="8"/>
  <c r="E47" i="13"/>
  <c r="E43" i="13"/>
  <c r="D38" i="9"/>
  <c r="C46" i="8"/>
  <c r="C49" i="9"/>
  <c r="C40" i="10"/>
  <c r="A40" i="8"/>
  <c r="E31" i="10"/>
  <c r="E27" i="10"/>
  <c r="B48" i="9"/>
  <c r="D60" i="8"/>
  <c r="E42" i="10"/>
  <c r="A28" i="11"/>
  <c r="B33" i="8"/>
  <c r="C30" i="8"/>
  <c r="D35" i="12"/>
  <c r="E49" i="1"/>
  <c r="A48" i="13"/>
  <c r="C38" i="1"/>
  <c r="A36" i="13"/>
  <c r="E38" i="1"/>
  <c r="C44" i="8"/>
  <c r="A24" i="11"/>
  <c r="D40" i="13"/>
  <c r="B40" i="12"/>
  <c r="B29" i="1"/>
  <c r="B34" i="9"/>
  <c r="A41" i="12"/>
  <c r="D56" i="1"/>
  <c r="B52" i="13"/>
  <c r="C16" i="13"/>
  <c r="C37" i="11"/>
  <c r="E38" i="13"/>
  <c r="D57" i="10"/>
  <c r="E25" i="11"/>
  <c r="D49" i="9"/>
  <c r="D42" i="12"/>
  <c r="B42" i="1"/>
  <c r="E56" i="13"/>
  <c r="A48" i="1"/>
  <c r="E54" i="11"/>
  <c r="E24" i="8"/>
  <c r="B28" i="10"/>
  <c r="C25" i="1"/>
  <c r="D44" i="1"/>
  <c r="B50" i="12"/>
  <c r="A25" i="13"/>
  <c r="E31" i="13"/>
  <c r="C41" i="1"/>
  <c r="A57" i="13"/>
  <c r="E52" i="11"/>
  <c r="D38" i="13"/>
  <c r="B52" i="1"/>
  <c r="D28" i="11"/>
  <c r="C17" i="1"/>
  <c r="B19" i="13"/>
  <c r="A17" i="13"/>
  <c r="E40" i="10"/>
  <c r="A39" i="1"/>
  <c r="A57" i="12"/>
  <c r="B41" i="9"/>
  <c r="A30" i="10"/>
  <c r="E57" i="12"/>
  <c r="D59" i="13"/>
  <c r="C29" i="13"/>
  <c r="C34" i="9"/>
  <c r="A53" i="11"/>
  <c r="B59" i="8"/>
  <c r="E35" i="9"/>
  <c r="C59" i="13"/>
  <c r="C45" i="10"/>
  <c r="A28" i="13"/>
  <c r="E27" i="1"/>
  <c r="D49" i="11"/>
  <c r="E52" i="9"/>
  <c r="B58" i="10"/>
  <c r="E28" i="10"/>
  <c r="D35" i="11"/>
  <c r="D34" i="13"/>
  <c r="A26" i="8"/>
  <c r="B49" i="11"/>
  <c r="E42" i="11"/>
  <c r="E57" i="13"/>
  <c r="D39" i="1"/>
  <c r="A53" i="8"/>
  <c r="D54" i="11"/>
  <c r="C47" i="13"/>
  <c r="B47" i="13"/>
  <c r="D55" i="9"/>
  <c r="C56" i="1"/>
  <c r="A50" i="1"/>
  <c r="E56" i="9"/>
  <c r="C56" i="13"/>
  <c r="D42" i="13"/>
  <c r="E45" i="11"/>
  <c r="C38" i="12"/>
  <c r="B51" i="13"/>
  <c r="E48" i="9"/>
  <c r="D23" i="13"/>
  <c r="C53" i="12"/>
  <c r="B59" i="9"/>
  <c r="D49" i="1"/>
  <c r="D54" i="12"/>
  <c r="B38" i="13"/>
  <c r="B50" i="11"/>
  <c r="B47" i="11"/>
  <c r="A20" i="13"/>
  <c r="A47" i="10"/>
  <c r="E39" i="12"/>
  <c r="E31" i="9"/>
  <c r="E26" i="10"/>
  <c r="A60" i="11"/>
  <c r="D32" i="1"/>
  <c r="B45" i="13"/>
  <c r="A59" i="12"/>
  <c r="C45" i="13"/>
  <c r="D23" i="8"/>
  <c r="E37" i="1"/>
  <c r="B33" i="11"/>
  <c r="A49" i="11"/>
  <c r="D55" i="13"/>
  <c r="D43" i="13"/>
  <c r="B43" i="11"/>
  <c r="D30" i="9"/>
  <c r="B9" i="13"/>
  <c r="A55" i="11"/>
  <c r="D60" i="10"/>
  <c r="D47" i="9"/>
  <c r="B27" i="8"/>
  <c r="A38" i="9"/>
  <c r="E59" i="8"/>
  <c r="A23" i="1"/>
  <c r="A42" i="8"/>
  <c r="A35" i="13"/>
  <c r="D57" i="11"/>
  <c r="D38" i="10"/>
  <c r="C55" i="10"/>
  <c r="D38" i="1"/>
  <c r="C20" i="13"/>
  <c r="B48" i="10"/>
  <c r="B48" i="1"/>
  <c r="E28" i="13"/>
  <c r="E60" i="10"/>
  <c r="D57" i="12"/>
  <c r="B32" i="9"/>
  <c r="B38" i="12"/>
  <c r="D45" i="8"/>
  <c r="A56" i="8"/>
  <c r="A50" i="10"/>
  <c r="E44" i="13"/>
  <c r="E38" i="11"/>
  <c r="B24" i="1"/>
  <c r="D19" i="13"/>
  <c r="D40" i="12"/>
  <c r="D58" i="13"/>
  <c r="A55" i="13"/>
  <c r="D20" i="13"/>
  <c r="B37" i="12"/>
  <c r="D19" i="1"/>
  <c r="B48" i="8"/>
  <c r="D39" i="9"/>
  <c r="B53" i="9"/>
  <c r="D36" i="13"/>
  <c r="E59" i="13"/>
  <c r="B31" i="1"/>
  <c r="E26" i="11"/>
  <c r="E34" i="1"/>
  <c r="A59" i="11"/>
  <c r="A38" i="11"/>
  <c r="B40" i="10"/>
  <c r="B56" i="9"/>
  <c r="E54" i="1"/>
  <c r="B33" i="13"/>
  <c r="E33" i="8"/>
  <c r="B57" i="1"/>
  <c r="C37" i="13"/>
  <c r="E36" i="13"/>
  <c r="B35" i="8"/>
  <c r="B60" i="12"/>
  <c r="E58" i="8"/>
  <c r="B30" i="11"/>
  <c r="C38" i="13"/>
  <c r="B29" i="11"/>
  <c r="C35" i="8"/>
  <c r="C30" i="1"/>
  <c r="A58" i="11"/>
  <c r="E53" i="13"/>
  <c r="A60" i="13"/>
  <c r="D38" i="11"/>
  <c r="D59" i="11"/>
  <c r="E48" i="12"/>
  <c r="B18" i="1"/>
  <c r="D52" i="13"/>
  <c r="A15" i="13"/>
  <c r="C50" i="1"/>
  <c r="D51" i="10"/>
  <c r="B39" i="9"/>
  <c r="B47" i="12"/>
  <c r="E54" i="9"/>
  <c r="D46" i="8"/>
  <c r="A24" i="8"/>
  <c r="D43" i="10"/>
  <c r="D30" i="13"/>
  <c r="B32" i="8"/>
  <c r="C11" i="13"/>
  <c r="D40" i="9"/>
  <c r="E46" i="11"/>
  <c r="C50" i="11"/>
  <c r="C28" i="10"/>
  <c r="D44" i="13"/>
  <c r="E57" i="8"/>
  <c r="E57" i="9"/>
  <c r="B11" i="1"/>
  <c r="B27" i="1"/>
  <c r="C27" i="10"/>
  <c r="A43" i="11"/>
  <c r="C43" i="12"/>
  <c r="C52" i="9"/>
  <c r="A26" i="9"/>
  <c r="B41" i="12"/>
  <c r="E24" i="10"/>
  <c r="D25" i="13"/>
  <c r="E26" i="1"/>
  <c r="B35" i="10"/>
  <c r="C38" i="11"/>
  <c r="B57" i="12"/>
  <c r="D29" i="1"/>
  <c r="C23" i="13"/>
  <c r="C22" i="13"/>
  <c r="B34" i="13"/>
  <c r="E32" i="10"/>
  <c r="B52" i="10"/>
  <c r="A34" i="13"/>
  <c r="E33" i="9"/>
  <c r="D53" i="9"/>
  <c r="B37" i="10"/>
  <c r="E19" i="13"/>
  <c r="B45" i="8"/>
  <c r="C28" i="13"/>
  <c r="B20" i="8"/>
  <c r="D53" i="8"/>
  <c r="A39" i="11"/>
  <c r="B17" i="13"/>
  <c r="E23" i="13"/>
  <c r="A49" i="10"/>
  <c r="C33" i="11"/>
  <c r="D52" i="1"/>
  <c r="C55" i="11"/>
  <c r="D53" i="13"/>
  <c r="E42" i="8"/>
  <c r="C38" i="9"/>
  <c r="C60" i="12"/>
  <c r="E40" i="13"/>
  <c r="E47" i="1"/>
  <c r="A43" i="1"/>
  <c r="C34" i="13"/>
  <c r="E51" i="12"/>
  <c r="E60" i="8"/>
  <c r="C51" i="8"/>
  <c r="C53" i="8"/>
  <c r="E17" i="13"/>
  <c r="B53" i="8"/>
  <c r="A26" i="10"/>
  <c r="A51" i="8"/>
  <c r="A42" i="11"/>
  <c r="A22" i="1"/>
  <c r="B11" i="13"/>
  <c r="D50" i="11"/>
  <c r="B34" i="11"/>
  <c r="D36" i="1"/>
  <c r="D51" i="8"/>
  <c r="D43" i="1"/>
  <c r="A36" i="8"/>
  <c r="C24" i="13"/>
  <c r="E16" i="1"/>
  <c r="D40" i="11"/>
  <c r="D43" i="12"/>
  <c r="A30" i="8"/>
  <c r="D41" i="9"/>
  <c r="E31" i="11"/>
  <c r="A58" i="9"/>
  <c r="A31" i="1"/>
  <c r="C40" i="1"/>
  <c r="D39" i="10"/>
  <c r="E35" i="8"/>
  <c r="A41" i="1"/>
  <c r="C45" i="11"/>
  <c r="B14" i="13"/>
  <c r="E54" i="13"/>
  <c r="B41" i="10"/>
  <c r="D31" i="1"/>
  <c r="E13" i="1"/>
  <c r="C44" i="13"/>
  <c r="D51" i="12"/>
  <c r="A58" i="13"/>
  <c r="B20" i="1"/>
  <c r="B38" i="8"/>
  <c r="D39" i="13"/>
  <c r="E53" i="9"/>
  <c r="C34" i="8"/>
  <c r="C54" i="13"/>
  <c r="B58" i="8"/>
  <c r="C42" i="13"/>
  <c r="A38" i="1"/>
  <c r="D46" i="12"/>
  <c r="C28" i="8"/>
  <c r="D57" i="9"/>
  <c r="B34" i="1"/>
  <c r="A35" i="9"/>
  <c r="E30" i="9"/>
  <c r="B38" i="1"/>
  <c r="A25" i="1"/>
  <c r="C52" i="11"/>
  <c r="E49" i="8"/>
  <c r="D46" i="10"/>
  <c r="E53" i="8"/>
  <c r="E18" i="1"/>
  <c r="C27" i="8"/>
  <c r="B42" i="11"/>
  <c r="E58" i="10"/>
  <c r="A59" i="13"/>
  <c r="D55" i="8"/>
  <c r="B38" i="10"/>
  <c r="D57" i="13"/>
  <c r="D32" i="9"/>
  <c r="E24" i="11"/>
  <c r="E59" i="9"/>
  <c r="E42" i="13"/>
  <c r="B54" i="1"/>
  <c r="C25" i="13"/>
  <c r="D20" i="1"/>
  <c r="E39" i="13"/>
  <c r="C26" i="13"/>
  <c r="D37" i="8"/>
  <c r="E40" i="9"/>
  <c r="C31" i="13"/>
  <c r="B48" i="12"/>
  <c r="B42" i="9"/>
  <c r="E56" i="8"/>
  <c r="A32" i="9"/>
  <c r="C52" i="8"/>
  <c r="C24" i="8"/>
  <c r="B25" i="10"/>
  <c r="E58" i="12"/>
  <c r="C38" i="8"/>
  <c r="C60" i="11"/>
  <c r="A46" i="1"/>
  <c r="B25" i="8"/>
  <c r="D60" i="12"/>
  <c r="C20" i="8"/>
  <c r="C22" i="1"/>
  <c r="D53" i="1"/>
  <c r="A21" i="13"/>
  <c r="B40" i="8"/>
  <c r="D13" i="13"/>
  <c r="D56" i="13"/>
  <c r="D18" i="1"/>
  <c r="C35" i="10"/>
  <c r="C29" i="11"/>
  <c r="A57" i="9"/>
  <c r="E39" i="9"/>
  <c r="C33" i="13"/>
  <c r="D47" i="12"/>
  <c r="E47" i="11"/>
  <c r="A60" i="10"/>
  <c r="D42" i="9"/>
  <c r="A56" i="11"/>
  <c r="E59" i="10"/>
  <c r="B39" i="10"/>
  <c r="C59" i="11"/>
  <c r="C19" i="13"/>
  <c r="D50" i="10"/>
  <c r="D47" i="11"/>
  <c r="C31" i="1"/>
  <c r="D12" i="1"/>
  <c r="E34" i="9"/>
  <c r="D34" i="11"/>
  <c r="A34" i="10"/>
  <c r="B39" i="8"/>
  <c r="A51" i="10"/>
  <c r="C9" i="1"/>
  <c r="C44" i="11"/>
  <c r="E35" i="12"/>
  <c r="A34" i="9"/>
  <c r="A54" i="8"/>
  <c r="C35" i="1"/>
  <c r="B36" i="9"/>
  <c r="D36" i="12"/>
  <c r="A27" i="1"/>
  <c r="E34" i="11"/>
  <c r="B51" i="11"/>
  <c r="E36" i="10"/>
  <c r="C51" i="12"/>
  <c r="C54" i="10"/>
  <c r="D30" i="11"/>
  <c r="B56" i="10"/>
  <c r="C56" i="8"/>
  <c r="E24" i="1"/>
  <c r="C43" i="13"/>
  <c r="C39" i="12"/>
  <c r="B41" i="1"/>
  <c r="C51" i="11"/>
  <c r="B27" i="9"/>
  <c r="C12" i="1"/>
  <c r="C53" i="9"/>
  <c r="A60" i="1"/>
  <c r="A45" i="10"/>
  <c r="C58" i="11"/>
  <c r="C53" i="11"/>
  <c r="C43" i="10"/>
  <c r="C48" i="1"/>
  <c r="B46" i="8"/>
  <c r="C45" i="9"/>
  <c r="B23" i="10"/>
  <c r="E47" i="12"/>
  <c r="B41" i="11"/>
  <c r="E30" i="10"/>
  <c r="D41" i="13"/>
  <c r="A50" i="9"/>
  <c r="A41" i="9"/>
  <c r="E46" i="1"/>
  <c r="A46" i="8"/>
  <c r="C30" i="10"/>
  <c r="E55" i="9"/>
  <c r="C13" i="1"/>
  <c r="C27" i="1"/>
  <c r="B43" i="9"/>
  <c r="B35" i="9"/>
  <c r="C41" i="8"/>
  <c r="A32" i="1"/>
  <c r="B49" i="12"/>
  <c r="B51" i="10"/>
  <c r="C48" i="13"/>
  <c r="B44" i="8"/>
  <c r="D25" i="1"/>
  <c r="A32" i="8"/>
  <c r="C50" i="10"/>
  <c r="E42" i="9"/>
  <c r="D24" i="11"/>
  <c r="A54" i="11"/>
  <c r="B49" i="1"/>
  <c r="B33" i="1"/>
  <c r="A37" i="12"/>
  <c r="E43" i="11"/>
  <c r="C28" i="11"/>
  <c r="E12" i="13"/>
  <c r="E16" i="13"/>
  <c r="A37" i="1"/>
  <c r="D44" i="10"/>
  <c r="A52" i="13"/>
  <c r="C60" i="8"/>
  <c r="C49" i="13"/>
  <c r="C32" i="11"/>
  <c r="D40" i="8"/>
  <c r="C57" i="12"/>
  <c r="D33" i="9"/>
  <c r="E26" i="9"/>
  <c r="C36" i="11"/>
  <c r="B17" i="1"/>
  <c r="E51" i="9"/>
  <c r="E49" i="10"/>
  <c r="B55" i="9"/>
  <c r="C44" i="10"/>
  <c r="B37" i="13"/>
  <c r="C48" i="11"/>
  <c r="D31" i="9"/>
  <c r="B19" i="1"/>
  <c r="E55" i="11"/>
  <c r="D27" i="1"/>
  <c r="C28" i="9"/>
  <c r="C55" i="9"/>
  <c r="B31" i="11"/>
  <c r="A55" i="1"/>
  <c r="A46" i="9"/>
  <c r="A57" i="1"/>
  <c r="C13" i="13"/>
  <c r="B28" i="8"/>
  <c r="C50" i="8"/>
  <c r="C57" i="11"/>
  <c r="E37" i="8"/>
  <c r="C48" i="12"/>
  <c r="A30" i="13"/>
  <c r="B26" i="1"/>
  <c r="D55" i="12"/>
  <c r="D32" i="10"/>
  <c r="B55" i="8"/>
  <c r="E35" i="11"/>
  <c r="C57" i="13"/>
  <c r="D32" i="8"/>
  <c r="D48" i="12"/>
  <c r="E53" i="12"/>
  <c r="A29" i="10"/>
  <c r="B50" i="1"/>
  <c r="A28" i="9"/>
  <c r="C26" i="10"/>
  <c r="B55" i="10"/>
  <c r="B54" i="8"/>
  <c r="A27" i="13"/>
  <c r="A46" i="11"/>
  <c r="C39" i="1"/>
  <c r="C38" i="10"/>
  <c r="B58" i="9"/>
  <c r="A20" i="8"/>
  <c r="A31" i="9"/>
  <c r="D54" i="8"/>
  <c r="A55" i="12"/>
  <c r="A41" i="8"/>
  <c r="D24" i="1"/>
  <c r="C29" i="10"/>
  <c r="A33" i="8"/>
  <c r="C32" i="9"/>
  <c r="E58" i="9"/>
  <c r="G6" i="24"/>
  <c r="F7" i="24"/>
  <c r="B14" i="24"/>
  <c r="H12" i="24"/>
  <c r="H9" i="24"/>
  <c r="E14" i="24"/>
  <c r="F14" i="24"/>
  <c r="F12" i="24"/>
  <c r="F13" i="24"/>
  <c r="F6" i="24"/>
  <c r="H8" i="24"/>
  <c r="H15" i="24"/>
  <c r="H13" i="24"/>
  <c r="H5" i="24"/>
  <c r="H16" i="24"/>
  <c r="H6" i="24"/>
  <c r="H17" i="24"/>
  <c r="D12" i="24"/>
  <c r="D10" i="24"/>
  <c r="D7" i="24"/>
  <c r="D5" i="24"/>
  <c r="D8" i="24"/>
  <c r="D6" i="24"/>
  <c r="D17" i="24"/>
  <c r="F16" i="24"/>
  <c r="F17" i="24"/>
  <c r="F10" i="24"/>
  <c r="E13" i="24"/>
  <c r="E11" i="24"/>
  <c r="E8" i="24"/>
  <c r="E6" i="24"/>
  <c r="E9" i="24"/>
  <c r="E7" i="24"/>
  <c r="E4" i="24"/>
  <c r="B5" i="24"/>
  <c r="B16" i="24"/>
  <c r="B17" i="24"/>
  <c r="B6" i="24"/>
  <c r="B15" i="24"/>
  <c r="B12" i="24"/>
  <c r="B9" i="24"/>
  <c r="H4" i="24"/>
  <c r="H11" i="24"/>
  <c r="H14" i="24"/>
  <c r="B11" i="24"/>
  <c r="B8" i="24"/>
  <c r="B13" i="24"/>
  <c r="B7" i="24"/>
  <c r="B4" i="24"/>
  <c r="B10" i="24"/>
  <c r="G16" i="24"/>
  <c r="G9" i="24"/>
  <c r="G4" i="24"/>
  <c r="G12" i="24"/>
  <c r="G5" i="24"/>
  <c r="G15" i="24"/>
  <c r="G17" i="24"/>
  <c r="G14" i="24"/>
  <c r="G11" i="24"/>
  <c r="G7" i="24"/>
  <c r="G13" i="24"/>
  <c r="G10" i="24"/>
  <c r="G8" i="24"/>
  <c r="E16" i="24"/>
  <c r="E5" i="24"/>
  <c r="E17" i="24"/>
  <c r="E15" i="24"/>
  <c r="E12" i="24"/>
  <c r="E10" i="24"/>
  <c r="D4" i="24"/>
  <c r="D15" i="24"/>
  <c r="D13" i="24"/>
  <c r="D16" i="24"/>
  <c r="D14" i="24"/>
  <c r="D11" i="24"/>
  <c r="D9" i="24"/>
  <c r="H7" i="24"/>
  <c r="H10" i="24"/>
  <c r="F15" i="24"/>
  <c r="F8" i="24"/>
  <c r="F9" i="24"/>
  <c r="F11" i="24"/>
  <c r="F4" i="24"/>
  <c r="F5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I4" i="24" l="1"/>
  <c r="I8" i="24"/>
  <c r="I12" i="24"/>
  <c r="I16" i="24"/>
  <c r="I11" i="24"/>
  <c r="I6" i="24"/>
  <c r="I10" i="24"/>
  <c r="I14" i="24"/>
  <c r="I5" i="24"/>
  <c r="I9" i="24"/>
  <c r="I13" i="24"/>
  <c r="I17" i="24"/>
  <c r="I7" i="24"/>
  <c r="I15" i="24"/>
  <c r="N6" i="14"/>
  <c r="O18" i="14"/>
  <c r="F17" i="14"/>
  <c r="G15" i="14"/>
  <c r="M9" i="14"/>
  <c r="G8" i="14"/>
  <c r="P10" i="14"/>
  <c r="P9" i="14"/>
  <c r="O10" i="14"/>
  <c r="H7" i="14"/>
  <c r="N8" i="14"/>
  <c r="F10" i="14"/>
  <c r="F5" i="14"/>
  <c r="O7" i="14"/>
  <c r="H5" i="14"/>
  <c r="H15" i="14"/>
  <c r="P14" i="14"/>
  <c r="E18" i="14"/>
  <c r="G10" i="14"/>
  <c r="P18" i="14"/>
  <c r="O9" i="14"/>
  <c r="N18" i="14"/>
  <c r="M7" i="14"/>
  <c r="E10" i="14"/>
  <c r="P17" i="14"/>
  <c r="N13" i="14"/>
  <c r="O8" i="14"/>
  <c r="P8" i="14"/>
  <c r="G4" i="14"/>
  <c r="H12" i="14"/>
  <c r="F13" i="14"/>
  <c r="O11" i="14"/>
  <c r="O5" i="14"/>
  <c r="N16" i="14"/>
  <c r="F12" i="14"/>
  <c r="H8" i="14"/>
  <c r="E6" i="14"/>
  <c r="O12" i="14"/>
  <c r="E14" i="14"/>
  <c r="N4" i="14"/>
  <c r="G18" i="14"/>
  <c r="P16" i="14"/>
  <c r="F6" i="14"/>
  <c r="F18" i="14"/>
  <c r="F7" i="14"/>
  <c r="M5" i="14"/>
  <c r="H6" i="14"/>
  <c r="O13" i="14"/>
  <c r="G9" i="14"/>
  <c r="N12" i="14"/>
  <c r="E7" i="14"/>
  <c r="P11" i="14"/>
  <c r="E9" i="14"/>
  <c r="M6" i="14"/>
  <c r="G14" i="14"/>
  <c r="P13" i="14"/>
  <c r="O15" i="14"/>
  <c r="M14" i="14"/>
  <c r="N14" i="14"/>
  <c r="G17" i="14"/>
  <c r="F9" i="14"/>
  <c r="N11" i="14"/>
  <c r="H14" i="14"/>
  <c r="P6" i="14"/>
  <c r="O16" i="14"/>
  <c r="N15" i="14"/>
  <c r="M17" i="14"/>
  <c r="E13" i="14"/>
  <c r="N17" i="14"/>
  <c r="O14" i="14"/>
  <c r="N10" i="14"/>
  <c r="G16" i="14"/>
  <c r="G13" i="14"/>
  <c r="M4" i="14"/>
  <c r="H17" i="14"/>
  <c r="H16" i="14"/>
  <c r="P7" i="14"/>
  <c r="H18" i="14"/>
  <c r="H11" i="14"/>
  <c r="E4" i="14"/>
  <c r="M8" i="14"/>
  <c r="N9" i="14"/>
  <c r="G11" i="14"/>
  <c r="F14" i="14"/>
  <c r="G6" i="14"/>
  <c r="E12" i="14"/>
  <c r="M16" i="14"/>
  <c r="E15" i="14"/>
  <c r="M13" i="14"/>
  <c r="H13" i="14"/>
  <c r="F16" i="14"/>
  <c r="O4" i="14"/>
  <c r="M15" i="14"/>
  <c r="H4" i="14"/>
  <c r="N5" i="14"/>
  <c r="G12" i="14"/>
  <c r="G5" i="14"/>
  <c r="E17" i="14"/>
  <c r="G7" i="14"/>
  <c r="N7" i="14"/>
  <c r="M18" i="14"/>
  <c r="E8" i="14"/>
  <c r="E11" i="14"/>
  <c r="H9" i="14"/>
  <c r="F15" i="14"/>
  <c r="E16" i="14"/>
  <c r="F11" i="14"/>
  <c r="E5" i="14"/>
  <c r="P12" i="14"/>
  <c r="O6" i="14"/>
  <c r="M11" i="14"/>
  <c r="P4" i="14"/>
  <c r="F8" i="14"/>
  <c r="H10" i="14"/>
  <c r="M10" i="14"/>
  <c r="P15" i="14"/>
  <c r="O17" i="14"/>
  <c r="F4" i="14"/>
  <c r="P5" i="14"/>
  <c r="M12" i="14"/>
  <c r="E3" i="24"/>
  <c r="F3" i="24"/>
  <c r="D3" i="24"/>
  <c r="H3" i="24"/>
  <c r="G3" i="24"/>
  <c r="B3" i="24"/>
  <c r="I3" i="24" l="1"/>
  <c r="Q10" i="14"/>
  <c r="Q12" i="14"/>
  <c r="Q16" i="14"/>
  <c r="Q11" i="14"/>
  <c r="F19" i="14"/>
  <c r="Q18" i="14"/>
  <c r="Q13" i="14"/>
  <c r="Q8" i="14"/>
  <c r="I17" i="14"/>
  <c r="S17" i="14"/>
  <c r="S12" i="14"/>
  <c r="I12" i="14"/>
  <c r="M19" i="14"/>
  <c r="Q4" i="14"/>
  <c r="P19" i="14"/>
  <c r="I5" i="14"/>
  <c r="S5" i="14"/>
  <c r="O19" i="14"/>
  <c r="I15" i="14"/>
  <c r="S15" i="14"/>
  <c r="S4" i="14"/>
  <c r="E19" i="14"/>
  <c r="I4" i="14"/>
  <c r="I13" i="14"/>
  <c r="S13" i="14"/>
  <c r="N19" i="14"/>
  <c r="S10" i="14"/>
  <c r="I10" i="14"/>
  <c r="H19" i="14"/>
  <c r="S11" i="14"/>
  <c r="I11" i="14"/>
  <c r="Q17" i="14"/>
  <c r="I7" i="14"/>
  <c r="S7" i="14"/>
  <c r="S14" i="14"/>
  <c r="I14" i="14"/>
  <c r="Q7" i="14"/>
  <c r="Q14" i="14"/>
  <c r="Q6" i="14"/>
  <c r="Q5" i="14"/>
  <c r="I18" i="14"/>
  <c r="S18" i="14"/>
  <c r="S16" i="14"/>
  <c r="I16" i="14"/>
  <c r="I8" i="14"/>
  <c r="S8" i="14"/>
  <c r="Q15" i="14"/>
  <c r="I9" i="14"/>
  <c r="S9" i="14"/>
  <c r="S6" i="14"/>
  <c r="I6" i="14"/>
  <c r="G19" i="14"/>
  <c r="Q9" i="14"/>
  <c r="T10" i="14" l="1"/>
  <c r="T12" i="14"/>
  <c r="T7" i="14"/>
  <c r="T18" i="14"/>
  <c r="T16" i="14"/>
  <c r="T17" i="14"/>
  <c r="T8" i="14"/>
  <c r="T11" i="14"/>
  <c r="T13" i="14"/>
  <c r="T5" i="14"/>
  <c r="T9" i="14"/>
  <c r="T15" i="14"/>
  <c r="T14" i="14"/>
  <c r="I19" i="14"/>
  <c r="S19" i="14"/>
  <c r="T4" i="14"/>
  <c r="Q19" i="14"/>
  <c r="T6" i="14"/>
  <c r="T19" i="14" l="1"/>
  <c r="T37" i="14" s="1"/>
  <c r="T40" i="14"/>
</calcChain>
</file>

<file path=xl/comments1.xml><?xml version="1.0" encoding="utf-8"?>
<comments xmlns="http://schemas.openxmlformats.org/spreadsheetml/2006/main">
  <authors>
    <author>Jake Burroughs</author>
    <author>Agata Jagodzinska</author>
  </authors>
  <commentList>
    <comment ref="I11" authorId="0" shapeId="0">
      <text>
        <r>
          <rPr>
            <sz val="9"/>
            <color indexed="81"/>
            <rFont val="Tahoma"/>
            <charset val="1"/>
          </rPr>
          <t>[21/12/27 09:04 - Agata Jagodzinska]: Changed '06:51' (formula) to '07:00' (value).
[22/01/10 14:02 - Jake Burroughs]: Changed '07:00' (value) to &lt;BLANK&gt; (formula).</t>
        </r>
      </text>
    </comment>
    <comment ref="R11" authorId="1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3" authorId="1" shapeId="0">
      <text>
        <r>
          <rPr>
            <sz val="9"/>
            <color indexed="81"/>
            <rFont val="Tahoma"/>
            <charset val="1"/>
          </rPr>
          <t>[21/12/27 09:04 - Agata Jagodzinska]: Changed '05:59' (formula) to '06:00' (value).</t>
        </r>
      </text>
    </comment>
    <comment ref="I14" authorId="1" shapeId="0">
      <text>
        <r>
          <rPr>
            <sz val="9"/>
            <color indexed="81"/>
            <rFont val="Tahoma"/>
            <charset val="1"/>
          </rPr>
          <t>[21/12/27 09:04 - Agata Jagodzinska]: Changed '09:55' (formula) to '10:00' (value).</t>
        </r>
      </text>
    </comment>
    <comment ref="I15" authorId="1" shapeId="0">
      <text>
        <r>
          <rPr>
            <sz val="9"/>
            <color indexed="81"/>
            <rFont val="Tahoma"/>
            <charset val="1"/>
          </rPr>
          <t>[21/12/27 09:04 - Agata Jagodzinska]: Changed '07:04' (formula) to '07:15' (value).</t>
        </r>
      </text>
    </comment>
  </commentList>
</comments>
</file>

<file path=xl/comments2.xml><?xml version="1.0" encoding="utf-8"?>
<comments xmlns="http://schemas.openxmlformats.org/spreadsheetml/2006/main">
  <authors>
    <author>Agata Jagodzinska</author>
    <author>Jake Burroughs</author>
  </authors>
  <commentList>
    <comment ref="I9" authorId="0" shapeId="0">
      <text>
        <r>
          <rPr>
            <sz val="9"/>
            <color indexed="81"/>
            <rFont val="Tahoma"/>
            <charset val="1"/>
          </rPr>
          <t>[21/12/27 09:04 - Agata Jagodzinska]: Changed '07:22' (formula) to '07:30' (value).</t>
        </r>
      </text>
    </comment>
    <comment ref="R9" authorId="0" shapeId="0">
      <text>
        <r>
          <rPr>
            <sz val="9"/>
            <color indexed="81"/>
            <rFont val="Tahoma"/>
            <charset val="1"/>
          </rPr>
          <t>[21/08/16 11:16 - Jake Burroughs]: Changed &lt;BLANK&gt; (value) to 'Yes' (value).
[21/08/16 11:16 - Jake Burroughs]: Changed 'Yes' (value) to &lt;BLANK&gt; (value).
[21/12/27 11:50 - Agata Jagodzinska]: Changed &lt;BLANK&gt; (value) to 'Yes' (value).</t>
        </r>
      </text>
    </comment>
    <comment ref="I10" authorId="0" shapeId="0">
      <text>
        <r>
          <rPr>
            <sz val="9"/>
            <color indexed="81"/>
            <rFont val="Tahoma"/>
            <charset val="1"/>
          </rPr>
          <t>[21/12/27 09:04 - Agata Jagodzinska]: Changed '07:54' (formula) to '08:00' (value).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[21/12/27 09:04 - Agata Jagodzinska]: Changed '06:53' (formula) to '07:00' (value).</t>
        </r>
      </text>
    </comment>
    <comment ref="I12" authorId="0" shapeId="0">
      <text>
        <r>
          <rPr>
            <sz val="9"/>
            <color indexed="81"/>
            <rFont val="Tahoma"/>
            <charset val="1"/>
          </rPr>
          <t>[21/12/27 09:04 - Agata Jagodzinska]: Changed '06:56' (formula) to '07:00' (value).</t>
        </r>
      </text>
    </comment>
    <comment ref="R14" authorId="0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5" authorId="0" shapeId="0">
      <text>
        <r>
          <rPr>
            <sz val="9"/>
            <color indexed="81"/>
            <rFont val="Tahoma"/>
            <charset val="1"/>
          </rPr>
          <t>[21/12/27 09:04 - Agata Jagodzinska]: Changed '06:59' (formula) to '07:00' (value).</t>
        </r>
      </text>
    </comment>
    <comment ref="R15" authorId="0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6" authorId="1" shapeId="0">
      <text>
        <r>
          <rPr>
            <sz val="9"/>
            <color indexed="81"/>
            <rFont val="Tahoma"/>
            <charset val="1"/>
          </rPr>
          <t>[22/01/10 11:59 - Jake Burroughs]: Changed &lt;BLANK&gt; (formula) to 'a' (value).</t>
        </r>
      </text>
    </comment>
  </commentList>
</comments>
</file>

<file path=xl/comments3.xml><?xml version="1.0" encoding="utf-8"?>
<comments xmlns="http://schemas.openxmlformats.org/spreadsheetml/2006/main">
  <authors>
    <author>Agata Jagodzinska</author>
  </authors>
  <commentList>
    <comment ref="I9" authorId="0" shapeId="0">
      <text>
        <r>
          <rPr>
            <sz val="9"/>
            <color indexed="81"/>
            <rFont val="Tahoma"/>
            <charset val="1"/>
          </rPr>
          <t>[21/12/27 09:05 - Agata Jagodzinska]: Changed '06:31' (formula) to '07:00' (value).</t>
        </r>
      </text>
    </comment>
    <comment ref="R9" authorId="0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0" authorId="0" shapeId="0">
      <text>
        <r>
          <rPr>
            <sz val="9"/>
            <color indexed="81"/>
            <rFont val="Tahoma"/>
            <charset val="1"/>
          </rPr>
          <t>[21/12/27 09:05 - Agata Jagodzinska]: Changed '07:04' (formula) to '07:15' (value).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[21/12/27 09:05 - Agata Jagodzinska]: Changed '05:53' (formula) to '06:00' (value).</t>
        </r>
      </text>
    </comment>
    <comment ref="I12" authorId="0" shapeId="0">
      <text>
        <r>
          <rPr>
            <sz val="9"/>
            <color indexed="81"/>
            <rFont val="Tahoma"/>
            <charset val="1"/>
          </rPr>
          <t>[21/12/27 09:05 - Agata Jagodzinska]: Changed '13:53' (formula) to '14:00' (value).</t>
        </r>
      </text>
    </comment>
    <comment ref="I15" authorId="0" shapeId="0">
      <text>
        <r>
          <rPr>
            <sz val="9"/>
            <color indexed="81"/>
            <rFont val="Tahoma"/>
            <charset val="1"/>
          </rPr>
          <t>[21/12/27 09:07 - Agata Jagodzinska]: Changed '08:58' (formula) to '09:00' (value).</t>
        </r>
      </text>
    </comment>
    <comment ref="R15" authorId="0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6" authorId="0" shapeId="0">
      <text>
        <r>
          <rPr>
            <sz val="9"/>
            <color indexed="81"/>
            <rFont val="Tahoma"/>
            <charset val="1"/>
          </rPr>
          <t>[21/12/27 09:07 - Agata Jagodzinska]: Changed '06:55' (formula) to '07:00' (value).</t>
        </r>
      </text>
    </comment>
  </commentList>
</comments>
</file>

<file path=xl/comments4.xml><?xml version="1.0" encoding="utf-8"?>
<comments xmlns="http://schemas.openxmlformats.org/spreadsheetml/2006/main">
  <authors>
    <author>Agata Jagodzinska</author>
  </authors>
  <commentList>
    <comment ref="I10" authorId="0" shapeId="0">
      <text>
        <r>
          <rPr>
            <sz val="9"/>
            <color indexed="81"/>
            <rFont val="Tahoma"/>
            <charset val="1"/>
          </rPr>
          <t>[21/12/27 09:08 - Agata Jagodzinska]: Changed '07:44' (formula) to '08:00' (value).</t>
        </r>
      </text>
    </comment>
    <comment ref="R10" authorId="0" shapeId="0">
      <text>
        <r>
          <rPr>
            <sz val="9"/>
            <color indexed="81"/>
            <rFont val="Tahoma"/>
            <charset val="1"/>
          </rPr>
          <t>[21/12/27 11:50 - Agata Jagodzinska]: Changed &lt;BLANK&gt; (value) to 'Yes' (value).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[21/12/27 09:08 - Agata Jagodzinska]: Changed '06:51' (formula) to '07:00' (value).</t>
        </r>
      </text>
    </comment>
    <comment ref="I12" authorId="0" shapeId="0">
      <text>
        <r>
          <rPr>
            <sz val="9"/>
            <color indexed="81"/>
            <rFont val="Tahoma"/>
            <charset val="1"/>
          </rPr>
          <t>[21/12/27 09:08 - Agata Jagodzinska]: Changed '06:33' (formula) to '07:00' (value).</t>
        </r>
      </text>
    </comment>
  </commentList>
</comments>
</file>

<file path=xl/comments5.xml><?xml version="1.0" encoding="utf-8"?>
<comments xmlns="http://schemas.openxmlformats.org/spreadsheetml/2006/main">
  <authors>
    <author>Agata Jagodzinska</author>
  </authors>
  <commentList>
    <comment ref="I9" authorId="0" shapeId="0">
      <text>
        <r>
          <rPr>
            <sz val="9"/>
            <color indexed="81"/>
            <rFont val="Tahoma"/>
            <charset val="1"/>
          </rPr>
          <t>[21/12/27 09:08 - Agata Jagodzinska]: Changed '07:43' (formula) to '08:00' (value).</t>
        </r>
      </text>
    </comment>
    <comment ref="R9" authorId="0" shapeId="0">
      <text>
        <r>
          <rPr>
            <sz val="9"/>
            <color indexed="81"/>
            <rFont val="Tahoma"/>
            <charset val="1"/>
          </rPr>
          <t>[21/12/27 11:51 - Agata Jagodzinska]: Changed &lt;BLANK&gt; (value) to 'Yes' (value).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[21/12/27 09:08 - Agata Jagodzinska]: Changed '13:50' (formula) to '14:00' (value).</t>
        </r>
      </text>
    </comment>
    <comment ref="I12" authorId="0" shapeId="0">
      <text>
        <r>
          <rPr>
            <sz val="9"/>
            <color indexed="81"/>
            <rFont val="Tahoma"/>
            <charset val="1"/>
          </rPr>
          <t>[21/12/27 09:08 - Agata Jagodzinska]: Changed '06:54' (formula) to '07:00' (value).</t>
        </r>
      </text>
    </comment>
    <comment ref="I13" authorId="0" shapeId="0">
      <text>
        <r>
          <rPr>
            <sz val="9"/>
            <color indexed="81"/>
            <rFont val="Tahoma"/>
            <charset val="1"/>
          </rPr>
          <t>[21/12/27 09:08 - Agata Jagodzinska]: Changed '06:53' (formula) to '07:00' (value).</t>
        </r>
      </text>
    </comment>
    <comment ref="I14" authorId="0" shapeId="0">
      <text>
        <r>
          <rPr>
            <sz val="9"/>
            <color indexed="81"/>
            <rFont val="Tahoma"/>
            <charset val="1"/>
          </rPr>
          <t>[21/12/27 09:08 - Agata Jagodzinska]: Changed '06:58' (formula) to '07:00' (value).</t>
        </r>
      </text>
    </comment>
    <comment ref="I15" authorId="0" shapeId="0">
      <text>
        <r>
          <rPr>
            <sz val="9"/>
            <color indexed="81"/>
            <rFont val="Tahoma"/>
            <charset val="1"/>
          </rPr>
          <t>[21/12/27 09:08 - Agata Jagodzinska]: Changed '06:41' (formula) to '07:00' (value).</t>
        </r>
      </text>
    </comment>
  </commentList>
</comments>
</file>

<file path=xl/comments6.xml><?xml version="1.0" encoding="utf-8"?>
<comments xmlns="http://schemas.openxmlformats.org/spreadsheetml/2006/main">
  <authors>
    <author>Agata Jagodzinska</author>
  </authors>
  <commentList>
    <comment ref="I18" authorId="0" shapeId="0">
      <text>
        <r>
          <rPr>
            <sz val="9"/>
            <color indexed="81"/>
            <rFont val="Tahoma"/>
            <charset val="1"/>
          </rPr>
          <t>[21/12/27 09:09 - Agata Jagodzinska]: Changed '07:09' (formula) to '07:15' (value).</t>
        </r>
      </text>
    </comment>
    <comment ref="R18" authorId="0" shapeId="0">
      <text>
        <r>
          <rPr>
            <sz val="9"/>
            <color indexed="81"/>
            <rFont val="Tahoma"/>
            <charset val="1"/>
          </rPr>
          <t>[21/12/27 11:51 - Agata Jagodzinska]: Changed &lt;BLANK&gt; (value) to 'Yes' (value).</t>
        </r>
      </text>
    </comment>
    <comment ref="I20" authorId="0" shapeId="0">
      <text>
        <r>
          <rPr>
            <sz val="9"/>
            <color indexed="81"/>
            <rFont val="Tahoma"/>
            <charset val="1"/>
          </rPr>
          <t>[21/12/27 09:09 - Agata Jagodzinska]: Changed '06:52' (formula) to '07:00' (value).</t>
        </r>
      </text>
    </comment>
    <comment ref="I21" authorId="0" shapeId="0">
      <text>
        <r>
          <rPr>
            <sz val="9"/>
            <color indexed="81"/>
            <rFont val="Tahoma"/>
            <charset val="1"/>
          </rPr>
          <t>[21/12/27 09:09 - Agata Jagodzinska]: Changed '06:32' (formula) to '07:00' (value).</t>
        </r>
      </text>
    </comment>
    <comment ref="I22" authorId="0" shapeId="0">
      <text>
        <r>
          <rPr>
            <sz val="9"/>
            <color indexed="81"/>
            <rFont val="Tahoma"/>
            <charset val="1"/>
          </rPr>
          <t>[21/12/27 09:09 - Agata Jagodzinska]: Changed '07:09' (formula) to '07:15' (value).</t>
        </r>
      </text>
    </comment>
    <comment ref="I23" authorId="0" shapeId="0">
      <text>
        <r>
          <rPr>
            <sz val="9"/>
            <color indexed="81"/>
            <rFont val="Tahoma"/>
            <charset val="1"/>
          </rPr>
          <t>[21/12/27 09:10 - Agata Jagodzinska]: Changed '07:25' (formula) to '07:30' (value).</t>
        </r>
      </text>
    </comment>
    <comment ref="I24" authorId="0" shapeId="0">
      <text>
        <r>
          <rPr>
            <sz val="9"/>
            <color indexed="81"/>
            <rFont val="Tahoma"/>
            <charset val="1"/>
          </rPr>
          <t>[21/12/27 09:10 - Agata Jagodzinska]: Changed '11:52' (formula) to '12:00' (value).</t>
        </r>
      </text>
    </comment>
    <comment ref="R25" authorId="0" shapeId="0">
      <text>
        <r>
          <rPr>
            <sz val="9"/>
            <color indexed="81"/>
            <rFont val="Tahoma"/>
            <charset val="1"/>
          </rPr>
          <t>[21/12/27 11:51 - Agata Jagodzinska]: Changed &lt;BLANK&gt; (value) to 'Yes' (value).</t>
        </r>
      </text>
    </comment>
  </commentList>
</comments>
</file>

<file path=xl/sharedStrings.xml><?xml version="1.0" encoding="utf-8"?>
<sst xmlns="http://schemas.openxmlformats.org/spreadsheetml/2006/main" count="494" uniqueCount="131">
  <si>
    <t>Department</t>
  </si>
  <si>
    <t>Requested Start Time</t>
  </si>
  <si>
    <t>Requested Finish Time</t>
  </si>
  <si>
    <t>Scan No</t>
  </si>
  <si>
    <t>Person Booked</t>
  </si>
  <si>
    <t>Vanquish Time In</t>
  </si>
  <si>
    <t>Vanquish Time Out</t>
  </si>
  <si>
    <t>Break Out</t>
  </si>
  <si>
    <t>Break In</t>
  </si>
  <si>
    <t>Badge Number</t>
  </si>
  <si>
    <t>Name</t>
  </si>
  <si>
    <t>Date</t>
  </si>
  <si>
    <t>Factory</t>
  </si>
  <si>
    <t>Clock In 1</t>
  </si>
  <si>
    <t>Clock Out 1</t>
  </si>
  <si>
    <t>Clock In 2</t>
  </si>
  <si>
    <t>Clock Out 2</t>
  </si>
  <si>
    <t>PREP</t>
  </si>
  <si>
    <t>ROASTING</t>
  </si>
  <si>
    <t>CHARGRILL</t>
  </si>
  <si>
    <t>HR PACKING</t>
  </si>
  <si>
    <t>LR PACKING</t>
  </si>
  <si>
    <t>HIGHCARE RAW</t>
  </si>
  <si>
    <t>MACHINE ROOM</t>
  </si>
  <si>
    <t>BLANCHING</t>
  </si>
  <si>
    <t>HYGIENE</t>
  </si>
  <si>
    <t>DESPATCH</t>
  </si>
  <si>
    <t>FLOOR CLEANING</t>
  </si>
  <si>
    <t>GOODS IN</t>
  </si>
  <si>
    <t>SEAL &amp; SEND</t>
  </si>
  <si>
    <t>OFFICE STAFF</t>
  </si>
  <si>
    <t>QA TECH</t>
  </si>
  <si>
    <t>A</t>
  </si>
  <si>
    <t>B</t>
  </si>
  <si>
    <t>Confirmed?</t>
  </si>
  <si>
    <t>FRESHCUT TO COMPLETE</t>
  </si>
  <si>
    <t>VANQUISH DATA</t>
  </si>
  <si>
    <t>Total</t>
  </si>
  <si>
    <t>Break</t>
  </si>
  <si>
    <t>Break Deducted</t>
  </si>
  <si>
    <t xml:space="preserve">Total Hours </t>
  </si>
  <si>
    <t>FRESHCUT</t>
  </si>
  <si>
    <t>CALCULATING</t>
  </si>
  <si>
    <t>Total Paid Hours (Decimal)</t>
  </si>
  <si>
    <t>CONVERTS MANUALS TO REAL TIMES</t>
  </si>
  <si>
    <t>Rate</t>
  </si>
  <si>
    <t>Agency</t>
  </si>
  <si>
    <t>24H</t>
  </si>
  <si>
    <t>Week Ending</t>
  </si>
  <si>
    <t>Preferred Person
(e.g. John Smith)</t>
  </si>
  <si>
    <t>Notes
(e.g. Why time was deducted)</t>
  </si>
  <si>
    <t>= Time adjusted from Vanquish</t>
  </si>
  <si>
    <t>QA Day</t>
  </si>
  <si>
    <t>LookUP Key</t>
  </si>
  <si>
    <t>Type</t>
  </si>
  <si>
    <t>£</t>
  </si>
  <si>
    <t>Rationale/Qualifying Info</t>
  </si>
  <si>
    <t>Barker Ross</t>
  </si>
  <si>
    <t>Standard</t>
  </si>
  <si>
    <t>FLT</t>
  </si>
  <si>
    <t>Staffline</t>
  </si>
  <si>
    <t>Shifts starting before 13:59*</t>
  </si>
  <si>
    <t>Afternoon</t>
  </si>
  <si>
    <t xml:space="preserve">Shift starting between 14:00pm and 17:59pm </t>
  </si>
  <si>
    <t>Night</t>
  </si>
  <si>
    <t>Shift starting from 18:00pm</t>
  </si>
  <si>
    <t>Shifts starting before 13:59</t>
  </si>
  <si>
    <t xml:space="preserve">Shift starting between 14:00pm and 16:59pm </t>
  </si>
  <si>
    <t>Shift starting from 17:00pm</t>
  </si>
  <si>
    <t>Turner Stubbs</t>
  </si>
  <si>
    <t>Role</t>
  </si>
  <si>
    <t>KEY</t>
  </si>
  <si>
    <t>Paste Vanquish Report in A1</t>
  </si>
  <si>
    <t>Payment</t>
  </si>
  <si>
    <t>SunCheck</t>
  </si>
  <si>
    <t>MonCheck</t>
  </si>
  <si>
    <t>TueCheck</t>
  </si>
  <si>
    <t>WedCheck</t>
  </si>
  <si>
    <t>ThurCheck</t>
  </si>
  <si>
    <t>FriCheck</t>
  </si>
  <si>
    <t>SatCheck</t>
  </si>
  <si>
    <t>CHECK</t>
  </si>
  <si>
    <t>Hours</t>
  </si>
  <si>
    <t>Nominal</t>
  </si>
  <si>
    <t>Total B</t>
  </si>
  <si>
    <t>6005A</t>
  </si>
  <si>
    <t>6052A</t>
  </si>
  <si>
    <t>6053A</t>
  </si>
  <si>
    <t>6004A</t>
  </si>
  <si>
    <t>6008A</t>
  </si>
  <si>
    <t>6009A</t>
  </si>
  <si>
    <t>8102A</t>
  </si>
  <si>
    <t>7010A</t>
  </si>
  <si>
    <t>Total £</t>
  </si>
  <si>
    <t>TIME IN AMENDMENT CHECK</t>
  </si>
  <si>
    <t>BREAK OUT AMENDMENT CHECK</t>
  </si>
  <si>
    <t>BREAK IN AMENDMENT CHECK</t>
  </si>
  <si>
    <t>TIME OUT AMENDMENT CHECK</t>
  </si>
  <si>
    <t>BREAK AMENDMENT CHECK</t>
  </si>
  <si>
    <t>SHIFT CHECK VS VANQUISH</t>
  </si>
  <si>
    <t>Scan Number</t>
  </si>
  <si>
    <t xml:space="preserve">Department </t>
  </si>
  <si>
    <t>Sunday</t>
  </si>
  <si>
    <t>Monday</t>
  </si>
  <si>
    <t>Tuesday</t>
  </si>
  <si>
    <t>Wednesday</t>
  </si>
  <si>
    <t>Thursday</t>
  </si>
  <si>
    <t>Friday</t>
  </si>
  <si>
    <t>Saturday</t>
  </si>
  <si>
    <t>Finish</t>
  </si>
  <si>
    <t xml:space="preserve">Start </t>
  </si>
  <si>
    <t xml:space="preserve">Total </t>
  </si>
  <si>
    <t xml:space="preserve">[Week </t>
  </si>
  <si>
    <t>Total Hours]</t>
  </si>
  <si>
    <t>COMMENTS</t>
  </si>
  <si>
    <t>Loyalty</t>
  </si>
  <si>
    <t>Shift starting between 14:00 and 17:59</t>
  </si>
  <si>
    <t>Shift starting from 18:00</t>
  </si>
  <si>
    <t>Anything earlier than 22:00</t>
  </si>
  <si>
    <t>QA PM</t>
  </si>
  <si>
    <t>Shift starting from 22:00</t>
  </si>
  <si>
    <t>FLT Days</t>
  </si>
  <si>
    <t>FLT Afternoon</t>
  </si>
  <si>
    <t>FLT Nights</t>
  </si>
  <si>
    <t>Loyalty Bonus</t>
  </si>
  <si>
    <t>Amount</t>
  </si>
  <si>
    <t>Grand Total</t>
  </si>
  <si>
    <t>Employee Summary</t>
  </si>
  <si>
    <t>Enter Scan No</t>
  </si>
  <si>
    <t>Hours Paid</t>
  </si>
  <si>
    <t>SAFE TO SEND, SHEETS PROTECTED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</si>
</sst>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.00_);_(* \(#,##0.00\);_(* &quot;-&quot;??_);_(@_)"/>
    <numFmt numFmtId="165" formatCode="_(&quot;£&quot;* #,##0.00_);_(&quot;£&quot;* \(#,##0.00\);_(&quot;£&quot;* &quot;-&quot;??_);_(@_)"/>
    <numFmt numFmtId="166" formatCode="&quot;£&quot;#,##0.00_);[Red]\(&quot;£&quot;#,##0.00\)"/>
    <numFmt numFmtId="167" formatCode="&quot;£&quot;#,##0.00"/>
    <numFmt numFmtId="168" formatCode="[$-F400]h:mm:ss\ AM/PM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sz val="10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Arial"/>
      <family val="2"/>
    </font>
    <font>
      <b/>
      <u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D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8C8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282">
    <xf numFmtId="0" fontId="0" fillId="0" borderId="0" xfId="0"/>
    <xf numFmtId="0" fontId="1" fillId="0" borderId="0" xfId="0" applyNumberFormat="1" applyFont="1" applyFill="1" applyBorder="1" applyAlignment="1" applyProtection="1"/>
    <xf numFmtId="0" fontId="2" fillId="2" borderId="1" xfId="0" applyNumberFormat="1" applyFont="1" applyFill="1" applyBorder="1" applyAlignment="1" applyProtection="1">
      <alignment horizontal="center" vertical="center"/>
    </xf>
    <xf numFmtId="20" fontId="1" fillId="0" borderId="0" xfId="0" applyNumberFormat="1" applyFont="1" applyFill="1" applyBorder="1" applyAlignment="1" applyProtection="1"/>
    <xf numFmtId="2" fontId="3" fillId="3" borderId="0" xfId="0" applyNumberFormat="1" applyFont="1" applyFill="1" applyBorder="1" applyAlignment="1" applyProtection="1">
      <alignment horizontal="left" vertical="center" wrapText="1"/>
    </xf>
    <xf numFmtId="2" fontId="3" fillId="4" borderId="0" xfId="0" applyNumberFormat="1" applyFont="1" applyFill="1" applyBorder="1" applyAlignment="1" applyProtection="1">
      <alignment horizontal="left" vertical="center" wrapText="1"/>
    </xf>
    <xf numFmtId="2" fontId="3" fillId="5" borderId="0" xfId="0" applyNumberFormat="1" applyFont="1" applyFill="1" applyBorder="1" applyAlignment="1" applyProtection="1">
      <alignment horizontal="left" vertical="center" wrapText="1"/>
    </xf>
    <xf numFmtId="2" fontId="3" fillId="6" borderId="0" xfId="0" applyNumberFormat="1" applyFont="1" applyFill="1" applyBorder="1" applyAlignment="1" applyProtection="1">
      <alignment horizontal="left" vertical="center" wrapText="1"/>
    </xf>
    <xf numFmtId="2" fontId="3" fillId="7" borderId="0" xfId="0" applyNumberFormat="1" applyFont="1" applyFill="1" applyBorder="1" applyAlignment="1" applyProtection="1">
      <alignment horizontal="left" vertical="center" wrapText="1"/>
    </xf>
    <xf numFmtId="2" fontId="3" fillId="8" borderId="0" xfId="0" applyNumberFormat="1" applyFont="1" applyFill="1" applyBorder="1" applyAlignment="1" applyProtection="1">
      <alignment horizontal="left" vertical="center" wrapText="1"/>
    </xf>
    <xf numFmtId="2" fontId="3" fillId="9" borderId="0" xfId="0" applyNumberFormat="1" applyFont="1" applyFill="1" applyBorder="1" applyAlignment="1" applyProtection="1">
      <alignment horizontal="left" vertical="center" wrapText="1"/>
    </xf>
    <xf numFmtId="2" fontId="3" fillId="10" borderId="0" xfId="0" applyNumberFormat="1" applyFont="1" applyFill="1" applyBorder="1" applyAlignment="1" applyProtection="1">
      <alignment horizontal="left" vertical="center" wrapText="1"/>
    </xf>
    <xf numFmtId="2" fontId="3" fillId="11" borderId="0" xfId="0" applyNumberFormat="1" applyFont="1" applyFill="1" applyBorder="1" applyAlignment="1" applyProtection="1">
      <alignment horizontal="left" vertical="center" wrapText="1"/>
    </xf>
    <xf numFmtId="2" fontId="3" fillId="12" borderId="0" xfId="0" applyNumberFormat="1" applyFont="1" applyFill="1" applyBorder="1" applyAlignment="1" applyProtection="1">
      <alignment horizontal="left" vertical="center" wrapText="1"/>
    </xf>
    <xf numFmtId="2" fontId="3" fillId="13" borderId="0" xfId="0" applyNumberFormat="1" applyFont="1" applyFill="1" applyBorder="1" applyAlignment="1" applyProtection="1">
      <alignment horizontal="left" vertical="center" wrapText="1"/>
    </xf>
    <xf numFmtId="2" fontId="3" fillId="14" borderId="0" xfId="0" applyNumberFormat="1" applyFont="1" applyFill="1" applyBorder="1" applyAlignment="1" applyProtection="1">
      <alignment horizontal="left" vertical="center" wrapText="1"/>
    </xf>
    <xf numFmtId="2" fontId="3" fillId="15" borderId="0" xfId="0" applyNumberFormat="1" applyFont="1" applyFill="1" applyBorder="1" applyAlignment="1" applyProtection="1">
      <alignment horizontal="left" vertical="center" wrapText="1"/>
    </xf>
    <xf numFmtId="2" fontId="3" fillId="16" borderId="0" xfId="0" applyNumberFormat="1" applyFont="1" applyFill="1" applyBorder="1" applyAlignment="1" applyProtection="1">
      <alignment horizontal="left" vertical="center" wrapText="1"/>
    </xf>
    <xf numFmtId="2" fontId="3" fillId="17" borderId="0" xfId="0" applyNumberFormat="1" applyFont="1" applyFill="1" applyBorder="1" applyAlignment="1" applyProtection="1">
      <alignment horizontal="left" vertical="center" wrapText="1"/>
    </xf>
    <xf numFmtId="14" fontId="0" fillId="0" borderId="0" xfId="0" applyNumberFormat="1"/>
    <xf numFmtId="0" fontId="4" fillId="20" borderId="0" xfId="0" applyNumberFormat="1" applyFont="1" applyFill="1" applyBorder="1" applyAlignment="1" applyProtection="1">
      <alignment horizontal="center" vertical="center" wrapText="1"/>
    </xf>
    <xf numFmtId="14" fontId="0" fillId="0" borderId="0" xfId="0" quotePrefix="1" applyNumberFormat="1" applyProtection="1"/>
    <xf numFmtId="0" fontId="0" fillId="0" borderId="0" xfId="0" applyProtection="1"/>
    <xf numFmtId="0" fontId="0" fillId="0" borderId="0" xfId="0" applyBorder="1" applyProtection="1"/>
    <xf numFmtId="0" fontId="0" fillId="19" borderId="0" xfId="0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4" fillId="2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</xf>
    <xf numFmtId="0" fontId="0" fillId="0" borderId="0" xfId="0" quotePrefix="1" applyBorder="1" applyAlignment="1" applyProtection="1">
      <alignment horizontal="left"/>
    </xf>
    <xf numFmtId="0" fontId="0" fillId="22" borderId="2" xfId="0" applyFill="1" applyBorder="1" applyAlignment="1" applyProtection="1">
      <alignment horizontal="center"/>
    </xf>
    <xf numFmtId="20" fontId="0" fillId="22" borderId="2" xfId="0" applyNumberFormat="1" applyFill="1" applyBorder="1" applyAlignment="1" applyProtection="1">
      <alignment horizontal="center"/>
    </xf>
    <xf numFmtId="0" fontId="0" fillId="18" borderId="2" xfId="0" applyFill="1" applyBorder="1" applyAlignment="1" applyProtection="1">
      <alignment horizontal="center"/>
      <protection locked="0"/>
    </xf>
    <xf numFmtId="20" fontId="0" fillId="21" borderId="2" xfId="0" applyNumberFormat="1" applyFill="1" applyBorder="1" applyAlignment="1" applyProtection="1">
      <alignment horizontal="center"/>
    </xf>
    <xf numFmtId="20" fontId="0" fillId="0" borderId="2" xfId="0" applyNumberFormat="1" applyBorder="1" applyAlignment="1" applyProtection="1">
      <alignment horizontal="center"/>
    </xf>
    <xf numFmtId="20" fontId="1" fillId="21" borderId="2" xfId="0" applyNumberFormat="1" applyFont="1" applyFill="1" applyBorder="1" applyAlignment="1" applyProtection="1">
      <alignment horizontal="center"/>
    </xf>
    <xf numFmtId="164" fontId="1" fillId="21" borderId="2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166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0" applyFont="1"/>
    <xf numFmtId="167" fontId="0" fillId="0" borderId="0" xfId="0" applyNumberFormat="1" applyProtection="1">
      <protection hidden="1"/>
    </xf>
    <xf numFmtId="0" fontId="0" fillId="0" borderId="0" xfId="0" applyBorder="1" applyAlignment="1" applyProtection="1">
      <alignment horizontal="center"/>
    </xf>
    <xf numFmtId="0" fontId="0" fillId="22" borderId="0" xfId="0" applyFill="1" applyBorder="1" applyAlignment="1" applyProtection="1">
      <alignment horizontal="center" vertical="center"/>
    </xf>
    <xf numFmtId="167" fontId="0" fillId="21" borderId="0" xfId="0" applyNumberFormat="1" applyFill="1" applyProtection="1"/>
    <xf numFmtId="14" fontId="1" fillId="0" borderId="0" xfId="0" applyNumberFormat="1" applyFont="1" applyFill="1" applyBorder="1" applyAlignment="1" applyProtection="1"/>
    <xf numFmtId="0" fontId="2" fillId="2" borderId="3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11" fillId="24" borderId="0" xfId="0" applyFont="1" applyFill="1" applyAlignment="1">
      <alignment vertical="center"/>
    </xf>
    <xf numFmtId="0" fontId="11" fillId="24" borderId="0" xfId="0" applyNumberFormat="1" applyFont="1" applyFill="1" applyAlignment="1">
      <alignment horizontal="center" vertical="center"/>
    </xf>
    <xf numFmtId="165" fontId="11" fillId="24" borderId="0" xfId="0" applyNumberFormat="1" applyFont="1" applyFill="1" applyAlignment="1">
      <alignment horizontal="center" vertical="center"/>
    </xf>
    <xf numFmtId="0" fontId="11" fillId="24" borderId="0" xfId="0" applyFont="1" applyFill="1" applyAlignment="1">
      <alignment horizontal="center" vertical="center"/>
    </xf>
    <xf numFmtId="0" fontId="11" fillId="25" borderId="0" xfId="0" applyFont="1" applyFill="1" applyAlignment="1">
      <alignment horizontal="center"/>
    </xf>
    <xf numFmtId="0" fontId="11" fillId="25" borderId="0" xfId="0" applyFont="1" applyFill="1" applyAlignment="1">
      <alignment horizontal="center" vertical="top"/>
    </xf>
    <xf numFmtId="2" fontId="12" fillId="3" borderId="0" xfId="0" applyNumberFormat="1" applyFont="1" applyFill="1" applyBorder="1" applyAlignment="1">
      <alignment horizontal="left" vertical="center" wrapText="1"/>
    </xf>
    <xf numFmtId="164" fontId="12" fillId="3" borderId="0" xfId="1" applyFont="1" applyFill="1" applyBorder="1" applyAlignment="1">
      <alignment horizontal="center" vertical="center" wrapText="1"/>
    </xf>
    <xf numFmtId="2" fontId="12" fillId="3" borderId="0" xfId="0" applyNumberFormat="1" applyFont="1" applyFill="1" applyBorder="1" applyAlignment="1">
      <alignment horizontal="center" vertical="center" wrapText="1"/>
    </xf>
    <xf numFmtId="2" fontId="12" fillId="4" borderId="0" xfId="0" applyNumberFormat="1" applyFont="1" applyFill="1" applyBorder="1" applyAlignment="1">
      <alignment horizontal="left" vertical="center" wrapText="1"/>
    </xf>
    <xf numFmtId="0" fontId="12" fillId="4" borderId="0" xfId="0" applyNumberFormat="1" applyFont="1" applyFill="1" applyBorder="1" applyAlignment="1">
      <alignment horizontal="center" vertical="center" wrapText="1"/>
    </xf>
    <xf numFmtId="164" fontId="12" fillId="4" borderId="0" xfId="1" applyFont="1" applyFill="1" applyBorder="1" applyAlignment="1">
      <alignment horizontal="center" vertical="center" wrapText="1"/>
    </xf>
    <xf numFmtId="2" fontId="12" fillId="5" borderId="0" xfId="0" applyNumberFormat="1" applyFont="1" applyFill="1" applyBorder="1" applyAlignment="1">
      <alignment horizontal="left" vertical="center" wrapText="1"/>
    </xf>
    <xf numFmtId="0" fontId="12" fillId="5" borderId="0" xfId="0" applyNumberFormat="1" applyFont="1" applyFill="1" applyBorder="1" applyAlignment="1">
      <alignment horizontal="center" vertical="center" wrapText="1"/>
    </xf>
    <xf numFmtId="164" fontId="12" fillId="5" borderId="0" xfId="1" applyFont="1" applyFill="1" applyBorder="1" applyAlignment="1">
      <alignment horizontal="center" vertical="center" wrapText="1"/>
    </xf>
    <xf numFmtId="2" fontId="12" fillId="6" borderId="0" xfId="0" applyNumberFormat="1" applyFont="1" applyFill="1" applyBorder="1" applyAlignment="1">
      <alignment horizontal="left" vertical="center" wrapText="1"/>
    </xf>
    <xf numFmtId="0" fontId="12" fillId="6" borderId="0" xfId="0" applyNumberFormat="1" applyFont="1" applyFill="1" applyBorder="1" applyAlignment="1">
      <alignment horizontal="center" vertical="center" wrapText="1"/>
    </xf>
    <xf numFmtId="164" fontId="12" fillId="6" borderId="0" xfId="1" applyFont="1" applyFill="1" applyBorder="1" applyAlignment="1">
      <alignment horizontal="center" vertical="center" wrapText="1"/>
    </xf>
    <xf numFmtId="2" fontId="12" fillId="7" borderId="0" xfId="0" applyNumberFormat="1" applyFont="1" applyFill="1" applyBorder="1" applyAlignment="1">
      <alignment horizontal="left" vertical="center" wrapText="1"/>
    </xf>
    <xf numFmtId="0" fontId="12" fillId="7" borderId="0" xfId="0" applyNumberFormat="1" applyFont="1" applyFill="1" applyBorder="1" applyAlignment="1">
      <alignment horizontal="center" vertical="center" wrapText="1"/>
    </xf>
    <xf numFmtId="164" fontId="12" fillId="7" borderId="0" xfId="1" applyFont="1" applyFill="1" applyBorder="1" applyAlignment="1">
      <alignment horizontal="center" vertical="center" wrapText="1"/>
    </xf>
    <xf numFmtId="2" fontId="12" fillId="8" borderId="0" xfId="0" applyNumberFormat="1" applyFont="1" applyFill="1" applyBorder="1" applyAlignment="1">
      <alignment horizontal="left" vertical="center" wrapText="1"/>
    </xf>
    <xf numFmtId="164" fontId="12" fillId="8" borderId="0" xfId="1" applyFont="1" applyFill="1" applyBorder="1" applyAlignment="1">
      <alignment horizontal="center" vertical="center" wrapText="1"/>
    </xf>
    <xf numFmtId="2" fontId="12" fillId="8" borderId="0" xfId="0" applyNumberFormat="1" applyFont="1" applyFill="1" applyBorder="1" applyAlignment="1">
      <alignment horizontal="center" vertical="center" wrapText="1"/>
    </xf>
    <xf numFmtId="2" fontId="12" fillId="9" borderId="0" xfId="0" applyNumberFormat="1" applyFont="1" applyFill="1" applyBorder="1" applyAlignment="1">
      <alignment horizontal="left" vertical="center" wrapText="1"/>
    </xf>
    <xf numFmtId="0" fontId="12" fillId="9" borderId="0" xfId="0" applyNumberFormat="1" applyFont="1" applyFill="1" applyBorder="1" applyAlignment="1">
      <alignment horizontal="center" vertical="center" wrapText="1"/>
    </xf>
    <xf numFmtId="164" fontId="12" fillId="9" borderId="0" xfId="1" applyFont="1" applyFill="1" applyBorder="1" applyAlignment="1">
      <alignment horizontal="center" vertical="center" wrapText="1"/>
    </xf>
    <xf numFmtId="2" fontId="12" fillId="9" borderId="0" xfId="0" applyNumberFormat="1" applyFont="1" applyFill="1" applyBorder="1" applyAlignment="1">
      <alignment horizontal="center" vertical="center" wrapText="1"/>
    </xf>
    <xf numFmtId="2" fontId="12" fillId="10" borderId="0" xfId="0" applyNumberFormat="1" applyFont="1" applyFill="1" applyBorder="1" applyAlignment="1">
      <alignment horizontal="left" vertical="center" wrapText="1"/>
    </xf>
    <xf numFmtId="0" fontId="12" fillId="10" borderId="0" xfId="0" applyNumberFormat="1" applyFont="1" applyFill="1" applyBorder="1" applyAlignment="1">
      <alignment horizontal="center" vertical="center" wrapText="1"/>
    </xf>
    <xf numFmtId="164" fontId="12" fillId="10" borderId="0" xfId="1" applyFont="1" applyFill="1" applyBorder="1" applyAlignment="1">
      <alignment horizontal="center" vertical="center" wrapText="1"/>
    </xf>
    <xf numFmtId="2" fontId="12" fillId="11" borderId="0" xfId="0" applyNumberFormat="1" applyFont="1" applyFill="1" applyBorder="1" applyAlignment="1">
      <alignment horizontal="left" vertical="center" wrapText="1"/>
    </xf>
    <xf numFmtId="0" fontId="12" fillId="11" borderId="0" xfId="0" applyNumberFormat="1" applyFont="1" applyFill="1" applyBorder="1" applyAlignment="1">
      <alignment horizontal="center" vertical="center" wrapText="1"/>
    </xf>
    <xf numFmtId="164" fontId="12" fillId="11" borderId="0" xfId="1" applyFont="1" applyFill="1" applyBorder="1" applyAlignment="1">
      <alignment horizontal="center" vertical="center" wrapText="1"/>
    </xf>
    <xf numFmtId="2" fontId="12" fillId="11" borderId="0" xfId="0" applyNumberFormat="1" applyFont="1" applyFill="1" applyBorder="1" applyAlignment="1">
      <alignment horizontal="center" vertical="center" wrapText="1"/>
    </xf>
    <xf numFmtId="2" fontId="12" fillId="12" borderId="0" xfId="0" applyNumberFormat="1" applyFont="1" applyFill="1" applyBorder="1" applyAlignment="1">
      <alignment horizontal="left" vertical="center" wrapText="1"/>
    </xf>
    <xf numFmtId="0" fontId="12" fillId="12" borderId="0" xfId="0" applyNumberFormat="1" applyFont="1" applyFill="1" applyBorder="1" applyAlignment="1">
      <alignment horizontal="center" vertical="center" wrapText="1"/>
    </xf>
    <xf numFmtId="164" fontId="12" fillId="12" borderId="0" xfId="1" applyFont="1" applyFill="1" applyBorder="1" applyAlignment="1">
      <alignment horizontal="center" vertical="center" wrapText="1"/>
    </xf>
    <xf numFmtId="2" fontId="12" fillId="12" borderId="0" xfId="0" applyNumberFormat="1" applyFont="1" applyFill="1" applyBorder="1" applyAlignment="1">
      <alignment horizontal="center" vertical="center" wrapText="1"/>
    </xf>
    <xf numFmtId="2" fontId="12" fillId="13" borderId="0" xfId="0" applyNumberFormat="1" applyFont="1" applyFill="1" applyBorder="1" applyAlignment="1">
      <alignment horizontal="left" vertical="center" wrapText="1"/>
    </xf>
    <xf numFmtId="0" fontId="12" fillId="13" borderId="0" xfId="0" applyNumberFormat="1" applyFont="1" applyFill="1" applyBorder="1" applyAlignment="1">
      <alignment horizontal="center" vertical="center" wrapText="1"/>
    </xf>
    <xf numFmtId="164" fontId="12" fillId="13" borderId="0" xfId="1" applyFont="1" applyFill="1" applyBorder="1" applyAlignment="1">
      <alignment horizontal="center" vertical="center" wrapText="1"/>
    </xf>
    <xf numFmtId="2" fontId="12" fillId="14" borderId="0" xfId="0" applyNumberFormat="1" applyFont="1" applyFill="1" applyBorder="1" applyAlignment="1">
      <alignment horizontal="left" vertical="center" wrapText="1"/>
    </xf>
    <xf numFmtId="0" fontId="12" fillId="14" borderId="0" xfId="0" applyNumberFormat="1" applyFont="1" applyFill="1" applyBorder="1" applyAlignment="1">
      <alignment horizontal="center" vertical="center" wrapText="1"/>
    </xf>
    <xf numFmtId="164" fontId="12" fillId="14" borderId="0" xfId="1" applyFont="1" applyFill="1" applyBorder="1" applyAlignment="1">
      <alignment horizontal="center" vertical="center" wrapText="1"/>
    </xf>
    <xf numFmtId="2" fontId="12" fillId="14" borderId="0" xfId="0" applyNumberFormat="1" applyFont="1" applyFill="1" applyBorder="1" applyAlignment="1">
      <alignment horizontal="center" vertical="center" wrapText="1"/>
    </xf>
    <xf numFmtId="2" fontId="12" fillId="27" borderId="0" xfId="0" applyNumberFormat="1" applyFont="1" applyFill="1" applyBorder="1" applyAlignment="1">
      <alignment horizontal="left" vertical="center" wrapText="1"/>
    </xf>
    <xf numFmtId="0" fontId="12" fillId="27" borderId="0" xfId="0" applyNumberFormat="1" applyFont="1" applyFill="1" applyBorder="1" applyAlignment="1">
      <alignment horizontal="center" vertical="center" wrapText="1"/>
    </xf>
    <xf numFmtId="164" fontId="12" fillId="27" borderId="0" xfId="1" applyFont="1" applyFill="1" applyBorder="1" applyAlignment="1">
      <alignment horizontal="center" vertical="center" wrapText="1"/>
    </xf>
    <xf numFmtId="2" fontId="12" fillId="28" borderId="0" xfId="0" applyNumberFormat="1" applyFont="1" applyFill="1" applyBorder="1" applyAlignment="1">
      <alignment horizontal="left" vertical="center" wrapText="1"/>
    </xf>
    <xf numFmtId="0" fontId="12" fillId="28" borderId="0" xfId="0" applyNumberFormat="1" applyFont="1" applyFill="1" applyBorder="1" applyAlignment="1">
      <alignment horizontal="center" vertical="center" wrapText="1"/>
    </xf>
    <xf numFmtId="164" fontId="12" fillId="28" borderId="0" xfId="1" applyFont="1" applyFill="1" applyBorder="1" applyAlignment="1">
      <alignment horizontal="center" vertical="center" wrapText="1"/>
    </xf>
    <xf numFmtId="2" fontId="12" fillId="28" borderId="0" xfId="0" applyNumberFormat="1" applyFont="1" applyFill="1" applyBorder="1" applyAlignment="1">
      <alignment horizontal="center" vertical="center" wrapText="1"/>
    </xf>
    <xf numFmtId="2" fontId="12" fillId="17" borderId="0" xfId="0" applyNumberFormat="1" applyFont="1" applyFill="1" applyBorder="1" applyAlignment="1">
      <alignment horizontal="left" vertical="center" wrapText="1"/>
    </xf>
    <xf numFmtId="0" fontId="12" fillId="17" borderId="0" xfId="0" applyNumberFormat="1" applyFont="1" applyFill="1" applyBorder="1" applyAlignment="1">
      <alignment horizontal="center" vertical="center" wrapText="1"/>
    </xf>
    <xf numFmtId="164" fontId="12" fillId="17" borderId="0" xfId="1" applyFont="1" applyFill="1" applyBorder="1" applyAlignment="1">
      <alignment horizontal="center" vertical="center" wrapText="1"/>
    </xf>
    <xf numFmtId="164" fontId="11" fillId="24" borderId="0" xfId="1" applyFont="1" applyFill="1" applyAlignment="1">
      <alignment vertical="center"/>
    </xf>
    <xf numFmtId="164" fontId="11" fillId="24" borderId="0" xfId="1" applyFont="1" applyFill="1" applyAlignment="1">
      <alignment horizontal="center" vertical="center"/>
    </xf>
    <xf numFmtId="2" fontId="11" fillId="24" borderId="0" xfId="0" applyNumberFormat="1" applyFont="1" applyFill="1" applyAlignment="1">
      <alignment horizontal="center" vertical="center"/>
    </xf>
    <xf numFmtId="164" fontId="11" fillId="25" borderId="0" xfId="1" applyFont="1" applyFill="1" applyAlignment="1">
      <alignment vertical="center"/>
    </xf>
    <xf numFmtId="165" fontId="11" fillId="24" borderId="0" xfId="0" applyNumberFormat="1" applyFont="1" applyFill="1" applyAlignment="1">
      <alignment horizontal="center" vertical="center" wrapText="1"/>
    </xf>
    <xf numFmtId="0" fontId="12" fillId="21" borderId="0" xfId="0" applyNumberFormat="1" applyFont="1" applyFill="1" applyBorder="1" applyAlignment="1">
      <alignment horizontal="center" vertical="center" wrapText="1"/>
    </xf>
    <xf numFmtId="164" fontId="12" fillId="21" borderId="0" xfId="1" applyFont="1" applyFill="1" applyBorder="1" applyAlignment="1">
      <alignment horizontal="center" vertical="center" wrapText="1"/>
    </xf>
    <xf numFmtId="2" fontId="12" fillId="21" borderId="0" xfId="0" applyNumberFormat="1" applyFont="1" applyFill="1" applyBorder="1" applyAlignment="1">
      <alignment horizontal="center" vertical="center" wrapText="1"/>
    </xf>
    <xf numFmtId="167" fontId="12" fillId="21" borderId="0" xfId="1" applyNumberFormat="1" applyFont="1" applyFill="1" applyBorder="1" applyAlignment="1">
      <alignment horizontal="center" vertical="center"/>
    </xf>
    <xf numFmtId="2" fontId="12" fillId="3" borderId="0" xfId="1" applyNumberFormat="1" applyFont="1" applyFill="1" applyBorder="1" applyAlignment="1">
      <alignment horizontal="center" vertical="center"/>
    </xf>
    <xf numFmtId="2" fontId="12" fillId="21" borderId="0" xfId="1" applyNumberFormat="1" applyFont="1" applyFill="1" applyBorder="1" applyAlignment="1">
      <alignment horizontal="center" vertical="center" wrapText="1"/>
    </xf>
    <xf numFmtId="2" fontId="12" fillId="21" borderId="0" xfId="1" applyNumberFormat="1" applyFont="1" applyFill="1" applyBorder="1" applyAlignment="1">
      <alignment horizontal="center" vertical="center"/>
    </xf>
    <xf numFmtId="2" fontId="12" fillId="8" borderId="0" xfId="1" applyNumberFormat="1" applyFont="1" applyFill="1" applyBorder="1" applyAlignment="1">
      <alignment horizontal="center" vertical="center"/>
    </xf>
    <xf numFmtId="2" fontId="12" fillId="9" borderId="0" xfId="1" applyNumberFormat="1" applyFont="1" applyFill="1" applyBorder="1" applyAlignment="1">
      <alignment horizontal="center" vertical="center"/>
    </xf>
    <xf numFmtId="2" fontId="12" fillId="11" borderId="0" xfId="1" applyNumberFormat="1" applyFont="1" applyFill="1" applyBorder="1" applyAlignment="1">
      <alignment horizontal="center" vertical="center"/>
    </xf>
    <xf numFmtId="2" fontId="12" fillId="12" borderId="0" xfId="1" applyNumberFormat="1" applyFont="1" applyFill="1" applyBorder="1" applyAlignment="1">
      <alignment horizontal="center" vertical="center"/>
    </xf>
    <xf numFmtId="2" fontId="12" fillId="14" borderId="0" xfId="1" applyNumberFormat="1" applyFont="1" applyFill="1" applyBorder="1" applyAlignment="1">
      <alignment horizontal="center" vertical="center"/>
    </xf>
    <xf numFmtId="2" fontId="12" fillId="28" borderId="0" xfId="1" applyNumberFormat="1" applyFont="1" applyFill="1" applyBorder="1" applyAlignment="1">
      <alignment horizontal="center" vertical="center"/>
    </xf>
    <xf numFmtId="2" fontId="12" fillId="17" borderId="0" xfId="1" applyNumberFormat="1" applyFont="1" applyFill="1" applyBorder="1" applyAlignment="1">
      <alignment horizontal="center" vertical="center"/>
    </xf>
    <xf numFmtId="2" fontId="11" fillId="24" borderId="0" xfId="1" applyNumberFormat="1" applyFont="1" applyFill="1" applyAlignment="1">
      <alignment horizontal="center" vertical="center"/>
    </xf>
    <xf numFmtId="2" fontId="12" fillId="4" borderId="0" xfId="1" applyNumberFormat="1" applyFont="1" applyFill="1" applyBorder="1" applyAlignment="1">
      <alignment horizontal="center" vertical="center" wrapText="1"/>
    </xf>
    <xf numFmtId="2" fontId="12" fillId="5" borderId="0" xfId="1" applyNumberFormat="1" applyFont="1" applyFill="1" applyBorder="1" applyAlignment="1">
      <alignment horizontal="center" vertical="center"/>
    </xf>
    <xf numFmtId="2" fontId="12" fillId="6" borderId="0" xfId="1" applyNumberFormat="1" applyFont="1" applyFill="1" applyBorder="1" applyAlignment="1">
      <alignment horizontal="center" vertical="center" wrapText="1"/>
    </xf>
    <xf numFmtId="2" fontId="12" fillId="7" borderId="0" xfId="1" applyNumberFormat="1" applyFont="1" applyFill="1" applyBorder="1" applyAlignment="1">
      <alignment horizontal="center" vertical="center"/>
    </xf>
    <xf numFmtId="2" fontId="12" fillId="10" borderId="0" xfId="1" applyNumberFormat="1" applyFont="1" applyFill="1" applyBorder="1" applyAlignment="1">
      <alignment horizontal="center" vertical="center"/>
    </xf>
    <xf numFmtId="2" fontId="12" fillId="13" borderId="0" xfId="1" applyNumberFormat="1" applyFont="1" applyFill="1" applyBorder="1" applyAlignment="1">
      <alignment horizontal="center" vertical="center"/>
    </xf>
    <xf numFmtId="2" fontId="12" fillId="27" borderId="0" xfId="1" applyNumberFormat="1" applyFont="1" applyFill="1" applyBorder="1" applyAlignment="1">
      <alignment horizontal="center" vertical="center"/>
    </xf>
    <xf numFmtId="167" fontId="12" fillId="3" borderId="0" xfId="1" applyNumberFormat="1" applyFont="1" applyFill="1" applyBorder="1" applyAlignment="1">
      <alignment horizontal="center" vertical="center" wrapText="1"/>
    </xf>
    <xf numFmtId="167" fontId="12" fillId="21" borderId="0" xfId="1" applyNumberFormat="1" applyFont="1" applyFill="1" applyBorder="1" applyAlignment="1">
      <alignment horizontal="center" vertical="center" wrapText="1"/>
    </xf>
    <xf numFmtId="167" fontId="12" fillId="8" borderId="0" xfId="1" applyNumberFormat="1" applyFont="1" applyFill="1" applyBorder="1" applyAlignment="1">
      <alignment horizontal="center" vertical="center" wrapText="1"/>
    </xf>
    <xf numFmtId="167" fontId="12" fillId="9" borderId="0" xfId="1" applyNumberFormat="1" applyFont="1" applyFill="1" applyBorder="1" applyAlignment="1">
      <alignment horizontal="center" vertical="center" wrapText="1"/>
    </xf>
    <xf numFmtId="167" fontId="12" fillId="11" borderId="0" xfId="1" applyNumberFormat="1" applyFont="1" applyFill="1" applyBorder="1" applyAlignment="1">
      <alignment horizontal="center" vertical="center" wrapText="1"/>
    </xf>
    <xf numFmtId="167" fontId="12" fillId="12" borderId="0" xfId="1" applyNumberFormat="1" applyFont="1" applyFill="1" applyBorder="1" applyAlignment="1">
      <alignment horizontal="center" vertical="center" wrapText="1"/>
    </xf>
    <xf numFmtId="167" fontId="12" fillId="14" borderId="0" xfId="1" applyNumberFormat="1" applyFont="1" applyFill="1" applyBorder="1" applyAlignment="1">
      <alignment horizontal="center" vertical="center" wrapText="1"/>
    </xf>
    <xf numFmtId="167" fontId="12" fillId="28" borderId="0" xfId="1" applyNumberFormat="1" applyFont="1" applyFill="1" applyBorder="1" applyAlignment="1">
      <alignment horizontal="center" vertical="center" wrapText="1"/>
    </xf>
    <xf numFmtId="167" fontId="12" fillId="17" borderId="0" xfId="1" applyNumberFormat="1" applyFont="1" applyFill="1" applyBorder="1" applyAlignment="1">
      <alignment horizontal="center" vertical="center" wrapText="1"/>
    </xf>
    <xf numFmtId="167" fontId="11" fillId="24" borderId="0" xfId="1" applyNumberFormat="1" applyFont="1" applyFill="1" applyAlignment="1">
      <alignment horizontal="center" vertical="center"/>
    </xf>
    <xf numFmtId="167" fontId="12" fillId="26" borderId="0" xfId="1" applyNumberFormat="1" applyFont="1" applyFill="1" applyBorder="1" applyAlignment="1">
      <alignment horizontal="center" vertical="center" wrapText="1"/>
    </xf>
    <xf numFmtId="0" fontId="0" fillId="26" borderId="0" xfId="0" applyFill="1"/>
    <xf numFmtId="167" fontId="12" fillId="4" borderId="0" xfId="1" applyNumberFormat="1" applyFont="1" applyFill="1" applyBorder="1" applyAlignment="1">
      <alignment horizontal="center" vertical="center" wrapText="1"/>
    </xf>
    <xf numFmtId="167" fontId="12" fillId="5" borderId="0" xfId="1" applyNumberFormat="1" applyFont="1" applyFill="1" applyBorder="1" applyAlignment="1">
      <alignment horizontal="center" vertical="center"/>
    </xf>
    <xf numFmtId="167" fontId="12" fillId="6" borderId="0" xfId="1" applyNumberFormat="1" applyFont="1" applyFill="1" applyBorder="1" applyAlignment="1">
      <alignment horizontal="center" vertical="center" wrapText="1"/>
    </xf>
    <xf numFmtId="167" fontId="12" fillId="7" borderId="0" xfId="1" applyNumberFormat="1" applyFont="1" applyFill="1" applyBorder="1" applyAlignment="1">
      <alignment horizontal="center" vertical="center"/>
    </xf>
    <xf numFmtId="167" fontId="12" fillId="9" borderId="0" xfId="1" applyNumberFormat="1" applyFont="1" applyFill="1" applyBorder="1" applyAlignment="1">
      <alignment horizontal="center" vertical="center"/>
    </xf>
    <xf numFmtId="167" fontId="12" fillId="10" borderId="0" xfId="1" applyNumberFormat="1" applyFont="1" applyFill="1" applyBorder="1" applyAlignment="1">
      <alignment horizontal="center" vertical="center"/>
    </xf>
    <xf numFmtId="167" fontId="12" fillId="11" borderId="0" xfId="1" applyNumberFormat="1" applyFont="1" applyFill="1" applyBorder="1" applyAlignment="1">
      <alignment horizontal="center" vertical="center"/>
    </xf>
    <xf numFmtId="167" fontId="12" fillId="12" borderId="0" xfId="1" applyNumberFormat="1" applyFont="1" applyFill="1" applyBorder="1" applyAlignment="1">
      <alignment horizontal="center" vertical="center"/>
    </xf>
    <xf numFmtId="167" fontId="12" fillId="13" borderId="0" xfId="1" applyNumberFormat="1" applyFont="1" applyFill="1" applyBorder="1" applyAlignment="1">
      <alignment horizontal="center" vertical="center"/>
    </xf>
    <xf numFmtId="167" fontId="12" fillId="14" borderId="0" xfId="1" applyNumberFormat="1" applyFont="1" applyFill="1" applyBorder="1" applyAlignment="1">
      <alignment horizontal="center" vertical="center"/>
    </xf>
    <xf numFmtId="167" fontId="12" fillId="27" borderId="0" xfId="1" applyNumberFormat="1" applyFont="1" applyFill="1" applyBorder="1" applyAlignment="1">
      <alignment horizontal="center" vertical="center"/>
    </xf>
    <xf numFmtId="167" fontId="12" fillId="28" borderId="0" xfId="1" applyNumberFormat="1" applyFont="1" applyFill="1" applyBorder="1" applyAlignment="1">
      <alignment horizontal="center" vertical="center"/>
    </xf>
    <xf numFmtId="167" fontId="12" fillId="17" borderId="0" xfId="1" applyNumberFormat="1" applyFont="1" applyFill="1" applyBorder="1" applyAlignment="1">
      <alignment horizontal="center" vertical="center"/>
    </xf>
    <xf numFmtId="20" fontId="0" fillId="22" borderId="2" xfId="0" applyNumberFormat="1" applyFill="1" applyBorder="1" applyAlignment="1" applyProtection="1">
      <alignment horizontal="center" shrinkToFit="1"/>
    </xf>
    <xf numFmtId="0" fontId="0" fillId="18" borderId="2" xfId="0" applyFill="1" applyBorder="1" applyAlignment="1" applyProtection="1">
      <alignment shrinkToFit="1"/>
      <protection locked="0"/>
    </xf>
    <xf numFmtId="167" fontId="11" fillId="25" borderId="0" xfId="1" applyNumberFormat="1" applyFont="1" applyFill="1" applyAlignment="1">
      <alignment horizontal="center" vertical="center"/>
    </xf>
    <xf numFmtId="2" fontId="12" fillId="26" borderId="0" xfId="1" applyNumberFormat="1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6" fillId="30" borderId="13" xfId="0" applyFont="1" applyFill="1" applyBorder="1"/>
    <xf numFmtId="168" fontId="6" fillId="30" borderId="13" xfId="0" applyNumberFormat="1" applyFont="1" applyFill="1" applyBorder="1"/>
    <xf numFmtId="168" fontId="0" fillId="0" borderId="0" xfId="0" applyNumberFormat="1"/>
    <xf numFmtId="168" fontId="0" fillId="31" borderId="1" xfId="0" applyNumberFormat="1" applyFill="1" applyBorder="1"/>
    <xf numFmtId="168" fontId="0" fillId="31" borderId="8" xfId="0" applyNumberFormat="1" applyFill="1" applyBorder="1"/>
    <xf numFmtId="168" fontId="14" fillId="31" borderId="6" xfId="0" applyNumberFormat="1" applyFont="1" applyFill="1" applyBorder="1"/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68" fontId="14" fillId="0" borderId="6" xfId="0" applyNumberFormat="1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" xfId="0" applyBorder="1" applyProtection="1">
      <protection locked="0"/>
    </xf>
    <xf numFmtId="168" fontId="0" fillId="0" borderId="1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168" fontId="0" fillId="0" borderId="8" xfId="0" applyNumberFormat="1" applyBorder="1" applyProtection="1">
      <protection locked="0"/>
    </xf>
    <xf numFmtId="0" fontId="6" fillId="30" borderId="15" xfId="0" applyFont="1" applyFill="1" applyBorder="1"/>
    <xf numFmtId="168" fontId="14" fillId="31" borderId="9" xfId="0" applyNumberFormat="1" applyFont="1" applyFill="1" applyBorder="1"/>
    <xf numFmtId="168" fontId="0" fillId="31" borderId="16" xfId="0" applyNumberFormat="1" applyFill="1" applyBorder="1"/>
    <xf numFmtId="168" fontId="0" fillId="31" borderId="17" xfId="0" applyNumberFormat="1" applyFill="1" applyBorder="1"/>
    <xf numFmtId="0" fontId="6" fillId="30" borderId="18" xfId="0" applyFont="1" applyFill="1" applyBorder="1" applyAlignment="1">
      <alignment vertical="center"/>
    </xf>
    <xf numFmtId="0" fontId="6" fillId="30" borderId="19" xfId="0" applyFont="1" applyFill="1" applyBorder="1" applyAlignment="1">
      <alignment vertical="center"/>
    </xf>
    <xf numFmtId="168" fontId="0" fillId="31" borderId="19" xfId="0" applyNumberFormat="1" applyFill="1" applyBorder="1"/>
    <xf numFmtId="168" fontId="0" fillId="31" borderId="20" xfId="0" applyNumberFormat="1" applyFill="1" applyBorder="1"/>
    <xf numFmtId="0" fontId="6" fillId="0" borderId="0" xfId="0" applyFont="1"/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shrinkToFit="1"/>
      <protection locked="0"/>
    </xf>
    <xf numFmtId="0" fontId="0" fillId="22" borderId="2" xfId="0" applyFill="1" applyBorder="1" applyAlignment="1" applyProtection="1">
      <alignment horizontal="center"/>
    </xf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shrinkToFit="1"/>
      <protection locked="0"/>
    </xf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shrinkToFit="1"/>
      <protection locked="0"/>
    </xf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shrinkToFit="1"/>
      <protection locked="0"/>
    </xf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shrinkToFit="1"/>
      <protection locked="0"/>
    </xf>
    <xf numFmtId="20" fontId="1" fillId="0" borderId="0" xfId="0" applyNumberFormat="1" applyFont="1" applyFill="1" applyBorder="1" applyAlignment="1" applyProtection="1"/>
    <xf numFmtId="0" fontId="0" fillId="22" borderId="2" xfId="0" applyFill="1" applyBorder="1" applyAlignment="1" applyProtection="1">
      <alignment horizontal="center"/>
    </xf>
    <xf numFmtId="20" fontId="0" fillId="22" borderId="2" xfId="0" applyNumberFormat="1" applyFill="1" applyBorder="1" applyAlignment="1" applyProtection="1">
      <alignment horizontal="center"/>
    </xf>
    <xf numFmtId="0" fontId="0" fillId="18" borderId="2" xfId="0" applyFill="1" applyBorder="1" applyAlignment="1" applyProtection="1">
      <alignment horizontal="center"/>
      <protection locked="0"/>
    </xf>
    <xf numFmtId="49" fontId="0" fillId="18" borderId="2" xfId="0" applyNumberFormat="1" applyFill="1" applyBorder="1" applyAlignment="1" applyProtection="1">
      <alignment horizontal="center"/>
      <protection locked="0"/>
    </xf>
    <xf numFmtId="20" fontId="0" fillId="22" borderId="2" xfId="0" applyNumberFormat="1" applyFill="1" applyBorder="1" applyAlignment="1" applyProtection="1">
      <alignment horizontal="center" shrinkToFit="1"/>
    </xf>
    <xf numFmtId="0" fontId="0" fillId="18" borderId="2" xfId="0" applyFill="1" applyBorder="1" applyAlignment="1" applyProtection="1">
      <alignment shrinkToFit="1"/>
      <protection locked="0"/>
    </xf>
    <xf numFmtId="20" fontId="0" fillId="22" borderId="2" xfId="0" applyNumberFormat="1" applyFill="1" applyBorder="1" applyAlignment="1" applyProtection="1">
      <alignment horizontal="center"/>
      <protection locked="0"/>
    </xf>
    <xf numFmtId="0" fontId="0" fillId="22" borderId="2" xfId="0" applyFill="1" applyBorder="1" applyAlignment="1" applyProtection="1">
      <alignment horizontal="center"/>
      <protection locked="0"/>
    </xf>
    <xf numFmtId="0" fontId="0" fillId="33" borderId="0" xfId="0" applyFill="1"/>
    <xf numFmtId="167" fontId="0" fillId="0" borderId="0" xfId="0" applyNumberFormat="1"/>
    <xf numFmtId="0" fontId="16" fillId="32" borderId="0" xfId="0" applyFont="1" applyFill="1"/>
    <xf numFmtId="0" fontId="17" fillId="0" borderId="0" xfId="0" applyFont="1"/>
    <xf numFmtId="0" fontId="0" fillId="34" borderId="0" xfId="0" applyFill="1"/>
    <xf numFmtId="0" fontId="6" fillId="0" borderId="21" xfId="0" applyFont="1" applyBorder="1"/>
    <xf numFmtId="0" fontId="0" fillId="0" borderId="0" xfId="0" applyAlignment="1"/>
    <xf numFmtId="0" fontId="0" fillId="0" borderId="13" xfId="0" applyBorder="1" applyAlignment="1">
      <alignment horizontal="center" vertical="center"/>
    </xf>
    <xf numFmtId="2" fontId="3" fillId="3" borderId="1" xfId="0" applyNumberFormat="1" applyFont="1" applyFill="1" applyBorder="1" applyAlignment="1" applyProtection="1">
      <alignment horizontal="left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3" fillId="4" borderId="1" xfId="0" applyNumberFormat="1" applyFont="1" applyFill="1" applyBorder="1" applyAlignment="1" applyProtection="1">
      <alignment horizontal="left" vertical="center"/>
    </xf>
    <xf numFmtId="2" fontId="3" fillId="4" borderId="1" xfId="0" applyNumberFormat="1" applyFont="1" applyFill="1" applyBorder="1" applyAlignment="1" applyProtection="1">
      <alignment horizontal="center" vertical="center"/>
    </xf>
    <xf numFmtId="2" fontId="3" fillId="5" borderId="1" xfId="0" applyNumberFormat="1" applyFont="1" applyFill="1" applyBorder="1" applyAlignment="1" applyProtection="1">
      <alignment horizontal="left" vertical="center"/>
    </xf>
    <xf numFmtId="2" fontId="3" fillId="5" borderId="1" xfId="0" applyNumberFormat="1" applyFont="1" applyFill="1" applyBorder="1" applyAlignment="1" applyProtection="1">
      <alignment horizontal="center" vertical="center"/>
    </xf>
    <xf numFmtId="2" fontId="3" fillId="6" borderId="1" xfId="0" applyNumberFormat="1" applyFont="1" applyFill="1" applyBorder="1" applyAlignment="1" applyProtection="1">
      <alignment horizontal="left" vertical="center"/>
    </xf>
    <xf numFmtId="2" fontId="3" fillId="6" borderId="1" xfId="0" applyNumberFormat="1" applyFont="1" applyFill="1" applyBorder="1" applyAlignment="1" applyProtection="1">
      <alignment horizontal="center" vertical="center"/>
    </xf>
    <xf numFmtId="2" fontId="3" fillId="7" borderId="1" xfId="0" applyNumberFormat="1" applyFont="1" applyFill="1" applyBorder="1" applyAlignment="1" applyProtection="1">
      <alignment horizontal="left" vertical="center"/>
    </xf>
    <xf numFmtId="2" fontId="3" fillId="7" borderId="1" xfId="0" applyNumberFormat="1" applyFont="1" applyFill="1" applyBorder="1" applyAlignment="1" applyProtection="1">
      <alignment horizontal="center" vertical="center"/>
    </xf>
    <xf numFmtId="2" fontId="3" fillId="8" borderId="1" xfId="0" applyNumberFormat="1" applyFont="1" applyFill="1" applyBorder="1" applyAlignment="1" applyProtection="1">
      <alignment horizontal="left" vertical="center"/>
    </xf>
    <xf numFmtId="2" fontId="3" fillId="8" borderId="1" xfId="0" applyNumberFormat="1" applyFont="1" applyFill="1" applyBorder="1" applyAlignment="1" applyProtection="1">
      <alignment horizontal="center" vertical="center"/>
    </xf>
    <xf numFmtId="2" fontId="3" fillId="9" borderId="1" xfId="0" applyNumberFormat="1" applyFont="1" applyFill="1" applyBorder="1" applyAlignment="1" applyProtection="1">
      <alignment horizontal="left" vertical="center"/>
    </xf>
    <xf numFmtId="2" fontId="3" fillId="9" borderId="1" xfId="0" applyNumberFormat="1" applyFont="1" applyFill="1" applyBorder="1" applyAlignment="1" applyProtection="1">
      <alignment horizontal="center" vertical="center"/>
    </xf>
    <xf numFmtId="2" fontId="3" fillId="10" borderId="1" xfId="0" applyNumberFormat="1" applyFont="1" applyFill="1" applyBorder="1" applyAlignment="1" applyProtection="1">
      <alignment horizontal="left" vertical="center"/>
    </xf>
    <xf numFmtId="2" fontId="3" fillId="10" borderId="1" xfId="0" applyNumberFormat="1" applyFont="1" applyFill="1" applyBorder="1" applyAlignment="1" applyProtection="1">
      <alignment horizontal="center" vertical="center"/>
    </xf>
    <xf numFmtId="2" fontId="3" fillId="11" borderId="1" xfId="0" applyNumberFormat="1" applyFont="1" applyFill="1" applyBorder="1" applyAlignment="1" applyProtection="1">
      <alignment horizontal="left" vertical="center"/>
    </xf>
    <xf numFmtId="2" fontId="3" fillId="11" borderId="1" xfId="0" applyNumberFormat="1" applyFont="1" applyFill="1" applyBorder="1" applyAlignment="1" applyProtection="1">
      <alignment horizontal="center" vertical="center"/>
    </xf>
    <xf numFmtId="2" fontId="3" fillId="12" borderId="1" xfId="0" applyNumberFormat="1" applyFont="1" applyFill="1" applyBorder="1" applyAlignment="1" applyProtection="1">
      <alignment horizontal="left" vertical="center"/>
    </xf>
    <xf numFmtId="2" fontId="3" fillId="12" borderId="1" xfId="0" applyNumberFormat="1" applyFont="1" applyFill="1" applyBorder="1" applyAlignment="1" applyProtection="1">
      <alignment horizontal="center" vertical="center"/>
    </xf>
    <xf numFmtId="2" fontId="3" fillId="13" borderId="1" xfId="0" applyNumberFormat="1" applyFont="1" applyFill="1" applyBorder="1" applyAlignment="1" applyProtection="1">
      <alignment horizontal="left" vertical="center"/>
    </xf>
    <xf numFmtId="2" fontId="3" fillId="13" borderId="1" xfId="0" applyNumberFormat="1" applyFont="1" applyFill="1" applyBorder="1" applyAlignment="1" applyProtection="1">
      <alignment horizontal="center" vertical="center"/>
    </xf>
    <xf numFmtId="2" fontId="3" fillId="14" borderId="1" xfId="0" applyNumberFormat="1" applyFont="1" applyFill="1" applyBorder="1" applyAlignment="1" applyProtection="1">
      <alignment horizontal="left" vertical="center"/>
    </xf>
    <xf numFmtId="2" fontId="3" fillId="14" borderId="1" xfId="0" applyNumberFormat="1" applyFont="1" applyFill="1" applyBorder="1" applyAlignment="1" applyProtection="1">
      <alignment horizontal="center" vertical="center"/>
    </xf>
    <xf numFmtId="2" fontId="3" fillId="15" borderId="1" xfId="0" applyNumberFormat="1" applyFont="1" applyFill="1" applyBorder="1" applyAlignment="1" applyProtection="1">
      <alignment horizontal="left" vertical="center"/>
    </xf>
    <xf numFmtId="2" fontId="3" fillId="15" borderId="1" xfId="0" applyNumberFormat="1" applyFont="1" applyFill="1" applyBorder="1" applyAlignment="1" applyProtection="1">
      <alignment horizontal="center" vertical="center"/>
    </xf>
    <xf numFmtId="2" fontId="3" fillId="16" borderId="1" xfId="0" applyNumberFormat="1" applyFont="1" applyFill="1" applyBorder="1" applyAlignment="1" applyProtection="1">
      <alignment horizontal="left" vertical="center"/>
    </xf>
    <xf numFmtId="2" fontId="3" fillId="16" borderId="1" xfId="0" applyNumberFormat="1" applyFont="1" applyFill="1" applyBorder="1" applyAlignment="1" applyProtection="1">
      <alignment horizontal="center" vertical="center"/>
    </xf>
    <xf numFmtId="2" fontId="3" fillId="17" borderId="1" xfId="0" applyNumberFormat="1" applyFont="1" applyFill="1" applyBorder="1" applyAlignment="1" applyProtection="1">
      <alignment horizontal="left" vertical="center"/>
    </xf>
    <xf numFmtId="2" fontId="3" fillId="17" borderId="1" xfId="0" applyNumberFormat="1" applyFont="1" applyFill="1" applyBorder="1" applyAlignment="1" applyProtection="1">
      <alignment horizontal="center" vertical="center"/>
    </xf>
    <xf numFmtId="16" fontId="0" fillId="0" borderId="13" xfId="0" applyNumberFormat="1" applyBorder="1" applyAlignment="1">
      <alignment horizontal="center" vertical="center"/>
    </xf>
    <xf numFmtId="2" fontId="0" fillId="0" borderId="1" xfId="0" applyNumberFormat="1" applyBorder="1"/>
    <xf numFmtId="0" fontId="13" fillId="22" borderId="0" xfId="1" quotePrefix="1" applyNumberFormat="1" applyFont="1" applyFill="1" applyAlignment="1" applyProtection="1">
      <alignment horizontal="center"/>
      <protection locked="0"/>
    </xf>
    <xf numFmtId="14" fontId="13" fillId="22" borderId="0" xfId="0" quotePrefix="1" applyNumberFormat="1" applyFont="1" applyFill="1" applyAlignment="1" applyProtection="1">
      <alignment horizontal="center"/>
      <protection locked="0"/>
    </xf>
    <xf numFmtId="14" fontId="13" fillId="22" borderId="0" xfId="0" quotePrefix="1" applyNumberFormat="1" applyFont="1" applyFill="1" applyAlignment="1" applyProtection="1">
      <alignment horizontal="center" vertical="center"/>
      <protection locked="0"/>
    </xf>
    <xf numFmtId="49" fontId="13" fillId="22" borderId="0" xfId="0" quotePrefix="1" applyNumberFormat="1" applyFont="1" applyFill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0" fillId="21" borderId="0" xfId="0" applyFill="1" applyBorder="1" applyAlignment="1" applyProtection="1">
      <alignment horizontal="center"/>
    </xf>
    <xf numFmtId="0" fontId="9" fillId="23" borderId="0" xfId="0" applyFont="1" applyFill="1" applyAlignment="1" applyProtection="1">
      <alignment horizontal="center" vertical="center"/>
      <protection locked="0"/>
    </xf>
    <xf numFmtId="0" fontId="5" fillId="3" borderId="0" xfId="0" applyNumberFormat="1" applyFont="1" applyFill="1" applyBorder="1" applyAlignment="1" applyProtection="1">
      <alignment horizontal="center" vertical="center" wrapText="1"/>
    </xf>
    <xf numFmtId="0" fontId="0" fillId="18" borderId="0" xfId="0" applyFill="1" applyBorder="1" applyAlignment="1" applyProtection="1">
      <alignment horizontal="center"/>
      <protection locked="0"/>
    </xf>
    <xf numFmtId="14" fontId="0" fillId="22" borderId="0" xfId="0" quotePrefix="1" applyNumberFormat="1" applyFill="1" applyAlignment="1" applyProtection="1">
      <alignment horizontal="center"/>
    </xf>
    <xf numFmtId="0" fontId="0" fillId="21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5" fillId="3" borderId="4" xfId="0" applyNumberFormat="1" applyFont="1" applyFill="1" applyBorder="1" applyAlignment="1" applyProtection="1">
      <alignment horizontal="center" vertical="center" wrapText="1"/>
    </xf>
    <xf numFmtId="0" fontId="6" fillId="30" borderId="5" xfId="0" applyFont="1" applyFill="1" applyBorder="1" applyAlignment="1">
      <alignment horizontal="center" vertical="center"/>
    </xf>
    <xf numFmtId="0" fontId="6" fillId="30" borderId="12" xfId="0" applyFont="1" applyFill="1" applyBorder="1" applyAlignment="1">
      <alignment horizontal="center" vertical="center"/>
    </xf>
    <xf numFmtId="0" fontId="6" fillId="30" borderId="6" xfId="0" applyFont="1" applyFill="1" applyBorder="1" applyAlignment="1">
      <alignment horizontal="center" vertical="center"/>
    </xf>
    <xf numFmtId="0" fontId="6" fillId="30" borderId="13" xfId="0" applyFont="1" applyFill="1" applyBorder="1" applyAlignment="1">
      <alignment horizontal="center" vertical="center"/>
    </xf>
    <xf numFmtId="0" fontId="6" fillId="30" borderId="9" xfId="0" applyFont="1" applyFill="1" applyBorder="1" applyAlignment="1">
      <alignment horizontal="center" vertical="center"/>
    </xf>
    <xf numFmtId="0" fontId="6" fillId="30" borderId="10" xfId="0" applyFont="1" applyFill="1" applyBorder="1" applyAlignment="1">
      <alignment horizontal="center" vertical="center"/>
    </xf>
    <xf numFmtId="0" fontId="6" fillId="30" borderId="1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11" fillId="29" borderId="0" xfId="0" applyNumberFormat="1" applyFont="1" applyFill="1" applyAlignment="1">
      <alignment horizontal="center" vertical="center"/>
    </xf>
    <xf numFmtId="0" fontId="16" fillId="32" borderId="0" xfId="0" applyFont="1" applyFill="1" applyAlignment="1">
      <alignment horizontal="center"/>
    </xf>
    <xf numFmtId="0" fontId="0" fillId="33" borderId="0" xfId="0" applyFill="1" applyAlignment="1">
      <alignment horizontal="left"/>
    </xf>
    <xf numFmtId="0" fontId="0" fillId="0" borderId="1" xfId="0" applyFill="1" applyBorder="1" applyAlignment="1">
      <alignment horizontal="center" vertical="center"/>
    </xf>
  </cellXfs>
  <cellStyles count="4">
    <cellStyle name="Comma" xfId="1" builtinId="3"/>
    <cellStyle name="Comma 2" xfId="2"/>
    <cellStyle name="Comma 2 2" xfId="3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00CC66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00CC66"/>
      <color rgb="FF00FF00"/>
      <color rgb="FF00BC55"/>
      <color rgb="FFFF7979"/>
      <color rgb="FFF08C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6" name="Rounded Rectangle 5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7" name="Rounded Rectangle 6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7</xdr:col>
      <xdr:colOff>394970</xdr:colOff>
      <xdr:row>1</xdr:row>
      <xdr:rowOff>241301</xdr:rowOff>
    </xdr:to>
    <xdr:sp macro="[0]!ProtectSheets" textlink="">
      <xdr:nvSpPr>
        <xdr:cNvPr id="2" name="Rounded Rectangle 1"/>
        <xdr:cNvSpPr/>
      </xdr:nvSpPr>
      <xdr:spPr>
        <a:xfrm>
          <a:off x="10372725" y="361951"/>
          <a:ext cx="1004570" cy="241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7</xdr:col>
      <xdr:colOff>607482</xdr:colOff>
      <xdr:row>1</xdr:row>
      <xdr:rowOff>0</xdr:rowOff>
    </xdr:from>
    <xdr:to>
      <xdr:col>9</xdr:col>
      <xdr:colOff>435185</xdr:colOff>
      <xdr:row>1</xdr:row>
      <xdr:rowOff>232833</xdr:rowOff>
    </xdr:to>
    <xdr:sp macro="[0]!UnProtectSheets" textlink="">
      <xdr:nvSpPr>
        <xdr:cNvPr id="3" name="Rounded Rectangle 2"/>
        <xdr:cNvSpPr/>
      </xdr:nvSpPr>
      <xdr:spPr>
        <a:xfrm>
          <a:off x="11589807" y="361950"/>
          <a:ext cx="1046903" cy="232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1855047" y="152400"/>
          <a:ext cx="1091353" cy="25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4" name="Rounded Rectangle 3"/>
        <xdr:cNvSpPr/>
      </xdr:nvSpPr>
      <xdr:spPr>
        <a:xfrm>
          <a:off x="3158912" y="152399"/>
          <a:ext cx="1091353" cy="2455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3" name="Rounded Rectangle 2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4" name="Rounded Rectangle 3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5" name="Rounded Rectangle 4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6" name="Rounded Rectangle 5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7" name="Rounded Rectangle 6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8" name="Rounded Rectangle 7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9" name="Rounded Rectangle 8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3" name="Rounded Rectangle 2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3" name="Rounded Rectangle 2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3" name="Rounded Rectangle 2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2" name="Rounded Rectangle 1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3" name="Rounded Rectangle 2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152400</xdr:rowOff>
    </xdr:from>
    <xdr:to>
      <xdr:col>3</xdr:col>
      <xdr:colOff>508000</xdr:colOff>
      <xdr:row>5</xdr:row>
      <xdr:rowOff>33867</xdr:rowOff>
    </xdr:to>
    <xdr:sp macro="[0]!ProtectSheets" textlink="">
      <xdr:nvSpPr>
        <xdr:cNvPr id="4" name="Rounded Rectangle 3"/>
        <xdr:cNvSpPr/>
      </xdr:nvSpPr>
      <xdr:spPr>
        <a:xfrm>
          <a:off x="2171700" y="723900"/>
          <a:ext cx="1026160" cy="2472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Protect</a:t>
          </a:r>
        </a:p>
      </xdr:txBody>
    </xdr:sp>
    <xdr:clientData/>
  </xdr:twoCellAnchor>
  <xdr:twoCellAnchor>
    <xdr:from>
      <xdr:col>3</xdr:col>
      <xdr:colOff>720512</xdr:colOff>
      <xdr:row>3</xdr:row>
      <xdr:rowOff>152399</xdr:rowOff>
    </xdr:from>
    <xdr:to>
      <xdr:col>4</xdr:col>
      <xdr:colOff>973665</xdr:colOff>
      <xdr:row>5</xdr:row>
      <xdr:rowOff>25399</xdr:rowOff>
    </xdr:to>
    <xdr:sp macro="[0]!UnProtectSheets" textlink="">
      <xdr:nvSpPr>
        <xdr:cNvPr id="5" name="Rounded Rectangle 4"/>
        <xdr:cNvSpPr/>
      </xdr:nvSpPr>
      <xdr:spPr>
        <a:xfrm>
          <a:off x="3410372" y="723899"/>
          <a:ext cx="1068493" cy="238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Unprotect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gency%20Payroll%20Template%20v2.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unday"/>
      <sheetName val="Monday"/>
      <sheetName val="Tuesday"/>
      <sheetName val="Wednesday"/>
      <sheetName val="Thursday"/>
      <sheetName val="Friday"/>
      <sheetName val="Saturday"/>
      <sheetName val="Summary"/>
      <sheetName val="Vanquish Input"/>
      <sheetName val="Vanquish Data"/>
      <sheetName val="Data"/>
      <sheetName val="Agency Rat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C2" t="str">
            <v>Staffline</v>
          </cell>
        </row>
        <row r="3">
          <cell r="C3" t="str">
            <v>24H</v>
          </cell>
        </row>
        <row r="4">
          <cell r="C4" t="str">
            <v>Turner Stubbs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fo">
    <tabColor theme="0" tint="-0.499984740745262"/>
  </sheetPr>
  <dimension ref="A3:B5"/>
  <sheetViews>
    <sheetView workbookViewId="0">
      <selection activeCell="B5" sqref="B5"/>
    </sheetView>
  </sheetViews>
  <sheetFormatPr defaultRowHeight="15" x14ac:dyDescent="0.25"/>
  <cols>
    <col min="1" max="1" width="16.28515625" customWidth="1"/>
    <col min="2" max="2" width="10.5703125" bestFit="1" customWidth="1"/>
  </cols>
  <sheetData>
    <row r="3" spans="1:2" x14ac:dyDescent="0.25">
      <c r="A3" t="s">
        <v>46</v>
      </c>
      <c r="B3" s="166" t="s">
        <v>60</v>
      </c>
    </row>
    <row r="5" spans="1:2" x14ac:dyDescent="0.25">
      <c r="A5" t="s">
        <v>48</v>
      </c>
      <c r="B5" s="49">
        <v>44555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Data!$C$2:$C$5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ndayReq"/>
  <dimension ref="A1:E54"/>
  <sheetViews>
    <sheetView zoomScale="80" zoomScaleNormal="80" workbookViewId="0">
      <selection activeCell="A3" sqref="A3:E10"/>
    </sheetView>
  </sheetViews>
  <sheetFormatPr defaultRowHeight="15" x14ac:dyDescent="0.25"/>
  <cols>
    <col min="1" max="1" width="29.28515625" customWidth="1"/>
    <col min="2" max="2" width="9.85546875" customWidth="1"/>
    <col min="3" max="3" width="11" customWidth="1"/>
    <col min="4" max="4" width="10" customWidth="1"/>
    <col min="5" max="5" width="29.28515625" customWidth="1"/>
  </cols>
  <sheetData>
    <row r="1" spans="1:5" ht="28.5" x14ac:dyDescent="0.45">
      <c r="A1" s="256" t="s">
        <v>130</v>
      </c>
      <c r="B1" s="256"/>
      <c r="C1" s="256"/>
      <c r="D1" s="256"/>
      <c r="E1" s="256"/>
    </row>
    <row r="2" spans="1:5" ht="45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x14ac:dyDescent="0.25">
      <c r="A3" s="30"/>
      <c r="B3" s="30"/>
      <c r="C3" s="31"/>
      <c r="D3" s="31"/>
      <c r="E3" s="160"/>
    </row>
    <row r="4" spans="1:5" x14ac:dyDescent="0.25">
      <c r="A4" s="30"/>
      <c r="B4" s="30"/>
      <c r="C4" s="31"/>
      <c r="D4" s="31"/>
      <c r="E4" s="160"/>
    </row>
    <row r="5" spans="1:5" x14ac:dyDescent="0.25">
      <c r="A5" s="30"/>
      <c r="B5" s="30"/>
      <c r="C5" s="31"/>
      <c r="D5" s="31"/>
      <c r="E5" s="160"/>
    </row>
    <row r="6" spans="1:5" x14ac:dyDescent="0.25">
      <c r="A6" s="30"/>
      <c r="B6" s="30"/>
      <c r="C6" s="31"/>
      <c r="D6" s="31"/>
      <c r="E6" s="160"/>
    </row>
    <row r="7" spans="1:5" x14ac:dyDescent="0.25">
      <c r="A7" s="30"/>
      <c r="B7" s="30"/>
      <c r="C7" s="31"/>
      <c r="D7" s="31"/>
      <c r="E7" s="160"/>
    </row>
    <row r="8" spans="1:5" x14ac:dyDescent="0.25">
      <c r="A8" s="30"/>
      <c r="B8" s="30"/>
      <c r="C8" s="31"/>
      <c r="D8" s="31"/>
      <c r="E8" s="160"/>
    </row>
    <row r="9" spans="1:5" x14ac:dyDescent="0.25">
      <c r="A9" s="30"/>
      <c r="B9" s="30"/>
      <c r="C9" s="31"/>
      <c r="D9" s="31"/>
      <c r="E9" s="160"/>
    </row>
    <row r="10" spans="1:5" x14ac:dyDescent="0.25">
      <c r="A10" s="30"/>
      <c r="B10" s="30"/>
      <c r="C10" s="31"/>
      <c r="D10" s="31"/>
      <c r="E10" s="160"/>
    </row>
    <row r="11" spans="1:5" x14ac:dyDescent="0.25">
      <c r="A11" s="30"/>
      <c r="B11" s="30"/>
      <c r="C11" s="31"/>
      <c r="D11" s="31"/>
      <c r="E11" s="160"/>
    </row>
    <row r="12" spans="1:5" x14ac:dyDescent="0.25">
      <c r="A12" s="30"/>
      <c r="B12" s="30"/>
      <c r="C12" s="31"/>
      <c r="D12" s="31"/>
      <c r="E12" s="160"/>
    </row>
    <row r="13" spans="1:5" x14ac:dyDescent="0.25">
      <c r="A13" s="30"/>
      <c r="B13" s="30"/>
      <c r="C13" s="31"/>
      <c r="D13" s="31"/>
      <c r="E13" s="160"/>
    </row>
    <row r="14" spans="1:5" x14ac:dyDescent="0.25">
      <c r="A14" s="30"/>
      <c r="B14" s="30"/>
      <c r="C14" s="31"/>
      <c r="D14" s="31"/>
      <c r="E14" s="160"/>
    </row>
    <row r="15" spans="1:5" x14ac:dyDescent="0.25">
      <c r="A15" s="30"/>
      <c r="B15" s="30"/>
      <c r="C15" s="31"/>
      <c r="D15" s="31"/>
      <c r="E15" s="160"/>
    </row>
    <row r="16" spans="1:5" x14ac:dyDescent="0.25">
      <c r="A16" s="30"/>
      <c r="B16" s="30"/>
      <c r="C16" s="31"/>
      <c r="D16" s="31"/>
      <c r="E16" s="160"/>
    </row>
    <row r="17" spans="1:5" x14ac:dyDescent="0.25">
      <c r="A17" s="30"/>
      <c r="B17" s="30"/>
      <c r="C17" s="31"/>
      <c r="D17" s="31"/>
      <c r="E17" s="160"/>
    </row>
    <row r="18" spans="1:5" x14ac:dyDescent="0.25">
      <c r="A18" s="30"/>
      <c r="B18" s="30"/>
      <c r="C18" s="31"/>
      <c r="D18" s="31"/>
      <c r="E18" s="160"/>
    </row>
    <row r="19" spans="1:5" x14ac:dyDescent="0.25">
      <c r="A19" s="30"/>
      <c r="B19" s="30"/>
      <c r="C19" s="31"/>
      <c r="D19" s="31"/>
      <c r="E19" s="160"/>
    </row>
    <row r="20" spans="1:5" x14ac:dyDescent="0.25">
      <c r="A20" s="30"/>
      <c r="B20" s="30"/>
      <c r="C20" s="31"/>
      <c r="D20" s="31"/>
      <c r="E20" s="160"/>
    </row>
    <row r="21" spans="1:5" x14ac:dyDescent="0.25">
      <c r="A21" s="30"/>
      <c r="B21" s="30"/>
      <c r="C21" s="31"/>
      <c r="D21" s="31"/>
      <c r="E21" s="160"/>
    </row>
    <row r="22" spans="1:5" x14ac:dyDescent="0.25">
      <c r="A22" s="30"/>
      <c r="B22" s="30"/>
      <c r="C22" s="31"/>
      <c r="D22" s="31"/>
      <c r="E22" s="160"/>
    </row>
    <row r="23" spans="1:5" x14ac:dyDescent="0.25">
      <c r="A23" s="30"/>
      <c r="B23" s="30"/>
      <c r="C23" s="31"/>
      <c r="D23" s="31"/>
      <c r="E23" s="160"/>
    </row>
    <row r="24" spans="1:5" x14ac:dyDescent="0.25">
      <c r="A24" s="30"/>
      <c r="B24" s="30"/>
      <c r="C24" s="31"/>
      <c r="D24" s="31"/>
      <c r="E24" s="160"/>
    </row>
    <row r="25" spans="1:5" x14ac:dyDescent="0.25">
      <c r="A25" s="30"/>
      <c r="B25" s="30"/>
      <c r="C25" s="31"/>
      <c r="D25" s="31"/>
      <c r="E25" s="160"/>
    </row>
    <row r="26" spans="1:5" x14ac:dyDescent="0.25">
      <c r="A26" s="30"/>
      <c r="B26" s="30"/>
      <c r="C26" s="31"/>
      <c r="D26" s="31"/>
      <c r="E26" s="160"/>
    </row>
    <row r="27" spans="1:5" x14ac:dyDescent="0.25">
      <c r="A27" s="30"/>
      <c r="B27" s="30"/>
      <c r="C27" s="31"/>
      <c r="D27" s="31"/>
      <c r="E27" s="160"/>
    </row>
    <row r="28" spans="1:5" x14ac:dyDescent="0.25">
      <c r="A28" s="30"/>
      <c r="B28" s="30"/>
      <c r="C28" s="31"/>
      <c r="D28" s="31"/>
      <c r="E28" s="160"/>
    </row>
    <row r="29" spans="1:5" x14ac:dyDescent="0.25">
      <c r="A29" s="30"/>
      <c r="B29" s="30"/>
      <c r="C29" s="31"/>
      <c r="D29" s="31"/>
      <c r="E29" s="160"/>
    </row>
    <row r="30" spans="1:5" x14ac:dyDescent="0.25">
      <c r="A30" s="30"/>
      <c r="B30" s="30"/>
      <c r="C30" s="31"/>
      <c r="D30" s="31"/>
      <c r="E30" s="160"/>
    </row>
    <row r="31" spans="1:5" x14ac:dyDescent="0.25">
      <c r="A31" s="30"/>
      <c r="B31" s="30"/>
      <c r="C31" s="31"/>
      <c r="D31" s="31"/>
      <c r="E31" s="160"/>
    </row>
    <row r="32" spans="1:5" x14ac:dyDescent="0.25">
      <c r="A32" s="30"/>
      <c r="B32" s="30"/>
      <c r="C32" s="31"/>
      <c r="D32" s="31"/>
      <c r="E32" s="160"/>
    </row>
    <row r="33" spans="1:5" x14ac:dyDescent="0.25">
      <c r="A33" s="30"/>
      <c r="B33" s="30"/>
      <c r="C33" s="31"/>
      <c r="D33" s="31"/>
      <c r="E33" s="160"/>
    </row>
    <row r="34" spans="1:5" x14ac:dyDescent="0.25">
      <c r="A34" s="30"/>
      <c r="B34" s="30"/>
      <c r="C34" s="31"/>
      <c r="D34" s="31"/>
      <c r="E34" s="160"/>
    </row>
    <row r="35" spans="1:5" x14ac:dyDescent="0.25">
      <c r="A35" s="30"/>
      <c r="B35" s="30"/>
      <c r="C35" s="31"/>
      <c r="D35" s="31"/>
      <c r="E35" s="160"/>
    </row>
    <row r="36" spans="1:5" x14ac:dyDescent="0.25">
      <c r="A36" s="30"/>
      <c r="B36" s="30"/>
      <c r="C36" s="31"/>
      <c r="D36" s="31"/>
      <c r="E36" s="160"/>
    </row>
    <row r="37" spans="1:5" x14ac:dyDescent="0.25">
      <c r="A37" s="30"/>
      <c r="B37" s="30"/>
      <c r="C37" s="31"/>
      <c r="D37" s="31"/>
      <c r="E37" s="160"/>
    </row>
    <row r="38" spans="1:5" x14ac:dyDescent="0.25">
      <c r="A38" s="30"/>
      <c r="B38" s="30"/>
      <c r="C38" s="31"/>
      <c r="D38" s="31"/>
      <c r="E38" s="160"/>
    </row>
    <row r="39" spans="1:5" x14ac:dyDescent="0.25">
      <c r="A39" s="30"/>
      <c r="B39" s="30"/>
      <c r="C39" s="31"/>
      <c r="D39" s="31"/>
      <c r="E39" s="160"/>
    </row>
    <row r="40" spans="1:5" x14ac:dyDescent="0.25">
      <c r="A40" s="30"/>
      <c r="B40" s="30"/>
      <c r="C40" s="31"/>
      <c r="D40" s="31"/>
      <c r="E40" s="160"/>
    </row>
    <row r="41" spans="1:5" x14ac:dyDescent="0.25">
      <c r="A41" s="30"/>
      <c r="B41" s="30"/>
      <c r="C41" s="31"/>
      <c r="D41" s="31"/>
      <c r="E41" s="160"/>
    </row>
    <row r="42" spans="1:5" x14ac:dyDescent="0.25">
      <c r="A42" s="30"/>
      <c r="B42" s="30"/>
      <c r="C42" s="31"/>
      <c r="D42" s="31"/>
      <c r="E42" s="160"/>
    </row>
    <row r="43" spans="1:5" x14ac:dyDescent="0.25">
      <c r="A43" s="30"/>
      <c r="B43" s="30"/>
      <c r="C43" s="31"/>
      <c r="D43" s="31"/>
      <c r="E43" s="160"/>
    </row>
    <row r="44" spans="1:5" x14ac:dyDescent="0.25">
      <c r="A44" s="30"/>
      <c r="B44" s="30"/>
      <c r="C44" s="31"/>
      <c r="D44" s="31"/>
      <c r="E44" s="160"/>
    </row>
    <row r="45" spans="1:5" x14ac:dyDescent="0.25">
      <c r="A45" s="30"/>
      <c r="B45" s="30"/>
      <c r="C45" s="31"/>
      <c r="D45" s="31"/>
      <c r="E45" s="160"/>
    </row>
    <row r="46" spans="1:5" x14ac:dyDescent="0.25">
      <c r="A46" s="30"/>
      <c r="B46" s="30"/>
      <c r="C46" s="31"/>
      <c r="D46" s="31"/>
      <c r="E46" s="160"/>
    </row>
    <row r="47" spans="1:5" x14ac:dyDescent="0.25">
      <c r="A47" s="30"/>
      <c r="B47" s="30"/>
      <c r="C47" s="31"/>
      <c r="D47" s="31"/>
      <c r="E47" s="160"/>
    </row>
    <row r="48" spans="1:5" x14ac:dyDescent="0.25">
      <c r="A48" s="30"/>
      <c r="B48" s="30"/>
      <c r="C48" s="31"/>
      <c r="D48" s="31"/>
      <c r="E48" s="160"/>
    </row>
    <row r="49" spans="1:5" x14ac:dyDescent="0.25">
      <c r="A49" s="30"/>
      <c r="B49" s="30"/>
      <c r="C49" s="31"/>
      <c r="D49" s="31"/>
      <c r="E49" s="160"/>
    </row>
    <row r="50" spans="1:5" x14ac:dyDescent="0.25">
      <c r="A50" s="30"/>
      <c r="B50" s="30"/>
      <c r="C50" s="31"/>
      <c r="D50" s="31"/>
      <c r="E50" s="160"/>
    </row>
    <row r="51" spans="1:5" x14ac:dyDescent="0.25">
      <c r="A51" s="30"/>
      <c r="B51" s="30"/>
      <c r="C51" s="31"/>
      <c r="D51" s="31"/>
      <c r="E51" s="160"/>
    </row>
    <row r="52" spans="1:5" x14ac:dyDescent="0.25">
      <c r="A52" s="30"/>
      <c r="B52" s="30"/>
      <c r="C52" s="31"/>
      <c r="D52" s="31"/>
      <c r="E52" s="160"/>
    </row>
    <row r="53" spans="1:5" x14ac:dyDescent="0.25">
      <c r="A53" s="30"/>
      <c r="B53" s="30"/>
      <c r="C53" s="31"/>
      <c r="D53" s="31"/>
      <c r="E53" s="160"/>
    </row>
    <row r="54" spans="1:5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conditionalFormatting sqref="A1:E1">
    <cfRule type="expression" dxfId="29" priority="1">
      <formula>$A$1</formula>
    </cfRule>
  </conditionalFormatting>
  <dataValidations count="2">
    <dataValidation type="list" allowBlank="1" showInputMessage="1" showErrorMessage="1" sqref="A42:A54 A3:A40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ondayReq"/>
  <dimension ref="A1:E54"/>
  <sheetViews>
    <sheetView zoomScaleNormal="100" workbookViewId="0">
      <selection activeCell="A3" sqref="A3"/>
    </sheetView>
  </sheetViews>
  <sheetFormatPr defaultRowHeight="15" x14ac:dyDescent="0.25"/>
  <cols>
    <col min="1" max="5" width="29.28515625" customWidth="1"/>
  </cols>
  <sheetData>
    <row r="1" spans="1:5" ht="28.5" x14ac:dyDescent="0.45">
      <c r="A1" s="257" t="s">
        <v>130</v>
      </c>
      <c r="B1" s="257"/>
      <c r="C1" s="257"/>
      <c r="D1" s="257"/>
      <c r="E1" s="257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x14ac:dyDescent="0.25">
      <c r="A3" s="30"/>
      <c r="B3" s="30"/>
      <c r="C3" s="31"/>
      <c r="D3" s="31"/>
      <c r="E3" s="160"/>
    </row>
    <row r="4" spans="1:5" x14ac:dyDescent="0.25">
      <c r="A4" s="30"/>
      <c r="B4" s="30"/>
      <c r="C4" s="31"/>
      <c r="D4" s="31"/>
      <c r="E4" s="160"/>
    </row>
    <row r="5" spans="1:5" x14ac:dyDescent="0.25">
      <c r="A5" s="30"/>
      <c r="B5" s="30"/>
      <c r="C5" s="31"/>
      <c r="D5" s="31"/>
      <c r="E5" s="160"/>
    </row>
    <row r="6" spans="1:5" x14ac:dyDescent="0.25">
      <c r="A6" s="30"/>
      <c r="B6" s="30"/>
      <c r="C6" s="31"/>
      <c r="D6" s="31"/>
      <c r="E6" s="160"/>
    </row>
    <row r="7" spans="1:5" x14ac:dyDescent="0.25">
      <c r="A7" s="30"/>
      <c r="B7" s="30"/>
      <c r="C7" s="31"/>
      <c r="D7" s="31"/>
      <c r="E7" s="160"/>
    </row>
    <row r="8" spans="1:5" x14ac:dyDescent="0.25">
      <c r="A8" s="30"/>
      <c r="B8" s="30"/>
      <c r="C8" s="31"/>
      <c r="D8" s="31"/>
      <c r="E8" s="160"/>
    </row>
    <row r="9" spans="1:5" x14ac:dyDescent="0.25">
      <c r="A9" s="30"/>
      <c r="B9" s="30"/>
      <c r="C9" s="31"/>
      <c r="D9" s="31"/>
      <c r="E9" s="160"/>
    </row>
    <row r="10" spans="1:5" x14ac:dyDescent="0.25">
      <c r="A10" s="30"/>
      <c r="B10" s="30"/>
      <c r="C10" s="31"/>
      <c r="D10" s="31"/>
      <c r="E10" s="160"/>
    </row>
    <row r="11" spans="1:5" x14ac:dyDescent="0.25">
      <c r="A11" s="30"/>
      <c r="B11" s="30"/>
      <c r="C11" s="31"/>
      <c r="D11" s="31"/>
      <c r="E11" s="160"/>
    </row>
    <row r="12" spans="1:5" x14ac:dyDescent="0.25">
      <c r="A12" s="30"/>
      <c r="B12" s="30"/>
      <c r="C12" s="31"/>
      <c r="D12" s="31"/>
      <c r="E12" s="160"/>
    </row>
    <row r="13" spans="1:5" x14ac:dyDescent="0.25">
      <c r="A13" s="30"/>
      <c r="B13" s="30"/>
      <c r="C13" s="31"/>
      <c r="D13" s="31"/>
      <c r="E13" s="160"/>
    </row>
    <row r="14" spans="1:5" x14ac:dyDescent="0.25">
      <c r="A14" s="30"/>
      <c r="B14" s="30"/>
      <c r="C14" s="31"/>
      <c r="D14" s="31"/>
      <c r="E14" s="160"/>
    </row>
    <row r="15" spans="1:5" x14ac:dyDescent="0.25">
      <c r="A15" s="30"/>
      <c r="B15" s="30"/>
      <c r="C15" s="31"/>
      <c r="D15" s="31"/>
      <c r="E15" s="160"/>
    </row>
    <row r="16" spans="1:5" x14ac:dyDescent="0.25">
      <c r="A16" s="30"/>
      <c r="B16" s="30"/>
      <c r="C16" s="31"/>
      <c r="D16" s="31"/>
      <c r="E16" s="160"/>
    </row>
    <row r="17" spans="1:5" x14ac:dyDescent="0.25">
      <c r="A17" s="30"/>
      <c r="B17" s="30"/>
      <c r="C17" s="31"/>
      <c r="D17" s="31"/>
      <c r="E17" s="160"/>
    </row>
    <row r="18" spans="1:5" x14ac:dyDescent="0.25">
      <c r="A18" s="30"/>
      <c r="B18" s="30"/>
      <c r="C18" s="31"/>
      <c r="D18" s="31"/>
      <c r="E18" s="160"/>
    </row>
    <row r="19" spans="1:5" x14ac:dyDescent="0.25">
      <c r="A19" s="30"/>
      <c r="B19" s="30"/>
      <c r="C19" s="31"/>
      <c r="D19" s="31"/>
      <c r="E19" s="160"/>
    </row>
    <row r="20" spans="1:5" x14ac:dyDescent="0.25">
      <c r="A20" s="30"/>
      <c r="B20" s="30"/>
      <c r="C20" s="31"/>
      <c r="D20" s="31"/>
      <c r="E20" s="160"/>
    </row>
    <row r="21" spans="1:5" x14ac:dyDescent="0.25">
      <c r="A21" s="30"/>
      <c r="B21" s="30"/>
      <c r="C21" s="31"/>
      <c r="D21" s="31"/>
      <c r="E21" s="160"/>
    </row>
    <row r="22" spans="1:5" x14ac:dyDescent="0.25">
      <c r="A22" s="30"/>
      <c r="B22" s="30"/>
      <c r="C22" s="31"/>
      <c r="D22" s="31"/>
      <c r="E22" s="160"/>
    </row>
    <row r="23" spans="1:5" x14ac:dyDescent="0.25">
      <c r="A23" s="30"/>
      <c r="B23" s="30"/>
      <c r="C23" s="31"/>
      <c r="D23" s="31"/>
      <c r="E23" s="160"/>
    </row>
    <row r="24" spans="1:5" x14ac:dyDescent="0.25">
      <c r="A24" s="30"/>
      <c r="B24" s="30"/>
      <c r="C24" s="31"/>
      <c r="D24" s="31"/>
      <c r="E24" s="160"/>
    </row>
    <row r="25" spans="1:5" x14ac:dyDescent="0.25">
      <c r="A25" s="30"/>
      <c r="B25" s="30"/>
      <c r="C25" s="31"/>
      <c r="D25" s="31"/>
      <c r="E25" s="160"/>
    </row>
    <row r="26" spans="1:5" x14ac:dyDescent="0.25">
      <c r="A26" s="30"/>
      <c r="B26" s="30"/>
      <c r="C26" s="31"/>
      <c r="D26" s="31"/>
      <c r="E26" s="160"/>
    </row>
    <row r="27" spans="1:5" x14ac:dyDescent="0.25">
      <c r="A27" s="30"/>
      <c r="B27" s="30"/>
      <c r="C27" s="31"/>
      <c r="D27" s="31"/>
      <c r="E27" s="160"/>
    </row>
    <row r="28" spans="1:5" x14ac:dyDescent="0.25">
      <c r="A28" s="30"/>
      <c r="B28" s="30"/>
      <c r="C28" s="31"/>
      <c r="D28" s="31"/>
      <c r="E28" s="160"/>
    </row>
    <row r="29" spans="1:5" x14ac:dyDescent="0.25">
      <c r="A29" s="30"/>
      <c r="B29" s="30"/>
      <c r="C29" s="31"/>
      <c r="D29" s="31"/>
      <c r="E29" s="160"/>
    </row>
    <row r="30" spans="1:5" x14ac:dyDescent="0.25">
      <c r="A30" s="30"/>
      <c r="B30" s="30"/>
      <c r="C30" s="31"/>
      <c r="D30" s="31"/>
      <c r="E30" s="160"/>
    </row>
    <row r="31" spans="1:5" x14ac:dyDescent="0.25">
      <c r="A31" s="30"/>
      <c r="B31" s="30"/>
      <c r="C31" s="31"/>
      <c r="D31" s="31"/>
      <c r="E31" s="160"/>
    </row>
    <row r="32" spans="1:5" x14ac:dyDescent="0.25">
      <c r="A32" s="30"/>
      <c r="B32" s="30"/>
      <c r="C32" s="31"/>
      <c r="D32" s="31"/>
      <c r="E32" s="160"/>
    </row>
    <row r="33" spans="1:5" x14ac:dyDescent="0.25">
      <c r="A33" s="30"/>
      <c r="B33" s="30"/>
      <c r="C33" s="31"/>
      <c r="D33" s="31"/>
      <c r="E33" s="160"/>
    </row>
    <row r="34" spans="1:5" x14ac:dyDescent="0.25">
      <c r="A34" s="30"/>
      <c r="B34" s="30"/>
      <c r="C34" s="31"/>
      <c r="D34" s="31"/>
      <c r="E34" s="160"/>
    </row>
    <row r="35" spans="1:5" x14ac:dyDescent="0.25">
      <c r="A35" s="30"/>
      <c r="B35" s="30"/>
      <c r="C35" s="31"/>
      <c r="D35" s="31"/>
      <c r="E35" s="160"/>
    </row>
    <row r="36" spans="1:5" x14ac:dyDescent="0.25">
      <c r="A36" s="30"/>
      <c r="B36" s="30"/>
      <c r="C36" s="31"/>
      <c r="D36" s="31"/>
      <c r="E36" s="160"/>
    </row>
    <row r="37" spans="1:5" x14ac:dyDescent="0.25">
      <c r="A37" s="30"/>
      <c r="B37" s="30"/>
      <c r="C37" s="31"/>
      <c r="D37" s="31"/>
      <c r="E37" s="160"/>
    </row>
    <row r="38" spans="1:5" x14ac:dyDescent="0.25">
      <c r="A38" s="30"/>
      <c r="B38" s="30"/>
      <c r="C38" s="31"/>
      <c r="D38" s="31"/>
      <c r="E38" s="160"/>
    </row>
    <row r="39" spans="1:5" x14ac:dyDescent="0.25">
      <c r="A39" s="30"/>
      <c r="B39" s="30"/>
      <c r="C39" s="31"/>
      <c r="D39" s="31"/>
      <c r="E39" s="160"/>
    </row>
    <row r="40" spans="1:5" x14ac:dyDescent="0.25">
      <c r="A40" s="30"/>
      <c r="B40" s="30"/>
      <c r="C40" s="31"/>
      <c r="D40" s="31"/>
      <c r="E40" s="160"/>
    </row>
    <row r="41" spans="1:5" x14ac:dyDescent="0.25">
      <c r="A41" s="30"/>
      <c r="B41" s="30"/>
      <c r="C41" s="31"/>
      <c r="D41" s="31"/>
      <c r="E41" s="160"/>
    </row>
    <row r="42" spans="1:5" x14ac:dyDescent="0.25">
      <c r="A42" s="30"/>
      <c r="B42" s="30"/>
      <c r="C42" s="31"/>
      <c r="D42" s="31"/>
      <c r="E42" s="160"/>
    </row>
    <row r="43" spans="1:5" x14ac:dyDescent="0.25">
      <c r="A43" s="30"/>
      <c r="B43" s="30"/>
      <c r="C43" s="31"/>
      <c r="D43" s="31"/>
      <c r="E43" s="160"/>
    </row>
    <row r="44" spans="1:5" x14ac:dyDescent="0.25">
      <c r="A44" s="30"/>
      <c r="B44" s="30"/>
      <c r="C44" s="31"/>
      <c r="D44" s="31"/>
      <c r="E44" s="160"/>
    </row>
    <row r="45" spans="1:5" x14ac:dyDescent="0.25">
      <c r="A45" s="30"/>
      <c r="B45" s="30"/>
      <c r="C45" s="31"/>
      <c r="D45" s="31"/>
      <c r="E45" s="160"/>
    </row>
    <row r="46" spans="1:5" x14ac:dyDescent="0.25">
      <c r="A46" s="30"/>
      <c r="B46" s="30"/>
      <c r="C46" s="31"/>
      <c r="D46" s="31"/>
      <c r="E46" s="160"/>
    </row>
    <row r="47" spans="1:5" x14ac:dyDescent="0.25">
      <c r="A47" s="30"/>
      <c r="B47" s="30"/>
      <c r="C47" s="31"/>
      <c r="D47" s="31"/>
      <c r="E47" s="160"/>
    </row>
    <row r="48" spans="1:5" x14ac:dyDescent="0.25">
      <c r="A48" s="30"/>
      <c r="B48" s="30"/>
      <c r="C48" s="31"/>
      <c r="D48" s="31"/>
      <c r="E48" s="160"/>
    </row>
    <row r="49" spans="1:5" x14ac:dyDescent="0.25">
      <c r="A49" s="30"/>
      <c r="B49" s="30"/>
      <c r="C49" s="31"/>
      <c r="D49" s="31"/>
      <c r="E49" s="160"/>
    </row>
    <row r="50" spans="1:5" x14ac:dyDescent="0.25">
      <c r="A50" s="30"/>
      <c r="B50" s="30"/>
      <c r="C50" s="31"/>
      <c r="D50" s="31"/>
      <c r="E50" s="160"/>
    </row>
    <row r="51" spans="1:5" x14ac:dyDescent="0.25">
      <c r="A51" s="30"/>
      <c r="B51" s="30"/>
      <c r="C51" s="31"/>
      <c r="D51" s="31"/>
      <c r="E51" s="160"/>
    </row>
    <row r="52" spans="1:5" x14ac:dyDescent="0.25">
      <c r="A52" s="30"/>
      <c r="B52" s="30"/>
      <c r="C52" s="31"/>
      <c r="D52" s="31"/>
      <c r="E52" s="160"/>
    </row>
    <row r="53" spans="1:5" x14ac:dyDescent="0.25">
      <c r="A53" s="30"/>
      <c r="B53" s="30"/>
      <c r="C53" s="31"/>
      <c r="D53" s="31"/>
      <c r="E53" s="160"/>
    </row>
    <row r="54" spans="1:5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B3:B54">
      <formula1>Factory</formula1>
    </dataValidation>
    <dataValidation type="list" allowBlank="1" showInputMessage="1" showErrorMessage="1" sqref="A3:A40 A42:A54">
      <formula1>Dept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uesdayReq"/>
  <dimension ref="A1:E54"/>
  <sheetViews>
    <sheetView zoomScaleNormal="100" workbookViewId="0">
      <selection activeCell="H8" sqref="H8"/>
    </sheetView>
  </sheetViews>
  <sheetFormatPr defaultRowHeight="15" customHeight="1" x14ac:dyDescent="0.25"/>
  <cols>
    <col min="1" max="5" width="29.28515625" customWidth="1"/>
  </cols>
  <sheetData>
    <row r="1" spans="1:5" ht="28.5" x14ac:dyDescent="0.25">
      <c r="A1" s="258" t="s">
        <v>130</v>
      </c>
      <c r="B1" s="258"/>
      <c r="C1" s="258"/>
      <c r="D1" s="258"/>
      <c r="E1" s="258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ht="15" customHeight="1" x14ac:dyDescent="0.25">
      <c r="A3" s="30"/>
      <c r="B3" s="30"/>
      <c r="C3" s="31"/>
      <c r="D3" s="31"/>
      <c r="E3" s="160"/>
    </row>
    <row r="4" spans="1:5" ht="15" customHeight="1" x14ac:dyDescent="0.25">
      <c r="A4" s="30"/>
      <c r="B4" s="30"/>
      <c r="C4" s="31"/>
      <c r="D4" s="31"/>
      <c r="E4" s="160"/>
    </row>
    <row r="5" spans="1:5" ht="15" customHeight="1" x14ac:dyDescent="0.25">
      <c r="A5" s="30"/>
      <c r="B5" s="30"/>
      <c r="C5" s="31"/>
      <c r="D5" s="31"/>
      <c r="E5" s="160"/>
    </row>
    <row r="6" spans="1:5" ht="15" customHeight="1" x14ac:dyDescent="0.25">
      <c r="A6" s="30"/>
      <c r="B6" s="30"/>
      <c r="C6" s="31"/>
      <c r="D6" s="31"/>
      <c r="E6" s="160"/>
    </row>
    <row r="7" spans="1:5" ht="15" customHeight="1" x14ac:dyDescent="0.25">
      <c r="A7" s="30"/>
      <c r="B7" s="30"/>
      <c r="C7" s="31"/>
      <c r="D7" s="31"/>
      <c r="E7" s="160"/>
    </row>
    <row r="8" spans="1:5" ht="15" customHeight="1" x14ac:dyDescent="0.25">
      <c r="A8" s="30"/>
      <c r="B8" s="30"/>
      <c r="C8" s="31"/>
      <c r="D8" s="31"/>
      <c r="E8" s="160"/>
    </row>
    <row r="9" spans="1:5" ht="15" customHeight="1" x14ac:dyDescent="0.25">
      <c r="A9" s="30"/>
      <c r="B9" s="30"/>
      <c r="C9" s="31"/>
      <c r="D9" s="31"/>
      <c r="E9" s="160"/>
    </row>
    <row r="10" spans="1:5" ht="15" customHeight="1" x14ac:dyDescent="0.25">
      <c r="A10" s="30"/>
      <c r="B10" s="30"/>
      <c r="C10" s="31"/>
      <c r="D10" s="31"/>
      <c r="E10" s="160"/>
    </row>
    <row r="11" spans="1:5" ht="15" customHeight="1" x14ac:dyDescent="0.25">
      <c r="A11" s="30"/>
      <c r="B11" s="30"/>
      <c r="C11" s="31"/>
      <c r="D11" s="31"/>
      <c r="E11" s="160"/>
    </row>
    <row r="12" spans="1:5" ht="15" customHeight="1" x14ac:dyDescent="0.25">
      <c r="A12" s="30"/>
      <c r="B12" s="30"/>
      <c r="C12" s="31"/>
      <c r="D12" s="31"/>
      <c r="E12" s="160"/>
    </row>
    <row r="13" spans="1:5" ht="15" customHeight="1" x14ac:dyDescent="0.25">
      <c r="A13" s="30"/>
      <c r="B13" s="30"/>
      <c r="C13" s="31"/>
      <c r="D13" s="31"/>
      <c r="E13" s="160"/>
    </row>
    <row r="14" spans="1:5" ht="15" customHeight="1" x14ac:dyDescent="0.25">
      <c r="A14" s="30"/>
      <c r="B14" s="30"/>
      <c r="C14" s="31"/>
      <c r="D14" s="31"/>
      <c r="E14" s="160"/>
    </row>
    <row r="15" spans="1:5" ht="15" customHeight="1" x14ac:dyDescent="0.25">
      <c r="A15" s="30"/>
      <c r="B15" s="30"/>
      <c r="C15" s="31"/>
      <c r="D15" s="31"/>
      <c r="E15" s="160"/>
    </row>
    <row r="16" spans="1:5" ht="15" customHeight="1" x14ac:dyDescent="0.25">
      <c r="A16" s="30"/>
      <c r="B16" s="30"/>
      <c r="C16" s="31"/>
      <c r="D16" s="31"/>
      <c r="E16" s="160"/>
    </row>
    <row r="17" spans="1:5" ht="15" customHeight="1" x14ac:dyDescent="0.25">
      <c r="A17" s="30"/>
      <c r="B17" s="30"/>
      <c r="C17" s="31"/>
      <c r="D17" s="31"/>
      <c r="E17" s="160"/>
    </row>
    <row r="18" spans="1:5" ht="15" customHeight="1" x14ac:dyDescent="0.25">
      <c r="A18" s="30"/>
      <c r="B18" s="30"/>
      <c r="C18" s="31"/>
      <c r="D18" s="31"/>
      <c r="E18" s="160"/>
    </row>
    <row r="19" spans="1:5" ht="15" customHeight="1" x14ac:dyDescent="0.25">
      <c r="A19" s="30"/>
      <c r="B19" s="30"/>
      <c r="C19" s="31"/>
      <c r="D19" s="31"/>
      <c r="E19" s="160"/>
    </row>
    <row r="20" spans="1:5" ht="15" customHeight="1" x14ac:dyDescent="0.25">
      <c r="A20" s="30"/>
      <c r="B20" s="30"/>
      <c r="C20" s="31"/>
      <c r="D20" s="31"/>
      <c r="E20" s="160"/>
    </row>
    <row r="21" spans="1:5" ht="15" customHeight="1" x14ac:dyDescent="0.25">
      <c r="A21" s="30"/>
      <c r="B21" s="30"/>
      <c r="C21" s="31"/>
      <c r="D21" s="31"/>
      <c r="E21" s="160"/>
    </row>
    <row r="22" spans="1:5" ht="15" customHeight="1" x14ac:dyDescent="0.25">
      <c r="A22" s="30"/>
      <c r="B22" s="30"/>
      <c r="C22" s="31"/>
      <c r="D22" s="31"/>
      <c r="E22" s="160"/>
    </row>
    <row r="23" spans="1:5" ht="15" customHeight="1" x14ac:dyDescent="0.25">
      <c r="A23" s="30"/>
      <c r="B23" s="30"/>
      <c r="C23" s="31"/>
      <c r="D23" s="31"/>
      <c r="E23" s="160"/>
    </row>
    <row r="24" spans="1:5" ht="15" customHeight="1" x14ac:dyDescent="0.25">
      <c r="A24" s="30"/>
      <c r="B24" s="30"/>
      <c r="C24" s="31"/>
      <c r="D24" s="31"/>
      <c r="E24" s="160"/>
    </row>
    <row r="25" spans="1:5" ht="15" customHeight="1" x14ac:dyDescent="0.25">
      <c r="A25" s="30"/>
      <c r="B25" s="30"/>
      <c r="C25" s="31"/>
      <c r="D25" s="31"/>
      <c r="E25" s="160"/>
    </row>
    <row r="26" spans="1:5" ht="15" customHeight="1" x14ac:dyDescent="0.25">
      <c r="A26" s="30"/>
      <c r="B26" s="30"/>
      <c r="C26" s="31"/>
      <c r="D26" s="31"/>
      <c r="E26" s="160"/>
    </row>
    <row r="27" spans="1:5" ht="15" customHeight="1" x14ac:dyDescent="0.25">
      <c r="A27" s="30"/>
      <c r="B27" s="30"/>
      <c r="C27" s="31"/>
      <c r="D27" s="31"/>
      <c r="E27" s="160"/>
    </row>
    <row r="28" spans="1:5" ht="15" customHeight="1" x14ac:dyDescent="0.25">
      <c r="A28" s="30"/>
      <c r="B28" s="30"/>
      <c r="C28" s="31"/>
      <c r="D28" s="31"/>
      <c r="E28" s="160"/>
    </row>
    <row r="29" spans="1:5" ht="15" customHeight="1" x14ac:dyDescent="0.25">
      <c r="A29" s="30"/>
      <c r="B29" s="30"/>
      <c r="C29" s="31"/>
      <c r="D29" s="31"/>
      <c r="E29" s="160"/>
    </row>
    <row r="30" spans="1:5" ht="15" customHeight="1" x14ac:dyDescent="0.25">
      <c r="A30" s="30"/>
      <c r="B30" s="30"/>
      <c r="C30" s="31"/>
      <c r="D30" s="31"/>
      <c r="E30" s="160"/>
    </row>
    <row r="31" spans="1:5" ht="15" customHeight="1" x14ac:dyDescent="0.25">
      <c r="A31" s="30"/>
      <c r="B31" s="30"/>
      <c r="C31" s="31"/>
      <c r="D31" s="31"/>
      <c r="E31" s="160"/>
    </row>
    <row r="32" spans="1:5" ht="15" customHeight="1" x14ac:dyDescent="0.25">
      <c r="A32" s="30"/>
      <c r="B32" s="30"/>
      <c r="C32" s="31"/>
      <c r="D32" s="31"/>
      <c r="E32" s="160"/>
    </row>
    <row r="33" spans="1:5" ht="15" customHeight="1" x14ac:dyDescent="0.25">
      <c r="A33" s="30"/>
      <c r="B33" s="30"/>
      <c r="C33" s="31"/>
      <c r="D33" s="31"/>
      <c r="E33" s="160"/>
    </row>
    <row r="34" spans="1:5" ht="15" customHeight="1" x14ac:dyDescent="0.25">
      <c r="A34" s="30"/>
      <c r="B34" s="30"/>
      <c r="C34" s="31"/>
      <c r="D34" s="31"/>
      <c r="E34" s="160"/>
    </row>
    <row r="35" spans="1:5" ht="15" customHeight="1" x14ac:dyDescent="0.25">
      <c r="A35" s="30"/>
      <c r="B35" s="30"/>
      <c r="C35" s="31"/>
      <c r="D35" s="31"/>
      <c r="E35" s="160"/>
    </row>
    <row r="36" spans="1:5" ht="15" customHeight="1" x14ac:dyDescent="0.25">
      <c r="A36" s="30"/>
      <c r="B36" s="30"/>
      <c r="C36" s="31"/>
      <c r="D36" s="31"/>
      <c r="E36" s="160"/>
    </row>
    <row r="37" spans="1:5" ht="15" customHeight="1" x14ac:dyDescent="0.25">
      <c r="A37" s="30"/>
      <c r="B37" s="30"/>
      <c r="C37" s="31"/>
      <c r="D37" s="31"/>
      <c r="E37" s="160"/>
    </row>
    <row r="38" spans="1:5" ht="15" customHeight="1" x14ac:dyDescent="0.25">
      <c r="A38" s="30"/>
      <c r="B38" s="30"/>
      <c r="C38" s="31"/>
      <c r="D38" s="31"/>
      <c r="E38" s="160"/>
    </row>
    <row r="39" spans="1:5" ht="15" customHeight="1" x14ac:dyDescent="0.25">
      <c r="A39" s="30"/>
      <c r="B39" s="30"/>
      <c r="C39" s="31"/>
      <c r="D39" s="31"/>
      <c r="E39" s="160"/>
    </row>
    <row r="40" spans="1:5" ht="15" customHeight="1" x14ac:dyDescent="0.25">
      <c r="A40" s="30"/>
      <c r="B40" s="30"/>
      <c r="C40" s="31"/>
      <c r="D40" s="31"/>
      <c r="E40" s="160"/>
    </row>
    <row r="41" spans="1:5" ht="15" customHeight="1" x14ac:dyDescent="0.25">
      <c r="A41" s="30"/>
      <c r="B41" s="30"/>
      <c r="C41" s="31"/>
      <c r="D41" s="31"/>
      <c r="E41" s="160"/>
    </row>
    <row r="42" spans="1:5" ht="15" customHeight="1" x14ac:dyDescent="0.25">
      <c r="A42" s="30"/>
      <c r="B42" s="30"/>
      <c r="C42" s="31"/>
      <c r="D42" s="31"/>
      <c r="E42" s="160"/>
    </row>
    <row r="43" spans="1:5" ht="15" customHeight="1" x14ac:dyDescent="0.25">
      <c r="A43" s="30"/>
      <c r="B43" s="30"/>
      <c r="C43" s="31"/>
      <c r="D43" s="31"/>
      <c r="E43" s="160"/>
    </row>
    <row r="44" spans="1:5" ht="15" customHeight="1" x14ac:dyDescent="0.25">
      <c r="A44" s="30"/>
      <c r="B44" s="30"/>
      <c r="C44" s="31"/>
      <c r="D44" s="31"/>
      <c r="E44" s="160"/>
    </row>
    <row r="45" spans="1:5" ht="15" customHeight="1" x14ac:dyDescent="0.25">
      <c r="A45" s="30"/>
      <c r="B45" s="30"/>
      <c r="C45" s="31"/>
      <c r="D45" s="31"/>
      <c r="E45" s="160"/>
    </row>
    <row r="46" spans="1:5" ht="15" customHeight="1" x14ac:dyDescent="0.25">
      <c r="A46" s="30"/>
      <c r="B46" s="30"/>
      <c r="C46" s="31"/>
      <c r="D46" s="31"/>
      <c r="E46" s="160"/>
    </row>
    <row r="47" spans="1:5" ht="15" customHeight="1" x14ac:dyDescent="0.25">
      <c r="A47" s="30"/>
      <c r="B47" s="30"/>
      <c r="C47" s="31"/>
      <c r="D47" s="31"/>
      <c r="E47" s="160"/>
    </row>
    <row r="48" spans="1:5" ht="15" customHeight="1" x14ac:dyDescent="0.25">
      <c r="A48" s="30"/>
      <c r="B48" s="30"/>
      <c r="C48" s="31"/>
      <c r="D48" s="31"/>
      <c r="E48" s="160"/>
    </row>
    <row r="49" spans="1:5" ht="15" customHeight="1" x14ac:dyDescent="0.25">
      <c r="A49" s="30"/>
      <c r="B49" s="30"/>
      <c r="C49" s="31"/>
      <c r="D49" s="31"/>
      <c r="E49" s="160"/>
    </row>
    <row r="50" spans="1:5" ht="15" customHeight="1" x14ac:dyDescent="0.25">
      <c r="A50" s="30"/>
      <c r="B50" s="30"/>
      <c r="C50" s="31"/>
      <c r="D50" s="31"/>
      <c r="E50" s="160"/>
    </row>
    <row r="51" spans="1:5" ht="15" customHeight="1" x14ac:dyDescent="0.25">
      <c r="A51" s="30"/>
      <c r="B51" s="30"/>
      <c r="C51" s="31"/>
      <c r="D51" s="31"/>
      <c r="E51" s="160"/>
    </row>
    <row r="52" spans="1:5" ht="15" customHeight="1" x14ac:dyDescent="0.25">
      <c r="A52" s="30"/>
      <c r="B52" s="30"/>
      <c r="C52" s="31"/>
      <c r="D52" s="31"/>
      <c r="E52" s="160"/>
    </row>
    <row r="53" spans="1:5" ht="15" customHeight="1" x14ac:dyDescent="0.25">
      <c r="A53" s="30"/>
      <c r="B53" s="30"/>
      <c r="C53" s="31"/>
      <c r="D53" s="31"/>
      <c r="E53" s="160"/>
    </row>
    <row r="54" spans="1:5" ht="15" customHeight="1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A3:A40 A42:A54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dnesdayReq"/>
  <dimension ref="A1:E54"/>
  <sheetViews>
    <sheetView zoomScaleNormal="100" workbookViewId="0">
      <selection activeCell="H2" sqref="H2"/>
    </sheetView>
  </sheetViews>
  <sheetFormatPr defaultRowHeight="15" x14ac:dyDescent="0.25"/>
  <cols>
    <col min="1" max="5" width="29.28515625" customWidth="1"/>
  </cols>
  <sheetData>
    <row r="1" spans="1:5" ht="28.5" x14ac:dyDescent="0.45">
      <c r="A1" s="259" t="s">
        <v>130</v>
      </c>
      <c r="B1" s="259"/>
      <c r="C1" s="259"/>
      <c r="D1" s="259"/>
      <c r="E1" s="259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x14ac:dyDescent="0.25">
      <c r="A3" s="30"/>
      <c r="B3" s="30"/>
      <c r="C3" s="31"/>
      <c r="D3" s="31"/>
      <c r="E3" s="160"/>
    </row>
    <row r="4" spans="1:5" x14ac:dyDescent="0.25">
      <c r="A4" s="30"/>
      <c r="B4" s="30"/>
      <c r="C4" s="31"/>
      <c r="D4" s="31"/>
      <c r="E4" s="160"/>
    </row>
    <row r="5" spans="1:5" x14ac:dyDescent="0.25">
      <c r="A5" s="30"/>
      <c r="B5" s="30"/>
      <c r="C5" s="31"/>
      <c r="D5" s="31"/>
      <c r="E5" s="160"/>
    </row>
    <row r="6" spans="1:5" x14ac:dyDescent="0.25">
      <c r="A6" s="30"/>
      <c r="B6" s="30"/>
      <c r="C6" s="31"/>
      <c r="D6" s="31"/>
      <c r="E6" s="160"/>
    </row>
    <row r="7" spans="1:5" x14ac:dyDescent="0.25">
      <c r="A7" s="30"/>
      <c r="B7" s="30"/>
      <c r="C7" s="31"/>
      <c r="D7" s="31"/>
      <c r="E7" s="160"/>
    </row>
    <row r="8" spans="1:5" x14ac:dyDescent="0.25">
      <c r="A8" s="30"/>
      <c r="B8" s="30"/>
      <c r="C8" s="31"/>
      <c r="D8" s="31"/>
      <c r="E8" s="160"/>
    </row>
    <row r="9" spans="1:5" x14ac:dyDescent="0.25">
      <c r="A9" s="30"/>
      <c r="B9" s="30"/>
      <c r="C9" s="31"/>
      <c r="D9" s="31"/>
      <c r="E9" s="160"/>
    </row>
    <row r="10" spans="1:5" x14ac:dyDescent="0.25">
      <c r="A10" s="30"/>
      <c r="B10" s="30"/>
      <c r="C10" s="31"/>
      <c r="D10" s="31"/>
      <c r="E10" s="160"/>
    </row>
    <row r="11" spans="1:5" x14ac:dyDescent="0.25">
      <c r="A11" s="30"/>
      <c r="B11" s="30"/>
      <c r="C11" s="31"/>
      <c r="D11" s="31"/>
      <c r="E11" s="160"/>
    </row>
    <row r="12" spans="1:5" x14ac:dyDescent="0.25">
      <c r="A12" s="30"/>
      <c r="B12" s="30"/>
      <c r="C12" s="31"/>
      <c r="D12" s="31"/>
      <c r="E12" s="160"/>
    </row>
    <row r="13" spans="1:5" x14ac:dyDescent="0.25">
      <c r="A13" s="30"/>
      <c r="B13" s="30"/>
      <c r="C13" s="31"/>
      <c r="D13" s="31"/>
      <c r="E13" s="160"/>
    </row>
    <row r="14" spans="1:5" x14ac:dyDescent="0.25">
      <c r="A14" s="30"/>
      <c r="B14" s="30"/>
      <c r="C14" s="31"/>
      <c r="D14" s="31"/>
      <c r="E14" s="160"/>
    </row>
    <row r="15" spans="1:5" x14ac:dyDescent="0.25">
      <c r="A15" s="30"/>
      <c r="B15" s="30"/>
      <c r="C15" s="31"/>
      <c r="D15" s="31"/>
      <c r="E15" s="160"/>
    </row>
    <row r="16" spans="1:5" x14ac:dyDescent="0.25">
      <c r="A16" s="30"/>
      <c r="B16" s="30"/>
      <c r="C16" s="31"/>
      <c r="D16" s="31"/>
      <c r="E16" s="160"/>
    </row>
    <row r="17" spans="1:5" x14ac:dyDescent="0.25">
      <c r="A17" s="30"/>
      <c r="B17" s="30"/>
      <c r="C17" s="31"/>
      <c r="D17" s="31"/>
      <c r="E17" s="160"/>
    </row>
    <row r="18" spans="1:5" x14ac:dyDescent="0.25">
      <c r="A18" s="30"/>
      <c r="B18" s="30"/>
      <c r="C18" s="31"/>
      <c r="D18" s="31"/>
      <c r="E18" s="160"/>
    </row>
    <row r="19" spans="1:5" x14ac:dyDescent="0.25">
      <c r="A19" s="30"/>
      <c r="B19" s="30"/>
      <c r="C19" s="31"/>
      <c r="D19" s="31"/>
      <c r="E19" s="160"/>
    </row>
    <row r="20" spans="1:5" x14ac:dyDescent="0.25">
      <c r="A20" s="30"/>
      <c r="B20" s="30"/>
      <c r="C20" s="31"/>
      <c r="D20" s="31"/>
      <c r="E20" s="160"/>
    </row>
    <row r="21" spans="1:5" x14ac:dyDescent="0.25">
      <c r="A21" s="30"/>
      <c r="B21" s="30"/>
      <c r="C21" s="31"/>
      <c r="D21" s="31"/>
      <c r="E21" s="160"/>
    </row>
    <row r="22" spans="1:5" x14ac:dyDescent="0.25">
      <c r="A22" s="30"/>
      <c r="B22" s="30"/>
      <c r="C22" s="31"/>
      <c r="D22" s="31"/>
      <c r="E22" s="160"/>
    </row>
    <row r="23" spans="1:5" x14ac:dyDescent="0.25">
      <c r="A23" s="30"/>
      <c r="B23" s="30"/>
      <c r="C23" s="31"/>
      <c r="D23" s="31"/>
      <c r="E23" s="160"/>
    </row>
    <row r="24" spans="1:5" x14ac:dyDescent="0.25">
      <c r="A24" s="30"/>
      <c r="B24" s="30"/>
      <c r="C24" s="31"/>
      <c r="D24" s="31"/>
      <c r="E24" s="160"/>
    </row>
    <row r="25" spans="1:5" x14ac:dyDescent="0.25">
      <c r="A25" s="30"/>
      <c r="B25" s="30"/>
      <c r="C25" s="31"/>
      <c r="D25" s="31"/>
      <c r="E25" s="160"/>
    </row>
    <row r="26" spans="1:5" x14ac:dyDescent="0.25">
      <c r="A26" s="30"/>
      <c r="B26" s="30"/>
      <c r="C26" s="31"/>
      <c r="D26" s="31"/>
      <c r="E26" s="160"/>
    </row>
    <row r="27" spans="1:5" x14ac:dyDescent="0.25">
      <c r="A27" s="30"/>
      <c r="B27" s="30"/>
      <c r="C27" s="31"/>
      <c r="D27" s="31"/>
      <c r="E27" s="160"/>
    </row>
    <row r="28" spans="1:5" x14ac:dyDescent="0.25">
      <c r="A28" s="30"/>
      <c r="B28" s="30"/>
      <c r="C28" s="31"/>
      <c r="D28" s="31"/>
      <c r="E28" s="160"/>
    </row>
    <row r="29" spans="1:5" x14ac:dyDescent="0.25">
      <c r="A29" s="30"/>
      <c r="B29" s="30"/>
      <c r="C29" s="31"/>
      <c r="D29" s="31"/>
      <c r="E29" s="160"/>
    </row>
    <row r="30" spans="1:5" x14ac:dyDescent="0.25">
      <c r="A30" s="30"/>
      <c r="B30" s="30"/>
      <c r="C30" s="31"/>
      <c r="D30" s="31"/>
      <c r="E30" s="160"/>
    </row>
    <row r="31" spans="1:5" x14ac:dyDescent="0.25">
      <c r="A31" s="30"/>
      <c r="B31" s="30"/>
      <c r="C31" s="31"/>
      <c r="D31" s="31"/>
      <c r="E31" s="160"/>
    </row>
    <row r="32" spans="1:5" x14ac:dyDescent="0.25">
      <c r="A32" s="30"/>
      <c r="B32" s="30"/>
      <c r="C32" s="31"/>
      <c r="D32" s="31"/>
      <c r="E32" s="160"/>
    </row>
    <row r="33" spans="1:5" x14ac:dyDescent="0.25">
      <c r="A33" s="30"/>
      <c r="B33" s="30"/>
      <c r="C33" s="31"/>
      <c r="D33" s="31"/>
      <c r="E33" s="160"/>
    </row>
    <row r="34" spans="1:5" x14ac:dyDescent="0.25">
      <c r="A34" s="30"/>
      <c r="B34" s="30"/>
      <c r="C34" s="31"/>
      <c r="D34" s="31"/>
      <c r="E34" s="160"/>
    </row>
    <row r="35" spans="1:5" x14ac:dyDescent="0.25">
      <c r="A35" s="30"/>
      <c r="B35" s="30"/>
      <c r="C35" s="31"/>
      <c r="D35" s="31"/>
      <c r="E35" s="160"/>
    </row>
    <row r="36" spans="1:5" x14ac:dyDescent="0.25">
      <c r="A36" s="30"/>
      <c r="B36" s="30"/>
      <c r="C36" s="31"/>
      <c r="D36" s="31"/>
      <c r="E36" s="160"/>
    </row>
    <row r="37" spans="1:5" x14ac:dyDescent="0.25">
      <c r="A37" s="30"/>
      <c r="B37" s="30"/>
      <c r="C37" s="31"/>
      <c r="D37" s="31"/>
      <c r="E37" s="160"/>
    </row>
    <row r="38" spans="1:5" x14ac:dyDescent="0.25">
      <c r="A38" s="30"/>
      <c r="B38" s="30"/>
      <c r="C38" s="31"/>
      <c r="D38" s="31"/>
      <c r="E38" s="160"/>
    </row>
    <row r="39" spans="1:5" x14ac:dyDescent="0.25">
      <c r="A39" s="30"/>
      <c r="B39" s="30"/>
      <c r="C39" s="31"/>
      <c r="D39" s="31"/>
      <c r="E39" s="160"/>
    </row>
    <row r="40" spans="1:5" x14ac:dyDescent="0.25">
      <c r="A40" s="30"/>
      <c r="B40" s="30"/>
      <c r="C40" s="31"/>
      <c r="D40" s="31"/>
      <c r="E40" s="160"/>
    </row>
    <row r="41" spans="1:5" x14ac:dyDescent="0.25">
      <c r="A41" s="30"/>
      <c r="B41" s="30"/>
      <c r="C41" s="31"/>
      <c r="D41" s="31"/>
      <c r="E41" s="160"/>
    </row>
    <row r="42" spans="1:5" x14ac:dyDescent="0.25">
      <c r="A42" s="30"/>
      <c r="B42" s="30"/>
      <c r="C42" s="31"/>
      <c r="D42" s="31"/>
      <c r="E42" s="160"/>
    </row>
    <row r="43" spans="1:5" x14ac:dyDescent="0.25">
      <c r="A43" s="30"/>
      <c r="B43" s="30"/>
      <c r="C43" s="31"/>
      <c r="D43" s="31"/>
      <c r="E43" s="160"/>
    </row>
    <row r="44" spans="1:5" x14ac:dyDescent="0.25">
      <c r="A44" s="30"/>
      <c r="B44" s="30"/>
      <c r="C44" s="31"/>
      <c r="D44" s="31"/>
      <c r="E44" s="160"/>
    </row>
    <row r="45" spans="1:5" x14ac:dyDescent="0.25">
      <c r="A45" s="30"/>
      <c r="B45" s="30"/>
      <c r="C45" s="31"/>
      <c r="D45" s="31"/>
      <c r="E45" s="160"/>
    </row>
    <row r="46" spans="1:5" x14ac:dyDescent="0.25">
      <c r="A46" s="30"/>
      <c r="B46" s="30"/>
      <c r="C46" s="31"/>
      <c r="D46" s="31"/>
      <c r="E46" s="160"/>
    </row>
    <row r="47" spans="1:5" x14ac:dyDescent="0.25">
      <c r="A47" s="30"/>
      <c r="B47" s="30"/>
      <c r="C47" s="31"/>
      <c r="D47" s="31"/>
      <c r="E47" s="160"/>
    </row>
    <row r="48" spans="1:5" x14ac:dyDescent="0.25">
      <c r="A48" s="30"/>
      <c r="B48" s="30"/>
      <c r="C48" s="31"/>
      <c r="D48" s="31"/>
      <c r="E48" s="160"/>
    </row>
    <row r="49" spans="1:5" x14ac:dyDescent="0.25">
      <c r="A49" s="30"/>
      <c r="B49" s="30"/>
      <c r="C49" s="31"/>
      <c r="D49" s="31"/>
      <c r="E49" s="160"/>
    </row>
    <row r="50" spans="1:5" x14ac:dyDescent="0.25">
      <c r="A50" s="30"/>
      <c r="B50" s="30"/>
      <c r="C50" s="31"/>
      <c r="D50" s="31"/>
      <c r="E50" s="160"/>
    </row>
    <row r="51" spans="1:5" x14ac:dyDescent="0.25">
      <c r="A51" s="30"/>
      <c r="B51" s="30"/>
      <c r="C51" s="31"/>
      <c r="D51" s="31"/>
      <c r="E51" s="160"/>
    </row>
    <row r="52" spans="1:5" x14ac:dyDescent="0.25">
      <c r="A52" s="30"/>
      <c r="B52" s="30"/>
      <c r="C52" s="31"/>
      <c r="D52" s="31"/>
      <c r="E52" s="160"/>
    </row>
    <row r="53" spans="1:5" x14ac:dyDescent="0.25">
      <c r="A53" s="30"/>
      <c r="B53" s="30"/>
      <c r="C53" s="31"/>
      <c r="D53" s="31"/>
      <c r="E53" s="160"/>
    </row>
    <row r="54" spans="1:5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A3:A40 A42:A54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hursdayReq"/>
  <dimension ref="A1:E54"/>
  <sheetViews>
    <sheetView workbookViewId="0">
      <selection activeCell="D35" sqref="D35"/>
    </sheetView>
  </sheetViews>
  <sheetFormatPr defaultRowHeight="15.75" customHeight="1" x14ac:dyDescent="0.25"/>
  <cols>
    <col min="1" max="5" width="29.28515625" customWidth="1"/>
  </cols>
  <sheetData>
    <row r="1" spans="1:5" ht="28.5" x14ac:dyDescent="0.45">
      <c r="A1" s="257" t="s">
        <v>130</v>
      </c>
      <c r="B1" s="257"/>
      <c r="C1" s="257"/>
      <c r="D1" s="257"/>
      <c r="E1" s="257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ht="15.75" customHeight="1" x14ac:dyDescent="0.25">
      <c r="A3" s="30"/>
      <c r="B3" s="30"/>
      <c r="C3" s="31"/>
      <c r="D3" s="31"/>
      <c r="E3" s="160"/>
    </row>
    <row r="4" spans="1:5" ht="15.75" customHeight="1" x14ac:dyDescent="0.25">
      <c r="A4" s="30"/>
      <c r="B4" s="30"/>
      <c r="C4" s="31"/>
      <c r="D4" s="31"/>
      <c r="E4" s="160"/>
    </row>
    <row r="5" spans="1:5" ht="15.75" customHeight="1" x14ac:dyDescent="0.25">
      <c r="A5" s="30"/>
      <c r="B5" s="30"/>
      <c r="C5" s="31"/>
      <c r="D5" s="31"/>
      <c r="E5" s="160"/>
    </row>
    <row r="6" spans="1:5" ht="15.75" customHeight="1" x14ac:dyDescent="0.25">
      <c r="A6" s="30"/>
      <c r="B6" s="30"/>
      <c r="C6" s="31"/>
      <c r="D6" s="31"/>
      <c r="E6" s="160"/>
    </row>
    <row r="7" spans="1:5" ht="15.75" customHeight="1" x14ac:dyDescent="0.25">
      <c r="A7" s="30"/>
      <c r="B7" s="30"/>
      <c r="C7" s="31"/>
      <c r="D7" s="31"/>
      <c r="E7" s="160"/>
    </row>
    <row r="8" spans="1:5" ht="15.75" customHeight="1" x14ac:dyDescent="0.25">
      <c r="A8" s="30"/>
      <c r="B8" s="30"/>
      <c r="C8" s="31"/>
      <c r="D8" s="31"/>
      <c r="E8" s="160"/>
    </row>
    <row r="9" spans="1:5" ht="15.75" customHeight="1" x14ac:dyDescent="0.25">
      <c r="A9" s="30"/>
      <c r="B9" s="30"/>
      <c r="C9" s="31"/>
      <c r="D9" s="31"/>
      <c r="E9" s="160"/>
    </row>
    <row r="10" spans="1:5" ht="15.75" customHeight="1" x14ac:dyDescent="0.25">
      <c r="A10" s="30"/>
      <c r="B10" s="30"/>
      <c r="C10" s="31"/>
      <c r="D10" s="31"/>
      <c r="E10" s="160"/>
    </row>
    <row r="11" spans="1:5" ht="15.75" customHeight="1" x14ac:dyDescent="0.25">
      <c r="A11" s="30"/>
      <c r="B11" s="30"/>
      <c r="C11" s="31"/>
      <c r="D11" s="31"/>
      <c r="E11" s="160"/>
    </row>
    <row r="12" spans="1:5" ht="15.75" customHeight="1" x14ac:dyDescent="0.25">
      <c r="A12" s="30"/>
      <c r="B12" s="30"/>
      <c r="C12" s="31"/>
      <c r="D12" s="31"/>
      <c r="E12" s="160"/>
    </row>
    <row r="13" spans="1:5" ht="15.75" customHeight="1" x14ac:dyDescent="0.25">
      <c r="A13" s="30"/>
      <c r="B13" s="30"/>
      <c r="C13" s="31"/>
      <c r="D13" s="31"/>
      <c r="E13" s="160"/>
    </row>
    <row r="14" spans="1:5" ht="15.75" customHeight="1" x14ac:dyDescent="0.25">
      <c r="A14" s="30"/>
      <c r="B14" s="30"/>
      <c r="C14" s="31"/>
      <c r="D14" s="31"/>
      <c r="E14" s="160"/>
    </row>
    <row r="15" spans="1:5" ht="15.75" customHeight="1" x14ac:dyDescent="0.25">
      <c r="A15" s="30"/>
      <c r="B15" s="30"/>
      <c r="C15" s="31"/>
      <c r="D15" s="31"/>
      <c r="E15" s="160"/>
    </row>
    <row r="16" spans="1:5" ht="15.75" customHeight="1" x14ac:dyDescent="0.25">
      <c r="A16" s="30"/>
      <c r="B16" s="30"/>
      <c r="C16" s="31"/>
      <c r="D16" s="31"/>
      <c r="E16" s="160"/>
    </row>
    <row r="17" spans="1:5" ht="15.75" customHeight="1" x14ac:dyDescent="0.25">
      <c r="A17" s="30"/>
      <c r="B17" s="30"/>
      <c r="C17" s="31"/>
      <c r="D17" s="31"/>
      <c r="E17" s="160"/>
    </row>
    <row r="18" spans="1:5" ht="15.75" customHeight="1" x14ac:dyDescent="0.25">
      <c r="A18" s="30"/>
      <c r="B18" s="30"/>
      <c r="C18" s="31"/>
      <c r="D18" s="31"/>
      <c r="E18" s="160"/>
    </row>
    <row r="19" spans="1:5" ht="15.75" customHeight="1" x14ac:dyDescent="0.25">
      <c r="A19" s="30"/>
      <c r="B19" s="30"/>
      <c r="C19" s="31"/>
      <c r="D19" s="31"/>
      <c r="E19" s="160"/>
    </row>
    <row r="20" spans="1:5" ht="15.75" customHeight="1" x14ac:dyDescent="0.25">
      <c r="A20" s="30"/>
      <c r="B20" s="30"/>
      <c r="C20" s="31"/>
      <c r="D20" s="31"/>
      <c r="E20" s="160"/>
    </row>
    <row r="21" spans="1:5" ht="15.75" customHeight="1" x14ac:dyDescent="0.25">
      <c r="A21" s="30"/>
      <c r="B21" s="30"/>
      <c r="C21" s="31"/>
      <c r="D21" s="31"/>
      <c r="E21" s="160"/>
    </row>
    <row r="22" spans="1:5" ht="15.75" customHeight="1" x14ac:dyDescent="0.25">
      <c r="A22" s="30"/>
      <c r="B22" s="30"/>
      <c r="C22" s="31"/>
      <c r="D22" s="31"/>
      <c r="E22" s="160"/>
    </row>
    <row r="23" spans="1:5" ht="15.75" customHeight="1" x14ac:dyDescent="0.25">
      <c r="A23" s="30"/>
      <c r="B23" s="30"/>
      <c r="C23" s="31"/>
      <c r="D23" s="31"/>
      <c r="E23" s="160"/>
    </row>
    <row r="24" spans="1:5" ht="15.75" customHeight="1" x14ac:dyDescent="0.25">
      <c r="A24" s="30"/>
      <c r="B24" s="30"/>
      <c r="C24" s="31"/>
      <c r="D24" s="31"/>
      <c r="E24" s="160"/>
    </row>
    <row r="25" spans="1:5" ht="15.75" customHeight="1" x14ac:dyDescent="0.25">
      <c r="A25" s="30"/>
      <c r="B25" s="30"/>
      <c r="C25" s="31"/>
      <c r="D25" s="31"/>
      <c r="E25" s="160"/>
    </row>
    <row r="26" spans="1:5" ht="15.75" customHeight="1" x14ac:dyDescent="0.25">
      <c r="A26" s="30"/>
      <c r="B26" s="30"/>
      <c r="C26" s="31"/>
      <c r="D26" s="31"/>
      <c r="E26" s="160"/>
    </row>
    <row r="27" spans="1:5" ht="15.75" customHeight="1" x14ac:dyDescent="0.25">
      <c r="A27" s="30"/>
      <c r="B27" s="30"/>
      <c r="C27" s="31"/>
      <c r="D27" s="31"/>
      <c r="E27" s="160"/>
    </row>
    <row r="28" spans="1:5" ht="15.75" customHeight="1" x14ac:dyDescent="0.25">
      <c r="A28" s="30"/>
      <c r="B28" s="30"/>
      <c r="C28" s="31"/>
      <c r="D28" s="31"/>
      <c r="E28" s="160"/>
    </row>
    <row r="29" spans="1:5" ht="15.75" customHeight="1" x14ac:dyDescent="0.25">
      <c r="A29" s="30"/>
      <c r="B29" s="30"/>
      <c r="C29" s="31"/>
      <c r="D29" s="31"/>
      <c r="E29" s="160"/>
    </row>
    <row r="30" spans="1:5" ht="15.75" customHeight="1" x14ac:dyDescent="0.25">
      <c r="A30" s="30"/>
      <c r="B30" s="30"/>
      <c r="C30" s="31"/>
      <c r="D30" s="31"/>
      <c r="E30" s="160"/>
    </row>
    <row r="31" spans="1:5" ht="15.75" customHeight="1" x14ac:dyDescent="0.25">
      <c r="A31" s="30"/>
      <c r="B31" s="30"/>
      <c r="C31" s="31"/>
      <c r="D31" s="31"/>
      <c r="E31" s="160"/>
    </row>
    <row r="32" spans="1:5" ht="15.75" customHeight="1" x14ac:dyDescent="0.25">
      <c r="A32" s="30"/>
      <c r="B32" s="30"/>
      <c r="C32" s="31"/>
      <c r="D32" s="31"/>
      <c r="E32" s="160"/>
    </row>
    <row r="33" spans="1:5" ht="15.75" customHeight="1" x14ac:dyDescent="0.25">
      <c r="A33" s="30"/>
      <c r="B33" s="30"/>
      <c r="C33" s="31"/>
      <c r="D33" s="31"/>
      <c r="E33" s="160"/>
    </row>
    <row r="34" spans="1:5" ht="15.75" customHeight="1" x14ac:dyDescent="0.25">
      <c r="A34" s="30"/>
      <c r="B34" s="30"/>
      <c r="C34" s="31"/>
      <c r="D34" s="31"/>
      <c r="E34" s="160"/>
    </row>
    <row r="35" spans="1:5" ht="15.75" customHeight="1" x14ac:dyDescent="0.25">
      <c r="A35" s="30"/>
      <c r="B35" s="30"/>
      <c r="C35" s="31"/>
      <c r="D35" s="31"/>
      <c r="E35" s="160"/>
    </row>
    <row r="36" spans="1:5" ht="15.75" customHeight="1" x14ac:dyDescent="0.25">
      <c r="A36" s="30"/>
      <c r="B36" s="30"/>
      <c r="C36" s="31"/>
      <c r="D36" s="31"/>
      <c r="E36" s="160"/>
    </row>
    <row r="37" spans="1:5" ht="15.75" customHeight="1" x14ac:dyDescent="0.25">
      <c r="A37" s="30"/>
      <c r="B37" s="30"/>
      <c r="C37" s="31"/>
      <c r="D37" s="31"/>
      <c r="E37" s="160"/>
    </row>
    <row r="38" spans="1:5" ht="15.75" customHeight="1" x14ac:dyDescent="0.25">
      <c r="A38" s="30"/>
      <c r="B38" s="30"/>
      <c r="C38" s="31"/>
      <c r="D38" s="31"/>
      <c r="E38" s="160"/>
    </row>
    <row r="39" spans="1:5" ht="15.75" customHeight="1" x14ac:dyDescent="0.25">
      <c r="A39" s="30"/>
      <c r="B39" s="30"/>
      <c r="C39" s="31"/>
      <c r="D39" s="31"/>
      <c r="E39" s="160"/>
    </row>
    <row r="40" spans="1:5" ht="15.75" customHeight="1" x14ac:dyDescent="0.25">
      <c r="A40" s="30"/>
      <c r="B40" s="30"/>
      <c r="C40" s="31"/>
      <c r="D40" s="31"/>
      <c r="E40" s="160"/>
    </row>
    <row r="41" spans="1:5" ht="15.75" customHeight="1" x14ac:dyDescent="0.25">
      <c r="A41" s="30"/>
      <c r="B41" s="30"/>
      <c r="C41" s="31"/>
      <c r="D41" s="31"/>
      <c r="E41" s="160"/>
    </row>
    <row r="42" spans="1:5" ht="15.75" customHeight="1" x14ac:dyDescent="0.25">
      <c r="A42" s="30"/>
      <c r="B42" s="30"/>
      <c r="C42" s="31"/>
      <c r="D42" s="31"/>
      <c r="E42" s="160"/>
    </row>
    <row r="43" spans="1:5" ht="15.75" customHeight="1" x14ac:dyDescent="0.25">
      <c r="A43" s="30"/>
      <c r="B43" s="30"/>
      <c r="C43" s="31"/>
      <c r="D43" s="31"/>
      <c r="E43" s="160"/>
    </row>
    <row r="44" spans="1:5" ht="15.75" customHeight="1" x14ac:dyDescent="0.25">
      <c r="A44" s="30"/>
      <c r="B44" s="30"/>
      <c r="C44" s="31"/>
      <c r="D44" s="31"/>
      <c r="E44" s="160"/>
    </row>
    <row r="45" spans="1:5" ht="15.75" customHeight="1" x14ac:dyDescent="0.25">
      <c r="A45" s="30"/>
      <c r="B45" s="30"/>
      <c r="C45" s="31"/>
      <c r="D45" s="31"/>
      <c r="E45" s="160"/>
    </row>
    <row r="46" spans="1:5" ht="15.75" customHeight="1" x14ac:dyDescent="0.25">
      <c r="A46" s="30"/>
      <c r="B46" s="30"/>
      <c r="C46" s="31"/>
      <c r="D46" s="31"/>
      <c r="E46" s="160"/>
    </row>
    <row r="47" spans="1:5" ht="15.75" customHeight="1" x14ac:dyDescent="0.25">
      <c r="A47" s="30"/>
      <c r="B47" s="30"/>
      <c r="C47" s="31"/>
      <c r="D47" s="31"/>
      <c r="E47" s="160"/>
    </row>
    <row r="48" spans="1:5" ht="15.75" customHeight="1" x14ac:dyDescent="0.25">
      <c r="A48" s="30"/>
      <c r="B48" s="30"/>
      <c r="C48" s="31"/>
      <c r="D48" s="31"/>
      <c r="E48" s="160"/>
    </row>
    <row r="49" spans="1:5" ht="15.75" customHeight="1" x14ac:dyDescent="0.25">
      <c r="A49" s="30"/>
      <c r="B49" s="30"/>
      <c r="C49" s="31"/>
      <c r="D49" s="31"/>
      <c r="E49" s="160"/>
    </row>
    <row r="50" spans="1:5" ht="15.75" customHeight="1" x14ac:dyDescent="0.25">
      <c r="A50" s="30"/>
      <c r="B50" s="30"/>
      <c r="C50" s="31"/>
      <c r="D50" s="31"/>
      <c r="E50" s="160"/>
    </row>
    <row r="51" spans="1:5" ht="15.75" customHeight="1" x14ac:dyDescent="0.25">
      <c r="A51" s="30"/>
      <c r="B51" s="30"/>
      <c r="C51" s="31"/>
      <c r="D51" s="31"/>
      <c r="E51" s="160"/>
    </row>
    <row r="52" spans="1:5" ht="15.75" customHeight="1" x14ac:dyDescent="0.25">
      <c r="A52" s="30"/>
      <c r="B52" s="30"/>
      <c r="C52" s="31"/>
      <c r="D52" s="31"/>
      <c r="E52" s="160"/>
    </row>
    <row r="53" spans="1:5" ht="15.75" customHeight="1" x14ac:dyDescent="0.25">
      <c r="A53" s="30"/>
      <c r="B53" s="30"/>
      <c r="C53" s="31"/>
      <c r="D53" s="31"/>
      <c r="E53" s="160"/>
    </row>
    <row r="54" spans="1:5" ht="15.75" customHeight="1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A3:A40 A42:A54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idayReq"/>
  <dimension ref="A1:E54"/>
  <sheetViews>
    <sheetView workbookViewId="0">
      <selection activeCell="G2" sqref="G2"/>
    </sheetView>
  </sheetViews>
  <sheetFormatPr defaultRowHeight="16.5" customHeight="1" x14ac:dyDescent="0.25"/>
  <cols>
    <col min="1" max="5" width="29.28515625" customWidth="1"/>
  </cols>
  <sheetData>
    <row r="1" spans="1:5" ht="28.5" x14ac:dyDescent="0.25">
      <c r="A1" s="258" t="s">
        <v>130</v>
      </c>
      <c r="B1" s="258"/>
      <c r="C1" s="258"/>
      <c r="D1" s="258"/>
      <c r="E1" s="258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ht="16.5" customHeight="1" x14ac:dyDescent="0.25">
      <c r="A3" s="30"/>
      <c r="B3" s="30"/>
      <c r="C3" s="31"/>
      <c r="D3" s="31"/>
      <c r="E3" s="160"/>
    </row>
    <row r="4" spans="1:5" ht="16.5" customHeight="1" x14ac:dyDescent="0.25">
      <c r="A4" s="30"/>
      <c r="B4" s="30"/>
      <c r="C4" s="31"/>
      <c r="D4" s="31"/>
      <c r="E4" s="160"/>
    </row>
    <row r="5" spans="1:5" ht="16.5" customHeight="1" x14ac:dyDescent="0.25">
      <c r="A5" s="30"/>
      <c r="B5" s="30"/>
      <c r="C5" s="31"/>
      <c r="D5" s="31"/>
      <c r="E5" s="160"/>
    </row>
    <row r="6" spans="1:5" ht="16.5" customHeight="1" x14ac:dyDescent="0.25">
      <c r="A6" s="30"/>
      <c r="B6" s="30"/>
      <c r="C6" s="31"/>
      <c r="D6" s="31"/>
      <c r="E6" s="160"/>
    </row>
    <row r="7" spans="1:5" ht="16.5" customHeight="1" x14ac:dyDescent="0.25">
      <c r="A7" s="30"/>
      <c r="B7" s="30"/>
      <c r="C7" s="31"/>
      <c r="D7" s="31"/>
      <c r="E7" s="160"/>
    </row>
    <row r="8" spans="1:5" ht="16.5" customHeight="1" x14ac:dyDescent="0.25">
      <c r="A8" s="30"/>
      <c r="B8" s="30"/>
      <c r="C8" s="31"/>
      <c r="D8" s="31"/>
      <c r="E8" s="160"/>
    </row>
    <row r="9" spans="1:5" ht="16.5" customHeight="1" x14ac:dyDescent="0.25">
      <c r="A9" s="30"/>
      <c r="B9" s="30"/>
      <c r="C9" s="31"/>
      <c r="D9" s="31"/>
      <c r="E9" s="160"/>
    </row>
    <row r="10" spans="1:5" ht="16.5" customHeight="1" x14ac:dyDescent="0.25">
      <c r="A10" s="30"/>
      <c r="B10" s="30"/>
      <c r="C10" s="31"/>
      <c r="D10" s="31"/>
      <c r="E10" s="160"/>
    </row>
    <row r="11" spans="1:5" ht="16.5" customHeight="1" x14ac:dyDescent="0.25">
      <c r="A11" s="30"/>
      <c r="B11" s="30"/>
      <c r="C11" s="31"/>
      <c r="D11" s="31"/>
      <c r="E11" s="160"/>
    </row>
    <row r="12" spans="1:5" ht="16.5" customHeight="1" x14ac:dyDescent="0.25">
      <c r="A12" s="30"/>
      <c r="B12" s="30"/>
      <c r="C12" s="31"/>
      <c r="D12" s="31"/>
      <c r="E12" s="160"/>
    </row>
    <row r="13" spans="1:5" ht="16.5" customHeight="1" x14ac:dyDescent="0.25">
      <c r="A13" s="30"/>
      <c r="B13" s="30"/>
      <c r="C13" s="31"/>
      <c r="D13" s="31"/>
      <c r="E13" s="160"/>
    </row>
    <row r="14" spans="1:5" ht="16.5" customHeight="1" x14ac:dyDescent="0.25">
      <c r="A14" s="30"/>
      <c r="B14" s="30"/>
      <c r="C14" s="31"/>
      <c r="D14" s="31"/>
      <c r="E14" s="160"/>
    </row>
    <row r="15" spans="1:5" ht="16.5" customHeight="1" x14ac:dyDescent="0.25">
      <c r="A15" s="30"/>
      <c r="B15" s="30"/>
      <c r="C15" s="31"/>
      <c r="D15" s="31"/>
      <c r="E15" s="160"/>
    </row>
    <row r="16" spans="1:5" ht="16.5" customHeight="1" x14ac:dyDescent="0.25">
      <c r="A16" s="30"/>
      <c r="B16" s="30"/>
      <c r="C16" s="31"/>
      <c r="D16" s="31"/>
      <c r="E16" s="160"/>
    </row>
    <row r="17" spans="1:5" ht="16.5" customHeight="1" x14ac:dyDescent="0.25">
      <c r="A17" s="30"/>
      <c r="B17" s="30"/>
      <c r="C17" s="31"/>
      <c r="D17" s="31"/>
      <c r="E17" s="160"/>
    </row>
    <row r="18" spans="1:5" ht="16.5" customHeight="1" x14ac:dyDescent="0.25">
      <c r="A18" s="30"/>
      <c r="B18" s="30"/>
      <c r="C18" s="31"/>
      <c r="D18" s="31"/>
      <c r="E18" s="160"/>
    </row>
    <row r="19" spans="1:5" ht="16.5" customHeight="1" x14ac:dyDescent="0.25">
      <c r="A19" s="30"/>
      <c r="B19" s="30"/>
      <c r="C19" s="31"/>
      <c r="D19" s="31"/>
      <c r="E19" s="160"/>
    </row>
    <row r="20" spans="1:5" ht="16.5" customHeight="1" x14ac:dyDescent="0.25">
      <c r="A20" s="30"/>
      <c r="B20" s="30"/>
      <c r="C20" s="31"/>
      <c r="D20" s="31"/>
      <c r="E20" s="160"/>
    </row>
    <row r="21" spans="1:5" ht="16.5" customHeight="1" x14ac:dyDescent="0.25">
      <c r="A21" s="30"/>
      <c r="B21" s="30"/>
      <c r="C21" s="31"/>
      <c r="D21" s="31"/>
      <c r="E21" s="160"/>
    </row>
    <row r="22" spans="1:5" ht="16.5" customHeight="1" x14ac:dyDescent="0.25">
      <c r="A22" s="30"/>
      <c r="B22" s="30"/>
      <c r="C22" s="31"/>
      <c r="D22" s="31"/>
      <c r="E22" s="160"/>
    </row>
    <row r="23" spans="1:5" ht="16.5" customHeight="1" x14ac:dyDescent="0.25">
      <c r="A23" s="30"/>
      <c r="B23" s="30"/>
      <c r="C23" s="31"/>
      <c r="D23" s="31"/>
      <c r="E23" s="160"/>
    </row>
    <row r="24" spans="1:5" ht="16.5" customHeight="1" x14ac:dyDescent="0.25">
      <c r="A24" s="30"/>
      <c r="B24" s="30"/>
      <c r="C24" s="31"/>
      <c r="D24" s="31"/>
      <c r="E24" s="160"/>
    </row>
    <row r="25" spans="1:5" ht="16.5" customHeight="1" x14ac:dyDescent="0.25">
      <c r="A25" s="30"/>
      <c r="B25" s="30"/>
      <c r="C25" s="31"/>
      <c r="D25" s="31"/>
      <c r="E25" s="160"/>
    </row>
    <row r="26" spans="1:5" ht="16.5" customHeight="1" x14ac:dyDescent="0.25">
      <c r="A26" s="30"/>
      <c r="B26" s="30"/>
      <c r="C26" s="31"/>
      <c r="D26" s="31"/>
      <c r="E26" s="160"/>
    </row>
    <row r="27" spans="1:5" ht="16.5" customHeight="1" x14ac:dyDescent="0.25">
      <c r="A27" s="30"/>
      <c r="B27" s="30"/>
      <c r="C27" s="31"/>
      <c r="D27" s="31"/>
      <c r="E27" s="160"/>
    </row>
    <row r="28" spans="1:5" ht="16.5" customHeight="1" x14ac:dyDescent="0.25">
      <c r="A28" s="30"/>
      <c r="B28" s="30"/>
      <c r="C28" s="31"/>
      <c r="D28" s="31"/>
      <c r="E28" s="160"/>
    </row>
    <row r="29" spans="1:5" ht="16.5" customHeight="1" x14ac:dyDescent="0.25">
      <c r="A29" s="30"/>
      <c r="B29" s="30"/>
      <c r="C29" s="31"/>
      <c r="D29" s="31"/>
      <c r="E29" s="160"/>
    </row>
    <row r="30" spans="1:5" ht="16.5" customHeight="1" x14ac:dyDescent="0.25">
      <c r="A30" s="30"/>
      <c r="B30" s="30"/>
      <c r="C30" s="31"/>
      <c r="D30" s="31"/>
      <c r="E30" s="160"/>
    </row>
    <row r="31" spans="1:5" ht="16.5" customHeight="1" x14ac:dyDescent="0.25">
      <c r="A31" s="30"/>
      <c r="B31" s="30"/>
      <c r="C31" s="31"/>
      <c r="D31" s="31"/>
      <c r="E31" s="160"/>
    </row>
    <row r="32" spans="1:5" ht="16.5" customHeight="1" x14ac:dyDescent="0.25">
      <c r="A32" s="30"/>
      <c r="B32" s="30"/>
      <c r="C32" s="31"/>
      <c r="D32" s="31"/>
      <c r="E32" s="160"/>
    </row>
    <row r="33" spans="1:5" ht="16.5" customHeight="1" x14ac:dyDescent="0.25">
      <c r="A33" s="30"/>
      <c r="B33" s="30"/>
      <c r="C33" s="31"/>
      <c r="D33" s="31"/>
      <c r="E33" s="160"/>
    </row>
    <row r="34" spans="1:5" ht="16.5" customHeight="1" x14ac:dyDescent="0.25">
      <c r="A34" s="30"/>
      <c r="B34" s="30"/>
      <c r="C34" s="31"/>
      <c r="D34" s="31"/>
      <c r="E34" s="160"/>
    </row>
    <row r="35" spans="1:5" ht="16.5" customHeight="1" x14ac:dyDescent="0.25">
      <c r="A35" s="30"/>
      <c r="B35" s="30"/>
      <c r="C35" s="31"/>
      <c r="D35" s="31"/>
      <c r="E35" s="160"/>
    </row>
    <row r="36" spans="1:5" ht="16.5" customHeight="1" x14ac:dyDescent="0.25">
      <c r="A36" s="30"/>
      <c r="B36" s="30"/>
      <c r="C36" s="31"/>
      <c r="D36" s="31"/>
      <c r="E36" s="160"/>
    </row>
    <row r="37" spans="1:5" ht="16.5" customHeight="1" x14ac:dyDescent="0.25">
      <c r="A37" s="30"/>
      <c r="B37" s="30"/>
      <c r="C37" s="31"/>
      <c r="D37" s="31"/>
      <c r="E37" s="160"/>
    </row>
    <row r="38" spans="1:5" ht="16.5" customHeight="1" x14ac:dyDescent="0.25">
      <c r="A38" s="30"/>
      <c r="B38" s="30"/>
      <c r="C38" s="31"/>
      <c r="D38" s="31"/>
      <c r="E38" s="160"/>
    </row>
    <row r="39" spans="1:5" ht="16.5" customHeight="1" x14ac:dyDescent="0.25">
      <c r="A39" s="30"/>
      <c r="B39" s="30"/>
      <c r="C39" s="31"/>
      <c r="D39" s="31"/>
      <c r="E39" s="160"/>
    </row>
    <row r="40" spans="1:5" ht="16.5" customHeight="1" x14ac:dyDescent="0.25">
      <c r="A40" s="30"/>
      <c r="B40" s="30"/>
      <c r="C40" s="31"/>
      <c r="D40" s="31"/>
      <c r="E40" s="160"/>
    </row>
    <row r="41" spans="1:5" ht="16.5" customHeight="1" x14ac:dyDescent="0.25">
      <c r="A41" s="30"/>
      <c r="B41" s="30"/>
      <c r="C41" s="31"/>
      <c r="D41" s="31"/>
      <c r="E41" s="160"/>
    </row>
    <row r="42" spans="1:5" ht="16.5" customHeight="1" x14ac:dyDescent="0.25">
      <c r="A42" s="30"/>
      <c r="B42" s="30"/>
      <c r="C42" s="31"/>
      <c r="D42" s="31"/>
      <c r="E42" s="160"/>
    </row>
    <row r="43" spans="1:5" ht="16.5" customHeight="1" x14ac:dyDescent="0.25">
      <c r="A43" s="30"/>
      <c r="B43" s="30"/>
      <c r="C43" s="31"/>
      <c r="D43" s="31"/>
      <c r="E43" s="160"/>
    </row>
    <row r="44" spans="1:5" ht="16.5" customHeight="1" x14ac:dyDescent="0.25">
      <c r="A44" s="30"/>
      <c r="B44" s="30"/>
      <c r="C44" s="31"/>
      <c r="D44" s="31"/>
      <c r="E44" s="160"/>
    </row>
    <row r="45" spans="1:5" ht="16.5" customHeight="1" x14ac:dyDescent="0.25">
      <c r="A45" s="30"/>
      <c r="B45" s="30"/>
      <c r="C45" s="31"/>
      <c r="D45" s="31"/>
      <c r="E45" s="160"/>
    </row>
    <row r="46" spans="1:5" ht="16.5" customHeight="1" x14ac:dyDescent="0.25">
      <c r="A46" s="30"/>
      <c r="B46" s="30"/>
      <c r="C46" s="31"/>
      <c r="D46" s="31"/>
      <c r="E46" s="160"/>
    </row>
    <row r="47" spans="1:5" ht="16.5" customHeight="1" x14ac:dyDescent="0.25">
      <c r="A47" s="30"/>
      <c r="B47" s="30"/>
      <c r="C47" s="31"/>
      <c r="D47" s="31"/>
      <c r="E47" s="160"/>
    </row>
    <row r="48" spans="1:5" ht="16.5" customHeight="1" x14ac:dyDescent="0.25">
      <c r="A48" s="30"/>
      <c r="B48" s="30"/>
      <c r="C48" s="31"/>
      <c r="D48" s="31"/>
      <c r="E48" s="160"/>
    </row>
    <row r="49" spans="1:5" ht="16.5" customHeight="1" x14ac:dyDescent="0.25">
      <c r="A49" s="30"/>
      <c r="B49" s="30"/>
      <c r="C49" s="31"/>
      <c r="D49" s="31"/>
      <c r="E49" s="160"/>
    </row>
    <row r="50" spans="1:5" ht="16.5" customHeight="1" x14ac:dyDescent="0.25">
      <c r="A50" s="30"/>
      <c r="B50" s="30"/>
      <c r="C50" s="31"/>
      <c r="D50" s="31"/>
      <c r="E50" s="160"/>
    </row>
    <row r="51" spans="1:5" ht="16.5" customHeight="1" x14ac:dyDescent="0.25">
      <c r="A51" s="30"/>
      <c r="B51" s="30"/>
      <c r="C51" s="31"/>
      <c r="D51" s="31"/>
      <c r="E51" s="160"/>
    </row>
    <row r="52" spans="1:5" ht="16.5" customHeight="1" x14ac:dyDescent="0.25">
      <c r="A52" s="30"/>
      <c r="B52" s="30"/>
      <c r="C52" s="31"/>
      <c r="D52" s="31"/>
      <c r="E52" s="160"/>
    </row>
    <row r="53" spans="1:5" ht="16.5" customHeight="1" x14ac:dyDescent="0.25">
      <c r="A53" s="30"/>
      <c r="B53" s="30"/>
      <c r="C53" s="31"/>
      <c r="D53" s="31"/>
      <c r="E53" s="160"/>
    </row>
    <row r="54" spans="1:5" ht="16.5" customHeight="1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A3:A40 A42:A54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turdayReq"/>
  <dimension ref="A1:E54"/>
  <sheetViews>
    <sheetView workbookViewId="0">
      <selection activeCell="N10" sqref="N10"/>
    </sheetView>
  </sheetViews>
  <sheetFormatPr defaultRowHeight="15" x14ac:dyDescent="0.25"/>
  <cols>
    <col min="1" max="5" width="29.28515625" customWidth="1"/>
  </cols>
  <sheetData>
    <row r="1" spans="1:5" ht="28.5" x14ac:dyDescent="0.25">
      <c r="A1" s="258" t="s">
        <v>130</v>
      </c>
      <c r="B1" s="258"/>
      <c r="C1" s="258"/>
      <c r="D1" s="258"/>
      <c r="E1" s="258"/>
    </row>
    <row r="2" spans="1:5" ht="30" x14ac:dyDescent="0.25">
      <c r="A2" s="20" t="s">
        <v>0</v>
      </c>
      <c r="B2" s="20" t="s">
        <v>12</v>
      </c>
      <c r="C2" s="20" t="s">
        <v>1</v>
      </c>
      <c r="D2" s="20" t="s">
        <v>2</v>
      </c>
      <c r="E2" s="20" t="s">
        <v>49</v>
      </c>
    </row>
    <row r="3" spans="1:5" x14ac:dyDescent="0.25">
      <c r="A3" s="30"/>
      <c r="B3" s="30"/>
      <c r="C3" s="31"/>
      <c r="D3" s="31"/>
      <c r="E3" s="160"/>
    </row>
    <row r="4" spans="1:5" x14ac:dyDescent="0.25">
      <c r="A4" s="30"/>
      <c r="B4" s="30"/>
      <c r="C4" s="31"/>
      <c r="D4" s="31"/>
      <c r="E4" s="160"/>
    </row>
    <row r="5" spans="1:5" x14ac:dyDescent="0.25">
      <c r="A5" s="30"/>
      <c r="B5" s="30"/>
      <c r="C5" s="31"/>
      <c r="D5" s="31"/>
      <c r="E5" s="160"/>
    </row>
    <row r="6" spans="1:5" x14ac:dyDescent="0.25">
      <c r="A6" s="30"/>
      <c r="B6" s="30"/>
      <c r="C6" s="31"/>
      <c r="D6" s="31"/>
      <c r="E6" s="160"/>
    </row>
    <row r="7" spans="1:5" x14ac:dyDescent="0.25">
      <c r="A7" s="30"/>
      <c r="B7" s="30"/>
      <c r="C7" s="31"/>
      <c r="D7" s="31"/>
      <c r="E7" s="160"/>
    </row>
    <row r="8" spans="1:5" x14ac:dyDescent="0.25">
      <c r="A8" s="30"/>
      <c r="B8" s="30"/>
      <c r="C8" s="31"/>
      <c r="D8" s="31"/>
      <c r="E8" s="160"/>
    </row>
    <row r="9" spans="1:5" x14ac:dyDescent="0.25">
      <c r="A9" s="30"/>
      <c r="B9" s="30"/>
      <c r="C9" s="31"/>
      <c r="D9" s="31"/>
      <c r="E9" s="160"/>
    </row>
    <row r="10" spans="1:5" x14ac:dyDescent="0.25">
      <c r="A10" s="30"/>
      <c r="B10" s="30"/>
      <c r="C10" s="31"/>
      <c r="D10" s="31"/>
      <c r="E10" s="160"/>
    </row>
    <row r="11" spans="1:5" x14ac:dyDescent="0.25">
      <c r="A11" s="30"/>
      <c r="B11" s="30"/>
      <c r="C11" s="31"/>
      <c r="D11" s="31"/>
      <c r="E11" s="160"/>
    </row>
    <row r="12" spans="1:5" x14ac:dyDescent="0.25">
      <c r="A12" s="30"/>
      <c r="B12" s="30"/>
      <c r="C12" s="31"/>
      <c r="D12" s="31"/>
      <c r="E12" s="160"/>
    </row>
    <row r="13" spans="1:5" x14ac:dyDescent="0.25">
      <c r="A13" s="30"/>
      <c r="B13" s="30"/>
      <c r="C13" s="31"/>
      <c r="D13" s="31"/>
      <c r="E13" s="160"/>
    </row>
    <row r="14" spans="1:5" x14ac:dyDescent="0.25">
      <c r="A14" s="30"/>
      <c r="B14" s="30"/>
      <c r="C14" s="31"/>
      <c r="D14" s="31"/>
      <c r="E14" s="160"/>
    </row>
    <row r="15" spans="1:5" x14ac:dyDescent="0.25">
      <c r="A15" s="30"/>
      <c r="B15" s="30"/>
      <c r="C15" s="31"/>
      <c r="D15" s="31"/>
      <c r="E15" s="160"/>
    </row>
    <row r="16" spans="1:5" x14ac:dyDescent="0.25">
      <c r="A16" s="30"/>
      <c r="B16" s="30"/>
      <c r="C16" s="31"/>
      <c r="D16" s="31"/>
      <c r="E16" s="160"/>
    </row>
    <row r="17" spans="1:5" x14ac:dyDescent="0.25">
      <c r="A17" s="30"/>
      <c r="B17" s="30"/>
      <c r="C17" s="31"/>
      <c r="D17" s="31"/>
      <c r="E17" s="160"/>
    </row>
    <row r="18" spans="1:5" x14ac:dyDescent="0.25">
      <c r="A18" s="30"/>
      <c r="B18" s="30"/>
      <c r="C18" s="31"/>
      <c r="D18" s="31"/>
      <c r="E18" s="160"/>
    </row>
    <row r="19" spans="1:5" x14ac:dyDescent="0.25">
      <c r="A19" s="30"/>
      <c r="B19" s="30"/>
      <c r="C19" s="31"/>
      <c r="D19" s="31"/>
      <c r="E19" s="160"/>
    </row>
    <row r="20" spans="1:5" x14ac:dyDescent="0.25">
      <c r="A20" s="30"/>
      <c r="B20" s="30"/>
      <c r="C20" s="31"/>
      <c r="D20" s="31"/>
      <c r="E20" s="160"/>
    </row>
    <row r="21" spans="1:5" x14ac:dyDescent="0.25">
      <c r="A21" s="30"/>
      <c r="B21" s="30"/>
      <c r="C21" s="31"/>
      <c r="D21" s="31"/>
      <c r="E21" s="160"/>
    </row>
    <row r="22" spans="1:5" x14ac:dyDescent="0.25">
      <c r="A22" s="30"/>
      <c r="B22" s="30"/>
      <c r="C22" s="31"/>
      <c r="D22" s="31"/>
      <c r="E22" s="160"/>
    </row>
    <row r="23" spans="1:5" x14ac:dyDescent="0.25">
      <c r="A23" s="30"/>
      <c r="B23" s="30"/>
      <c r="C23" s="31"/>
      <c r="D23" s="31"/>
      <c r="E23" s="160"/>
    </row>
    <row r="24" spans="1:5" x14ac:dyDescent="0.25">
      <c r="A24" s="30"/>
      <c r="B24" s="30"/>
      <c r="C24" s="31"/>
      <c r="D24" s="31"/>
      <c r="E24" s="160"/>
    </row>
    <row r="25" spans="1:5" x14ac:dyDescent="0.25">
      <c r="A25" s="30"/>
      <c r="B25" s="30"/>
      <c r="C25" s="31"/>
      <c r="D25" s="31"/>
      <c r="E25" s="160"/>
    </row>
    <row r="26" spans="1:5" x14ac:dyDescent="0.25">
      <c r="A26" s="30"/>
      <c r="B26" s="30"/>
      <c r="C26" s="31"/>
      <c r="D26" s="31"/>
      <c r="E26" s="160"/>
    </row>
    <row r="27" spans="1:5" x14ac:dyDescent="0.25">
      <c r="A27" s="30"/>
      <c r="B27" s="30"/>
      <c r="C27" s="31"/>
      <c r="D27" s="31"/>
      <c r="E27" s="160"/>
    </row>
    <row r="28" spans="1:5" x14ac:dyDescent="0.25">
      <c r="A28" s="30"/>
      <c r="B28" s="30"/>
      <c r="C28" s="31"/>
      <c r="D28" s="31"/>
      <c r="E28" s="160"/>
    </row>
    <row r="29" spans="1:5" x14ac:dyDescent="0.25">
      <c r="A29" s="30"/>
      <c r="B29" s="30"/>
      <c r="C29" s="31"/>
      <c r="D29" s="31"/>
      <c r="E29" s="160"/>
    </row>
    <row r="30" spans="1:5" x14ac:dyDescent="0.25">
      <c r="A30" s="30"/>
      <c r="B30" s="30"/>
      <c r="C30" s="31"/>
      <c r="D30" s="31"/>
      <c r="E30" s="160"/>
    </row>
    <row r="31" spans="1:5" x14ac:dyDescent="0.25">
      <c r="A31" s="30"/>
      <c r="B31" s="30"/>
      <c r="C31" s="31"/>
      <c r="D31" s="31"/>
      <c r="E31" s="160"/>
    </row>
    <row r="32" spans="1:5" x14ac:dyDescent="0.25">
      <c r="A32" s="30"/>
      <c r="B32" s="30"/>
      <c r="C32" s="31"/>
      <c r="D32" s="31"/>
      <c r="E32" s="160"/>
    </row>
    <row r="33" spans="1:5" x14ac:dyDescent="0.25">
      <c r="A33" s="30"/>
      <c r="B33" s="30"/>
      <c r="C33" s="31"/>
      <c r="D33" s="31"/>
      <c r="E33" s="160"/>
    </row>
    <row r="34" spans="1:5" x14ac:dyDescent="0.25">
      <c r="A34" s="30"/>
      <c r="B34" s="30"/>
      <c r="C34" s="31"/>
      <c r="D34" s="31"/>
      <c r="E34" s="160"/>
    </row>
    <row r="35" spans="1:5" x14ac:dyDescent="0.25">
      <c r="A35" s="30"/>
      <c r="B35" s="30"/>
      <c r="C35" s="31"/>
      <c r="D35" s="31"/>
      <c r="E35" s="160"/>
    </row>
    <row r="36" spans="1:5" x14ac:dyDescent="0.25">
      <c r="A36" s="30"/>
      <c r="B36" s="30"/>
      <c r="C36" s="31"/>
      <c r="D36" s="31"/>
      <c r="E36" s="160"/>
    </row>
    <row r="37" spans="1:5" x14ac:dyDescent="0.25">
      <c r="A37" s="30"/>
      <c r="B37" s="30"/>
      <c r="C37" s="31"/>
      <c r="D37" s="31"/>
      <c r="E37" s="160"/>
    </row>
    <row r="38" spans="1:5" x14ac:dyDescent="0.25">
      <c r="A38" s="30"/>
      <c r="B38" s="30"/>
      <c r="C38" s="31"/>
      <c r="D38" s="31"/>
      <c r="E38" s="160"/>
    </row>
    <row r="39" spans="1:5" x14ac:dyDescent="0.25">
      <c r="A39" s="30"/>
      <c r="B39" s="30"/>
      <c r="C39" s="31"/>
      <c r="D39" s="31"/>
      <c r="E39" s="160"/>
    </row>
    <row r="40" spans="1:5" x14ac:dyDescent="0.25">
      <c r="A40" s="30"/>
      <c r="B40" s="30"/>
      <c r="C40" s="31"/>
      <c r="D40" s="31"/>
      <c r="E40" s="160"/>
    </row>
    <row r="41" spans="1:5" x14ac:dyDescent="0.25">
      <c r="A41" s="30"/>
      <c r="B41" s="30"/>
      <c r="C41" s="31"/>
      <c r="D41" s="31"/>
      <c r="E41" s="160"/>
    </row>
    <row r="42" spans="1:5" x14ac:dyDescent="0.25">
      <c r="A42" s="30"/>
      <c r="B42" s="30"/>
      <c r="C42" s="31"/>
      <c r="D42" s="31"/>
      <c r="E42" s="160"/>
    </row>
    <row r="43" spans="1:5" x14ac:dyDescent="0.25">
      <c r="A43" s="30"/>
      <c r="B43" s="30"/>
      <c r="C43" s="31"/>
      <c r="D43" s="31"/>
      <c r="E43" s="160"/>
    </row>
    <row r="44" spans="1:5" x14ac:dyDescent="0.25">
      <c r="A44" s="30"/>
      <c r="B44" s="30"/>
      <c r="C44" s="31"/>
      <c r="D44" s="31"/>
      <c r="E44" s="160"/>
    </row>
    <row r="45" spans="1:5" x14ac:dyDescent="0.25">
      <c r="A45" s="30"/>
      <c r="B45" s="30"/>
      <c r="C45" s="31"/>
      <c r="D45" s="31"/>
      <c r="E45" s="160"/>
    </row>
    <row r="46" spans="1:5" x14ac:dyDescent="0.25">
      <c r="A46" s="30"/>
      <c r="B46" s="30"/>
      <c r="C46" s="31"/>
      <c r="D46" s="31"/>
      <c r="E46" s="160"/>
    </row>
    <row r="47" spans="1:5" x14ac:dyDescent="0.25">
      <c r="A47" s="30"/>
      <c r="B47" s="30"/>
      <c r="C47" s="31"/>
      <c r="D47" s="31"/>
      <c r="E47" s="160"/>
    </row>
    <row r="48" spans="1:5" x14ac:dyDescent="0.25">
      <c r="A48" s="30"/>
      <c r="B48" s="30"/>
      <c r="C48" s="31"/>
      <c r="D48" s="31"/>
      <c r="E48" s="160"/>
    </row>
    <row r="49" spans="1:5" x14ac:dyDescent="0.25">
      <c r="A49" s="30"/>
      <c r="B49" s="30"/>
      <c r="C49" s="31"/>
      <c r="D49" s="31"/>
      <c r="E49" s="160"/>
    </row>
    <row r="50" spans="1:5" x14ac:dyDescent="0.25">
      <c r="A50" s="30"/>
      <c r="B50" s="30"/>
      <c r="C50" s="31"/>
      <c r="D50" s="31"/>
      <c r="E50" s="160"/>
    </row>
    <row r="51" spans="1:5" x14ac:dyDescent="0.25">
      <c r="A51" s="30"/>
      <c r="B51" s="30"/>
      <c r="C51" s="31"/>
      <c r="D51" s="31"/>
      <c r="E51" s="160"/>
    </row>
    <row r="52" spans="1:5" x14ac:dyDescent="0.25">
      <c r="A52" s="30"/>
      <c r="B52" s="30"/>
      <c r="C52" s="31"/>
      <c r="D52" s="31"/>
      <c r="E52" s="160"/>
    </row>
    <row r="53" spans="1:5" x14ac:dyDescent="0.25">
      <c r="A53" s="30"/>
      <c r="B53" s="30"/>
      <c r="C53" s="31"/>
      <c r="D53" s="31"/>
      <c r="E53" s="160"/>
    </row>
    <row r="54" spans="1:5" x14ac:dyDescent="0.25">
      <c r="A54" s="30"/>
      <c r="B54" s="30"/>
      <c r="C54" s="31"/>
      <c r="D54" s="31"/>
      <c r="E54" s="160"/>
    </row>
  </sheetData>
  <sheetProtection sheet="1" objects="1" scenarios="1"/>
  <mergeCells count="1">
    <mergeCell ref="A1:E1"/>
  </mergeCells>
  <dataValidations count="2">
    <dataValidation type="list" allowBlank="1" showInputMessage="1" showErrorMessage="1" sqref="A3:A40 A42:A54">
      <formula1>Dept</formula1>
    </dataValidation>
    <dataValidation type="list" allowBlank="1" showInputMessage="1" showErrorMessage="1" sqref="B3:B54">
      <formula1>Factory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un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L18" sqref="L18"/>
    </sheetView>
  </sheetViews>
  <sheetFormatPr defaultColWidth="8.85546875" defaultRowHeight="15" x14ac:dyDescent="0.25"/>
  <cols>
    <col min="1" max="1" width="17" style="22" bestFit="1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37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Info!B5-6</f>
        <v>44549</v>
      </c>
      <c r="G5" s="25"/>
      <c r="H5" s="25"/>
      <c r="I5" s="28"/>
      <c r="J5" s="29" t="s">
        <v>51</v>
      </c>
      <c r="K5" s="37"/>
      <c r="L5" s="37"/>
      <c r="R5" s="46"/>
    </row>
    <row r="6" spans="1:34" ht="14.45" customHeight="1" x14ac:dyDescent="0.25">
      <c r="A6" s="21"/>
      <c r="G6" s="25"/>
      <c r="H6" s="25"/>
      <c r="I6" s="37"/>
      <c r="J6" s="37"/>
      <c r="K6" s="37"/>
      <c r="L6" s="37"/>
      <c r="R6" s="46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30" t="str">
        <f ca="1">IF(ISBLANK(INDIRECT("'Sunday REQ'!A3")),"",INDIRECT("'Sunday REQ'!A3"))</f>
        <v/>
      </c>
      <c r="B9" s="30" t="str">
        <f ca="1">IF(ISBLANK(INDIRECT("'Sunday REQ'!B3")),"",INDIRECT("'Sunday REQ'!B3"))</f>
        <v/>
      </c>
      <c r="C9" s="31" t="str">
        <f ca="1">IF(ISBLANK(INDIRECT("'Sunday REQ'!C3")),"",INDIRECT("'Sunday REQ'!C3"))</f>
        <v/>
      </c>
      <c r="D9" s="31" t="str">
        <f ca="1">IF(ISBLANK(INDIRECT("'Sunday REQ'!D3")),"",INDIRECT("'Sunday REQ'!D3"))</f>
        <v/>
      </c>
      <c r="E9" s="160" t="str">
        <f ca="1">IF(ISBLANK(INDIRECT("'Sunday REQ'!E3")),"",INDIRECT("'Sunday REQ'!E3"))</f>
        <v/>
      </c>
      <c r="F9" s="200"/>
      <c r="G9" s="199"/>
      <c r="H9" s="198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P13" si="0">IF(ISNUMBER(I9),I9,LEFT(I9,5))</f>
        <v/>
      </c>
      <c r="N9" s="34" t="str">
        <f t="shared" si="0"/>
        <v/>
      </c>
      <c r="O9" s="34" t="str">
        <f t="shared" si="0"/>
        <v/>
      </c>
      <c r="P9" s="34" t="str">
        <f t="shared" si="0"/>
        <v/>
      </c>
      <c r="Q9" s="214"/>
      <c r="R9" s="215"/>
      <c r="S9" s="35" t="str">
        <f t="shared" ref="S9:S40" si="1">IFERROR(IF(P9&lt;M9,P9+(1-M9),P9-M9),"")</f>
        <v/>
      </c>
      <c r="T9" s="35" t="str">
        <f t="shared" ref="T9:T40" si="2">IF(P9="","",IFERROR(O9-N9,""))</f>
        <v/>
      </c>
      <c r="U9" s="33" t="str">
        <f t="shared" ref="U9:U40" si="3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Z40" si="4">_xlfn.ISFORMULA(I9)</f>
        <v>1</v>
      </c>
      <c r="AA9" s="22" t="b">
        <f t="shared" ref="AA9:AA40" si="5">_xlfn.ISFORMULA(J9)</f>
        <v>1</v>
      </c>
      <c r="AB9" s="22" t="b">
        <f t="shared" ref="AB9:AB40" si="6">_xlfn.ISFORMULA(K9)</f>
        <v>1</v>
      </c>
      <c r="AC9" s="22" t="b">
        <f t="shared" ref="AC9:AC40" si="7">_xlfn.ISFORMULA(L9)</f>
        <v>1</v>
      </c>
      <c r="AD9" s="51" t="b">
        <f>_xlfn.ISFORMULA(U9)</f>
        <v>1</v>
      </c>
      <c r="AE9" s="51" t="str">
        <f>CONCATENATE(G9,"-",$A$5)</f>
        <v>-44549</v>
      </c>
      <c r="AF9" s="267"/>
      <c r="AG9" s="267"/>
      <c r="AH9" s="267"/>
    </row>
    <row r="10" spans="1:34" x14ac:dyDescent="0.25">
      <c r="A10" s="30" t="str">
        <f ca="1">IF(ISBLANK(INDIRECT("'Sunday REQ'!A4")),"",INDIRECT("'Sunday REQ'!A4"))</f>
        <v/>
      </c>
      <c r="B10" s="30" t="str">
        <f ca="1">IF(ISBLANK(INDIRECT("'Sunday REQ'!B4")),"",INDIRECT("'Sunday REQ'!B4"))</f>
        <v/>
      </c>
      <c r="C10" s="31" t="str">
        <f ca="1">IF(ISBLANK(INDIRECT("'Sunday REQ'!C4")),"",INDIRECT("'Sunday REQ'!C4"))</f>
        <v/>
      </c>
      <c r="D10" s="31" t="str">
        <f ca="1">IF(ISBLANK(INDIRECT("'Sunday REQ'!D4")),"",INDIRECT("'Sunday REQ'!D4"))</f>
        <v/>
      </c>
      <c r="E10" s="160" t="str">
        <f ca="1">IF(ISBLANK(INDIRECT("'Sunday REQ'!E4")),"",INDIRECT("'Sunday REQ'!E4"))</f>
        <v/>
      </c>
      <c r="F10" s="200"/>
      <c r="G10" s="198"/>
      <c r="H10" s="198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0"/>
        <v/>
      </c>
      <c r="O10" s="34" t="str">
        <f t="shared" si="0"/>
        <v/>
      </c>
      <c r="P10" s="34" t="str">
        <f t="shared" si="0"/>
        <v/>
      </c>
      <c r="Q10" s="214"/>
      <c r="R10" s="215"/>
      <c r="S10" s="35" t="str">
        <f t="shared" si="1"/>
        <v/>
      </c>
      <c r="T10" s="35" t="str">
        <f t="shared" si="2"/>
        <v/>
      </c>
      <c r="U10" s="33" t="str">
        <f t="shared" si="3"/>
        <v/>
      </c>
      <c r="V10" s="35" t="str">
        <f t="shared" ref="V10:V60" si="8">IFERROR(S10-U10,"")</f>
        <v/>
      </c>
      <c r="W10" s="36" t="str">
        <f t="shared" ref="W10:W60" si="9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10">IFERROR(X10*W10,"")</f>
        <v/>
      </c>
      <c r="Z10" s="22" t="b">
        <f t="shared" si="4"/>
        <v>1</v>
      </c>
      <c r="AA10" s="22" t="b">
        <f t="shared" si="5"/>
        <v>1</v>
      </c>
      <c r="AB10" s="22" t="b">
        <f t="shared" si="6"/>
        <v>1</v>
      </c>
      <c r="AC10" s="22" t="b">
        <f t="shared" si="7"/>
        <v>1</v>
      </c>
      <c r="AD10" s="51" t="b">
        <f t="shared" ref="AD10:AD60" si="11">_xlfn.ISFORMULA(U10)</f>
        <v>1</v>
      </c>
      <c r="AE10" s="51" t="str">
        <f t="shared" ref="AE10:AE60" si="12">CONCATENATE(G10,"-",$A$5)</f>
        <v>-44549</v>
      </c>
      <c r="AF10" s="267"/>
      <c r="AG10" s="267"/>
      <c r="AH10" s="267"/>
    </row>
    <row r="11" spans="1:34" x14ac:dyDescent="0.25">
      <c r="A11" s="30" t="str">
        <f ca="1">IF(ISBLANK(INDIRECT("'Sunday REQ'!A5")),"",INDIRECT("'Sunday REQ'!A5"))</f>
        <v/>
      </c>
      <c r="B11" s="30" t="str">
        <f ca="1">IF(ISBLANK(INDIRECT("'Sunday REQ'!B5")),"",INDIRECT("'Sunday REQ'!B5"))</f>
        <v/>
      </c>
      <c r="C11" s="31" t="str">
        <f ca="1">IF(ISBLANK(INDIRECT("'Sunday REQ'!C5")),"",INDIRECT("'Sunday REQ'!C5"))</f>
        <v/>
      </c>
      <c r="D11" s="31" t="str">
        <f ca="1">IF(ISBLANK(INDIRECT("'Sunday REQ'!D5")),"",INDIRECT("'Sunday REQ'!D5"))</f>
        <v/>
      </c>
      <c r="E11" s="160" t="str">
        <f ca="1">IF(ISBLANK(INDIRECT("'Sunday REQ'!E5")),"",INDIRECT("'Sunday REQ'!E5"))</f>
        <v/>
      </c>
      <c r="F11" s="200"/>
      <c r="G11" s="198"/>
      <c r="H11" s="198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0"/>
        <v/>
      </c>
      <c r="O11" s="34" t="str">
        <f t="shared" si="0"/>
        <v/>
      </c>
      <c r="P11" s="34" t="str">
        <f t="shared" si="0"/>
        <v/>
      </c>
      <c r="Q11" s="214"/>
      <c r="R11" s="215"/>
      <c r="S11" s="35" t="str">
        <f t="shared" si="1"/>
        <v/>
      </c>
      <c r="T11" s="35" t="str">
        <f t="shared" si="2"/>
        <v/>
      </c>
      <c r="U11" s="33" t="str">
        <f t="shared" si="3"/>
        <v/>
      </c>
      <c r="V11" s="35" t="str">
        <f t="shared" si="8"/>
        <v/>
      </c>
      <c r="W11" s="36" t="str">
        <f t="shared" si="9"/>
        <v/>
      </c>
      <c r="X11" s="36" t="str">
        <f>IFERROR(VLOOKUP(Info!$B$3&amp;"-"&amp;H11,'Agency Rates'!A:D,4,FALSE),"")</f>
        <v/>
      </c>
      <c r="Y11" s="48" t="str">
        <f t="shared" si="10"/>
        <v/>
      </c>
      <c r="Z11" s="22" t="b">
        <f t="shared" si="4"/>
        <v>1</v>
      </c>
      <c r="AA11" s="22" t="b">
        <f t="shared" si="5"/>
        <v>1</v>
      </c>
      <c r="AB11" s="22" t="b">
        <f t="shared" si="6"/>
        <v>1</v>
      </c>
      <c r="AC11" s="22" t="b">
        <f t="shared" si="7"/>
        <v>1</v>
      </c>
      <c r="AD11" s="51" t="b">
        <f t="shared" si="11"/>
        <v>1</v>
      </c>
      <c r="AE11" s="51" t="str">
        <f t="shared" si="12"/>
        <v>-44549</v>
      </c>
      <c r="AF11" s="267"/>
      <c r="AG11" s="267"/>
      <c r="AH11" s="267"/>
    </row>
    <row r="12" spans="1:34" x14ac:dyDescent="0.25">
      <c r="A12" s="30" t="str">
        <f ca="1">IF(ISBLANK(INDIRECT("'Sunday REQ'!A6")),"",INDIRECT("'Sunday REQ'!A6"))</f>
        <v/>
      </c>
      <c r="B12" s="30" t="str">
        <f ca="1">IF(ISBLANK(INDIRECT("'Sunday REQ'!B6")),"",INDIRECT("'Sunday REQ'!B6"))</f>
        <v/>
      </c>
      <c r="C12" s="31" t="str">
        <f ca="1">IF(ISBLANK(INDIRECT("'Sunday REQ'!C6")),"",INDIRECT("'Sunday REQ'!C6"))</f>
        <v/>
      </c>
      <c r="D12" s="31" t="str">
        <f ca="1">IF(ISBLANK(INDIRECT("'Sunday REQ'!D6")),"",INDIRECT("'Sunday REQ'!D6"))</f>
        <v/>
      </c>
      <c r="E12" s="160" t="str">
        <f ca="1">IF(ISBLANK(INDIRECT("'Sunday REQ'!E6")),"",INDIRECT("'Sunday REQ'!E6"))</f>
        <v/>
      </c>
      <c r="F12" s="200"/>
      <c r="G12" s="198"/>
      <c r="H12" s="198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0"/>
        <v/>
      </c>
      <c r="O12" s="34" t="str">
        <f t="shared" si="0"/>
        <v/>
      </c>
      <c r="P12" s="34" t="str">
        <f t="shared" si="0"/>
        <v/>
      </c>
      <c r="Q12" s="214"/>
      <c r="R12" s="215"/>
      <c r="S12" s="35" t="str">
        <f t="shared" si="1"/>
        <v/>
      </c>
      <c r="T12" s="35" t="str">
        <f t="shared" si="2"/>
        <v/>
      </c>
      <c r="U12" s="33" t="str">
        <f t="shared" si="3"/>
        <v/>
      </c>
      <c r="V12" s="35" t="str">
        <f t="shared" si="8"/>
        <v/>
      </c>
      <c r="W12" s="36" t="str">
        <f t="shared" si="9"/>
        <v/>
      </c>
      <c r="X12" s="36" t="str">
        <f>IFERROR(VLOOKUP(Info!$B$3&amp;"-"&amp;H12,'Agency Rates'!A:D,4,FALSE),"")</f>
        <v/>
      </c>
      <c r="Y12" s="48" t="str">
        <f t="shared" si="10"/>
        <v/>
      </c>
      <c r="Z12" s="22" t="b">
        <f t="shared" si="4"/>
        <v>1</v>
      </c>
      <c r="AA12" s="22" t="b">
        <f t="shared" si="5"/>
        <v>1</v>
      </c>
      <c r="AB12" s="22" t="b">
        <f t="shared" si="6"/>
        <v>1</v>
      </c>
      <c r="AC12" s="22" t="b">
        <f t="shared" si="7"/>
        <v>1</v>
      </c>
      <c r="AD12" s="51" t="b">
        <f t="shared" si="11"/>
        <v>1</v>
      </c>
      <c r="AE12" s="51" t="str">
        <f t="shared" si="12"/>
        <v>-44549</v>
      </c>
      <c r="AF12" s="267"/>
      <c r="AG12" s="267"/>
      <c r="AH12" s="267"/>
    </row>
    <row r="13" spans="1:34" x14ac:dyDescent="0.25">
      <c r="A13" s="30" t="str">
        <f ca="1">IF(ISBLANK(INDIRECT("'Sunday REQ'!A7")),"",INDIRECT("'Sunday REQ'!A7"))</f>
        <v/>
      </c>
      <c r="B13" s="30" t="str">
        <f ca="1">IF(ISBLANK(INDIRECT("'Sunday REQ'!B7")),"",INDIRECT("'Sunday REQ'!B7"))</f>
        <v/>
      </c>
      <c r="C13" s="31" t="str">
        <f ca="1">IF(ISBLANK(INDIRECT("'Sunday REQ'!C7")),"",INDIRECT("'Sunday REQ'!C7"))</f>
        <v/>
      </c>
      <c r="D13" s="31" t="str">
        <f ca="1">IF(ISBLANK(INDIRECT("'Sunday REQ'!D7")),"",INDIRECT("'Sunday REQ'!D7"))</f>
        <v/>
      </c>
      <c r="E13" s="160" t="str">
        <f ca="1">IF(ISBLANK(INDIRECT("'Sunday REQ'!E7")),"",INDIRECT("'Sunday REQ'!E7"))</f>
        <v/>
      </c>
      <c r="F13" s="200"/>
      <c r="G13" s="199"/>
      <c r="H13" s="198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0"/>
        <v/>
      </c>
      <c r="O13" s="34" t="str">
        <f t="shared" si="0"/>
        <v/>
      </c>
      <c r="P13" s="34" t="str">
        <f t="shared" si="0"/>
        <v/>
      </c>
      <c r="Q13" s="214"/>
      <c r="R13" s="215"/>
      <c r="S13" s="35" t="str">
        <f t="shared" si="1"/>
        <v/>
      </c>
      <c r="T13" s="35" t="str">
        <f t="shared" si="2"/>
        <v/>
      </c>
      <c r="U13" s="33" t="str">
        <f t="shared" si="3"/>
        <v/>
      </c>
      <c r="V13" s="35" t="str">
        <f t="shared" si="8"/>
        <v/>
      </c>
      <c r="W13" s="36" t="str">
        <f t="shared" si="9"/>
        <v/>
      </c>
      <c r="X13" s="36" t="str">
        <f>IFERROR(VLOOKUP(Info!$B$3&amp;"-"&amp;H13,'Agency Rates'!A:D,4,FALSE),"")</f>
        <v/>
      </c>
      <c r="Y13" s="48" t="str">
        <f t="shared" si="10"/>
        <v/>
      </c>
      <c r="Z13" s="22" t="b">
        <f t="shared" si="4"/>
        <v>1</v>
      </c>
      <c r="AA13" s="22" t="b">
        <f t="shared" si="5"/>
        <v>1</v>
      </c>
      <c r="AB13" s="22" t="b">
        <f t="shared" si="6"/>
        <v>1</v>
      </c>
      <c r="AC13" s="22" t="b">
        <f t="shared" si="7"/>
        <v>1</v>
      </c>
      <c r="AD13" s="51" t="b">
        <f t="shared" si="11"/>
        <v>1</v>
      </c>
      <c r="AE13" s="51" t="str">
        <f t="shared" si="12"/>
        <v>-44549</v>
      </c>
      <c r="AF13" s="267"/>
      <c r="AG13" s="267"/>
      <c r="AH13" s="267"/>
    </row>
    <row r="14" spans="1:34" x14ac:dyDescent="0.25">
      <c r="A14" s="30" t="str">
        <f ca="1">IF(ISBLANK(INDIRECT("'Sunday REQ'!A8")),"",INDIRECT("'Sunday REQ'!A8"))</f>
        <v/>
      </c>
      <c r="B14" s="30" t="str">
        <f ca="1">IF(ISBLANK(INDIRECT("'Sunday REQ'!B8")),"",INDIRECT("'Sunday REQ'!B8"))</f>
        <v/>
      </c>
      <c r="C14" s="31" t="str">
        <f ca="1">IF(ISBLANK(INDIRECT("'Sunday REQ'!C8")),"",INDIRECT("'Sunday REQ'!C8"))</f>
        <v/>
      </c>
      <c r="D14" s="31" t="str">
        <f ca="1">IF(ISBLANK(INDIRECT("'Sunday REQ'!D8")),"",INDIRECT("'Sunday REQ'!D8"))</f>
        <v/>
      </c>
      <c r="E14" s="160" t="str">
        <f ca="1">IF(ISBLANK(INDIRECT("'Sunday REQ'!E8")),"",INDIRECT("'Sunday REQ'!E8"))</f>
        <v/>
      </c>
      <c r="F14" s="200"/>
      <c r="G14" s="198"/>
      <c r="H14" s="198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ref="M14:M60" si="13">IF(ISNUMBER(I14),I14,LEFT(I14,5))</f>
        <v/>
      </c>
      <c r="N14" s="34" t="str">
        <f t="shared" ref="N14:N60" si="14">IF(ISNUMBER(J14),J14,LEFT(J14,5))</f>
        <v/>
      </c>
      <c r="O14" s="34" t="str">
        <f t="shared" ref="O14:O60" si="15">IF(ISNUMBER(K14),K14,LEFT(K14,5))</f>
        <v/>
      </c>
      <c r="P14" s="34" t="str">
        <f t="shared" ref="P14:P60" si="16">IF(ISNUMBER(L14),L14,LEFT(L14,5))</f>
        <v/>
      </c>
      <c r="Q14" s="214"/>
      <c r="R14" s="215"/>
      <c r="S14" s="35" t="str">
        <f t="shared" si="1"/>
        <v/>
      </c>
      <c r="T14" s="35" t="str">
        <f t="shared" si="2"/>
        <v/>
      </c>
      <c r="U14" s="33" t="str">
        <f t="shared" si="3"/>
        <v/>
      </c>
      <c r="V14" s="35" t="str">
        <f t="shared" si="8"/>
        <v/>
      </c>
      <c r="W14" s="36" t="str">
        <f t="shared" si="9"/>
        <v/>
      </c>
      <c r="X14" s="36" t="str">
        <f>IFERROR(VLOOKUP(Info!$B$3&amp;"-"&amp;H14,'Agency Rates'!A:D,4,FALSE),"")</f>
        <v/>
      </c>
      <c r="Y14" s="48" t="str">
        <f t="shared" si="10"/>
        <v/>
      </c>
      <c r="Z14" s="22" t="b">
        <f t="shared" si="4"/>
        <v>1</v>
      </c>
      <c r="AA14" s="22" t="b">
        <f t="shared" si="5"/>
        <v>1</v>
      </c>
      <c r="AB14" s="22" t="b">
        <f t="shared" si="6"/>
        <v>1</v>
      </c>
      <c r="AC14" s="22" t="b">
        <f t="shared" si="7"/>
        <v>1</v>
      </c>
      <c r="AD14" s="51" t="b">
        <f t="shared" si="11"/>
        <v>1</v>
      </c>
      <c r="AE14" s="51" t="str">
        <f t="shared" si="12"/>
        <v>-44549</v>
      </c>
      <c r="AF14" s="267"/>
      <c r="AG14" s="267"/>
      <c r="AH14" s="267"/>
    </row>
    <row r="15" spans="1:34" x14ac:dyDescent="0.25">
      <c r="A15" s="208" t="str">
        <f ca="1">IF(ISBLANK(INDIRECT("'Sunday REQ'!A9")),"",INDIRECT("'Sunday REQ'!A9"))</f>
        <v/>
      </c>
      <c r="B15" s="208" t="str">
        <f ca="1">IF(ISBLANK(INDIRECT("'Sunday REQ'!B9")),"",INDIRECT("'Sunday REQ'!B9"))</f>
        <v/>
      </c>
      <c r="C15" s="209" t="str">
        <f ca="1">IF(ISBLANK(INDIRECT("'Sunday REQ'!C8")),"",INDIRECT("'Sunday REQ'!C8"))</f>
        <v/>
      </c>
      <c r="D15" s="31" t="str">
        <f ca="1">IF(ISBLANK(INDIRECT("'Sunday REQ'!D9")),"",INDIRECT("'Sunday REQ'!D9"))</f>
        <v/>
      </c>
      <c r="E15" s="212" t="str">
        <f ca="1">IF(ISBLANK(INDIRECT("'Sunday REQ'!E9")),"",INDIRECT("'Sunday REQ'!E9"))</f>
        <v/>
      </c>
      <c r="F15" s="213"/>
      <c r="G15" s="210"/>
      <c r="H15" s="210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13"/>
        <v/>
      </c>
      <c r="N15" s="34" t="str">
        <f t="shared" si="14"/>
        <v/>
      </c>
      <c r="O15" s="34" t="str">
        <f t="shared" si="15"/>
        <v/>
      </c>
      <c r="P15" s="34" t="str">
        <f t="shared" si="16"/>
        <v/>
      </c>
      <c r="Q15" s="214"/>
      <c r="R15" s="215"/>
      <c r="S15" s="35" t="str">
        <f t="shared" si="1"/>
        <v/>
      </c>
      <c r="T15" s="35" t="str">
        <f t="shared" si="2"/>
        <v/>
      </c>
      <c r="U15" s="33" t="str">
        <f t="shared" si="3"/>
        <v/>
      </c>
      <c r="V15" s="35" t="str">
        <f t="shared" si="8"/>
        <v/>
      </c>
      <c r="W15" s="36" t="str">
        <f t="shared" si="9"/>
        <v/>
      </c>
      <c r="X15" s="36" t="str">
        <f>IFERROR(VLOOKUP(Info!$B$3&amp;"-"&amp;H15,'Agency Rates'!A:D,4,FALSE),"")</f>
        <v/>
      </c>
      <c r="Y15" s="48" t="str">
        <f t="shared" si="10"/>
        <v/>
      </c>
      <c r="Z15" s="22" t="b">
        <f t="shared" si="4"/>
        <v>1</v>
      </c>
      <c r="AA15" s="22" t="b">
        <f t="shared" si="5"/>
        <v>1</v>
      </c>
      <c r="AB15" s="22" t="b">
        <f t="shared" si="6"/>
        <v>1</v>
      </c>
      <c r="AC15" s="22" t="b">
        <f t="shared" si="7"/>
        <v>1</v>
      </c>
      <c r="AD15" s="51" t="b">
        <f t="shared" si="11"/>
        <v>1</v>
      </c>
      <c r="AE15" s="51" t="str">
        <f t="shared" si="12"/>
        <v>-44549</v>
      </c>
      <c r="AF15" s="267"/>
      <c r="AG15" s="267"/>
      <c r="AH15" s="267"/>
    </row>
    <row r="16" spans="1:34" x14ac:dyDescent="0.25">
      <c r="A16" s="30" t="str">
        <f ca="1">IF(ISBLANK(INDIRECT("'Sunday REQ'!A10")),"",INDIRECT("'Sunday REQ'!A10"))</f>
        <v/>
      </c>
      <c r="B16" s="30" t="str">
        <f ca="1">IF(ISBLANK(INDIRECT("'Sunday REQ'!B10")),"",INDIRECT("'Sunday REQ'!B10"))</f>
        <v/>
      </c>
      <c r="C16" s="31" t="str">
        <f ca="1">IF(ISBLANK(INDIRECT("'Sunday REQ'!C10")),"",INDIRECT("'Sunday REQ'!C10"))</f>
        <v/>
      </c>
      <c r="D16" s="31" t="str">
        <f ca="1">IF(ISBLANK(INDIRECT("'Sunday REQ'!D10")),"",INDIRECT("'Sunday REQ'!D10"))</f>
        <v/>
      </c>
      <c r="E16" s="160" t="str">
        <f ca="1">IF(ISBLANK(INDIRECT("'Sunday REQ'!E10")),"",INDIRECT("'Sunday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13"/>
        <v/>
      </c>
      <c r="N16" s="34" t="str">
        <f t="shared" si="14"/>
        <v/>
      </c>
      <c r="O16" s="34" t="str">
        <f t="shared" si="15"/>
        <v/>
      </c>
      <c r="P16" s="34" t="str">
        <f t="shared" si="16"/>
        <v/>
      </c>
      <c r="Q16" s="214"/>
      <c r="R16" s="215"/>
      <c r="S16" s="35" t="str">
        <f t="shared" si="1"/>
        <v/>
      </c>
      <c r="T16" s="35" t="str">
        <f t="shared" si="2"/>
        <v/>
      </c>
      <c r="U16" s="33" t="str">
        <f t="shared" si="3"/>
        <v/>
      </c>
      <c r="V16" s="35" t="str">
        <f t="shared" si="8"/>
        <v/>
      </c>
      <c r="W16" s="36" t="str">
        <f t="shared" si="9"/>
        <v/>
      </c>
      <c r="X16" s="36" t="str">
        <f>IFERROR(VLOOKUP(Info!$B$3&amp;"-"&amp;H16,'Agency Rates'!A:D,4,FALSE),"")</f>
        <v/>
      </c>
      <c r="Y16" s="48" t="str">
        <f t="shared" si="10"/>
        <v/>
      </c>
      <c r="Z16" s="22" t="b">
        <f t="shared" si="4"/>
        <v>1</v>
      </c>
      <c r="AA16" s="22" t="b">
        <f t="shared" si="5"/>
        <v>1</v>
      </c>
      <c r="AB16" s="22" t="b">
        <f t="shared" si="6"/>
        <v>1</v>
      </c>
      <c r="AC16" s="22" t="b">
        <f t="shared" si="7"/>
        <v>1</v>
      </c>
      <c r="AD16" s="51" t="b">
        <f t="shared" si="11"/>
        <v>1</v>
      </c>
      <c r="AE16" s="51" t="str">
        <f t="shared" si="12"/>
        <v>-44549</v>
      </c>
      <c r="AF16" s="267"/>
      <c r="AG16" s="267"/>
      <c r="AH16" s="267"/>
    </row>
    <row r="17" spans="1:34" x14ac:dyDescent="0.25">
      <c r="A17" s="30" t="str">
        <f ca="1">IF(ISBLANK(INDIRECT("'Sunday REQ'!A11")),"",INDIRECT("'Sunday REQ'!A11"))</f>
        <v/>
      </c>
      <c r="B17" s="30" t="str">
        <f ca="1">IF(ISBLANK(INDIRECT("'Sunday REQ'!B11")),"",INDIRECT("'Sunday REQ'!B11"))</f>
        <v/>
      </c>
      <c r="C17" s="31" t="str">
        <f ca="1">IF(ISBLANK(INDIRECT("'Sunday REQ'!C11")),"",INDIRECT("'Sunday REQ'!C11"))</f>
        <v/>
      </c>
      <c r="D17" s="31" t="str">
        <f ca="1">IF(ISBLANK(INDIRECT("'Sunday REQ'!D11")),"",INDIRECT("'Sunday REQ'!D11"))</f>
        <v/>
      </c>
      <c r="E17" s="160" t="str">
        <f ca="1">IF(ISBLANK(INDIRECT("'Sunday REQ'!E11")),"",INDIRECT("'Sunday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13"/>
        <v/>
      </c>
      <c r="N17" s="34" t="str">
        <f t="shared" si="14"/>
        <v/>
      </c>
      <c r="O17" s="34" t="str">
        <f t="shared" si="15"/>
        <v/>
      </c>
      <c r="P17" s="34" t="str">
        <f t="shared" si="16"/>
        <v/>
      </c>
      <c r="Q17" s="214"/>
      <c r="R17" s="215"/>
      <c r="S17" s="35" t="str">
        <f t="shared" si="1"/>
        <v/>
      </c>
      <c r="T17" s="35" t="str">
        <f t="shared" si="2"/>
        <v/>
      </c>
      <c r="U17" s="33" t="str">
        <f t="shared" si="3"/>
        <v/>
      </c>
      <c r="V17" s="35" t="str">
        <f t="shared" si="8"/>
        <v/>
      </c>
      <c r="W17" s="36" t="str">
        <f t="shared" si="9"/>
        <v/>
      </c>
      <c r="X17" s="36" t="str">
        <f>IFERROR(VLOOKUP(Info!$B$3&amp;"-"&amp;H17,'Agency Rates'!A:D,4,FALSE),"")</f>
        <v/>
      </c>
      <c r="Y17" s="48" t="str">
        <f t="shared" si="10"/>
        <v/>
      </c>
      <c r="Z17" s="22" t="b">
        <f t="shared" si="4"/>
        <v>1</v>
      </c>
      <c r="AA17" s="22" t="b">
        <f t="shared" si="5"/>
        <v>1</v>
      </c>
      <c r="AB17" s="22" t="b">
        <f t="shared" si="6"/>
        <v>1</v>
      </c>
      <c r="AC17" s="22" t="b">
        <f t="shared" si="7"/>
        <v>1</v>
      </c>
      <c r="AD17" s="51" t="b">
        <f t="shared" si="11"/>
        <v>1</v>
      </c>
      <c r="AE17" s="51" t="str">
        <f t="shared" si="12"/>
        <v>-44549</v>
      </c>
      <c r="AF17" s="267"/>
      <c r="AG17" s="267"/>
      <c r="AH17" s="267"/>
    </row>
    <row r="18" spans="1:34" x14ac:dyDescent="0.25">
      <c r="A18" s="30" t="str">
        <f ca="1">IF(ISBLANK(INDIRECT("'Sunday REQ'!A12")),"",INDIRECT("'Sunday REQ'!A12"))</f>
        <v/>
      </c>
      <c r="B18" s="30" t="str">
        <f ca="1">IF(ISBLANK(INDIRECT("'Sunday REQ'!B12")),"",INDIRECT("'Sunday REQ'!B12"))</f>
        <v/>
      </c>
      <c r="C18" s="31" t="str">
        <f ca="1">IF(ISBLANK(INDIRECT("'Sunday REQ'!C12")),"",INDIRECT("'Sunday REQ'!C12"))</f>
        <v/>
      </c>
      <c r="D18" s="31" t="str">
        <f ca="1">IF(ISBLANK(INDIRECT("'Sunday REQ'!D12")),"",INDIRECT("'Sunday REQ'!D12"))</f>
        <v/>
      </c>
      <c r="E18" s="160" t="str">
        <f ca="1">IF(ISBLANK(INDIRECT("'Sunday REQ'!E12")),"",INDIRECT("'Sunday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13"/>
        <v/>
      </c>
      <c r="N18" s="34" t="str">
        <f t="shared" si="14"/>
        <v/>
      </c>
      <c r="O18" s="34" t="str">
        <f t="shared" si="15"/>
        <v/>
      </c>
      <c r="P18" s="34" t="str">
        <f t="shared" si="16"/>
        <v/>
      </c>
      <c r="Q18" s="214"/>
      <c r="R18" s="215"/>
      <c r="S18" s="35" t="str">
        <f t="shared" si="1"/>
        <v/>
      </c>
      <c r="T18" s="35" t="str">
        <f t="shared" si="2"/>
        <v/>
      </c>
      <c r="U18" s="33" t="str">
        <f t="shared" si="3"/>
        <v/>
      </c>
      <c r="V18" s="35" t="str">
        <f t="shared" si="8"/>
        <v/>
      </c>
      <c r="W18" s="36" t="str">
        <f t="shared" si="9"/>
        <v/>
      </c>
      <c r="X18" s="36" t="str">
        <f>IFERROR(VLOOKUP(Info!$B$3&amp;"-"&amp;H18,'Agency Rates'!A:D,4,FALSE),"")</f>
        <v/>
      </c>
      <c r="Y18" s="48" t="str">
        <f t="shared" si="10"/>
        <v/>
      </c>
      <c r="Z18" s="22" t="b">
        <f t="shared" si="4"/>
        <v>1</v>
      </c>
      <c r="AA18" s="22" t="b">
        <f t="shared" si="5"/>
        <v>1</v>
      </c>
      <c r="AB18" s="22" t="b">
        <f t="shared" si="6"/>
        <v>1</v>
      </c>
      <c r="AC18" s="22" t="b">
        <f t="shared" si="7"/>
        <v>1</v>
      </c>
      <c r="AD18" s="51" t="b">
        <f t="shared" si="11"/>
        <v>1</v>
      </c>
      <c r="AE18" s="51" t="str">
        <f t="shared" si="12"/>
        <v>-44549</v>
      </c>
      <c r="AF18" s="267"/>
      <c r="AG18" s="267"/>
      <c r="AH18" s="267"/>
    </row>
    <row r="19" spans="1:34" x14ac:dyDescent="0.25">
      <c r="A19" s="30" t="str">
        <f ca="1">IF(ISBLANK(INDIRECT("'Sunday REQ'!A13")),"",INDIRECT("'Sunday REQ'!A13"))</f>
        <v/>
      </c>
      <c r="B19" s="30" t="str">
        <f ca="1">IF(ISBLANK(INDIRECT("'Sunday REQ'!B13")),"",INDIRECT("'Sunday REQ'!B13"))</f>
        <v/>
      </c>
      <c r="C19" s="31" t="str">
        <f ca="1">IF(ISBLANK(INDIRECT("'Sunday REQ'!C13")),"",INDIRECT("'Sunday REQ'!C13"))</f>
        <v/>
      </c>
      <c r="D19" s="31" t="str">
        <f ca="1">IF(ISBLANK(INDIRECT("'Sunday REQ'!D13")),"",INDIRECT("'Sunday REQ'!D13"))</f>
        <v/>
      </c>
      <c r="E19" s="160" t="str">
        <f ca="1">IF(ISBLANK(INDIRECT("'Sunday REQ'!E13")),"",INDIRECT("'Sunday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13"/>
        <v/>
      </c>
      <c r="N19" s="34" t="str">
        <f t="shared" si="14"/>
        <v/>
      </c>
      <c r="O19" s="34" t="str">
        <f t="shared" si="15"/>
        <v/>
      </c>
      <c r="P19" s="34" t="str">
        <f t="shared" si="16"/>
        <v/>
      </c>
      <c r="Q19" s="214"/>
      <c r="R19" s="215"/>
      <c r="S19" s="35" t="str">
        <f t="shared" si="1"/>
        <v/>
      </c>
      <c r="T19" s="35" t="str">
        <f t="shared" si="2"/>
        <v/>
      </c>
      <c r="U19" s="33" t="str">
        <f t="shared" si="3"/>
        <v/>
      </c>
      <c r="V19" s="35" t="str">
        <f t="shared" si="8"/>
        <v/>
      </c>
      <c r="W19" s="36" t="str">
        <f t="shared" si="9"/>
        <v/>
      </c>
      <c r="X19" s="36" t="str">
        <f>IFERROR(VLOOKUP(Info!$B$3&amp;"-"&amp;H19,'Agency Rates'!A:D,4,FALSE),"")</f>
        <v/>
      </c>
      <c r="Y19" s="48" t="str">
        <f t="shared" si="10"/>
        <v/>
      </c>
      <c r="Z19" s="22" t="b">
        <f t="shared" si="4"/>
        <v>1</v>
      </c>
      <c r="AA19" s="22" t="b">
        <f t="shared" si="5"/>
        <v>1</v>
      </c>
      <c r="AB19" s="22" t="b">
        <f t="shared" si="6"/>
        <v>1</v>
      </c>
      <c r="AC19" s="22" t="b">
        <f t="shared" si="7"/>
        <v>1</v>
      </c>
      <c r="AD19" s="51" t="b">
        <f t="shared" si="11"/>
        <v>1</v>
      </c>
      <c r="AE19" s="51" t="str">
        <f t="shared" si="12"/>
        <v>-44549</v>
      </c>
      <c r="AF19" s="267"/>
      <c r="AG19" s="267"/>
      <c r="AH19" s="267"/>
    </row>
    <row r="20" spans="1:34" x14ac:dyDescent="0.25">
      <c r="A20" s="30" t="str">
        <f ca="1">IF(ISBLANK(INDIRECT("'Sunday REQ'!A14")),"",INDIRECT("'Sunday REQ'!A14"))</f>
        <v/>
      </c>
      <c r="B20" s="30" t="str">
        <f ca="1">IF(ISBLANK(INDIRECT("'Sunday REQ'!B14")),"",INDIRECT("'Sunday REQ'!B14"))</f>
        <v/>
      </c>
      <c r="C20" s="31" t="str">
        <f ca="1">IF(ISBLANK(INDIRECT("'Sunday REQ'!C14")),"",INDIRECT("'Sunday REQ'!C14"))</f>
        <v/>
      </c>
      <c r="D20" s="31" t="str">
        <f ca="1">IF(ISBLANK(INDIRECT("'Sunday REQ'!D14")),"",INDIRECT("'Sunday REQ'!D14"))</f>
        <v/>
      </c>
      <c r="E20" s="160" t="str">
        <f ca="1">IF(ISBLANK(INDIRECT("'Sunday REQ'!E14")),"",INDIRECT("'Sunday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13"/>
        <v/>
      </c>
      <c r="N20" s="34" t="str">
        <f t="shared" si="14"/>
        <v/>
      </c>
      <c r="O20" s="34" t="str">
        <f t="shared" si="15"/>
        <v/>
      </c>
      <c r="P20" s="34" t="str">
        <f t="shared" si="16"/>
        <v/>
      </c>
      <c r="Q20" s="214"/>
      <c r="R20" s="215"/>
      <c r="S20" s="35" t="str">
        <f t="shared" si="1"/>
        <v/>
      </c>
      <c r="T20" s="35" t="str">
        <f t="shared" si="2"/>
        <v/>
      </c>
      <c r="U20" s="33" t="str">
        <f t="shared" si="3"/>
        <v/>
      </c>
      <c r="V20" s="35" t="str">
        <f t="shared" si="8"/>
        <v/>
      </c>
      <c r="W20" s="36" t="str">
        <f t="shared" si="9"/>
        <v/>
      </c>
      <c r="X20" s="36" t="str">
        <f>IFERROR(VLOOKUP(Info!$B$3&amp;"-"&amp;H20,'Agency Rates'!A:D,4,FALSE),"")</f>
        <v/>
      </c>
      <c r="Y20" s="48" t="str">
        <f t="shared" si="10"/>
        <v/>
      </c>
      <c r="Z20" s="22" t="b">
        <f t="shared" si="4"/>
        <v>1</v>
      </c>
      <c r="AA20" s="22" t="b">
        <f t="shared" si="5"/>
        <v>1</v>
      </c>
      <c r="AB20" s="22" t="b">
        <f t="shared" si="6"/>
        <v>1</v>
      </c>
      <c r="AC20" s="22" t="b">
        <f t="shared" si="7"/>
        <v>1</v>
      </c>
      <c r="AD20" s="51" t="b">
        <f t="shared" si="11"/>
        <v>1</v>
      </c>
      <c r="AE20" s="51" t="str">
        <f t="shared" si="12"/>
        <v>-44549</v>
      </c>
      <c r="AF20" s="267"/>
      <c r="AG20" s="267"/>
      <c r="AH20" s="267"/>
    </row>
    <row r="21" spans="1:34" x14ac:dyDescent="0.25">
      <c r="A21" s="30" t="str">
        <f ca="1">IF(ISBLANK(INDIRECT("'Sunday REQ'!A15")),"",INDIRECT("'Sunday REQ'!A15"))</f>
        <v/>
      </c>
      <c r="B21" s="30" t="str">
        <f ca="1">IF(ISBLANK(INDIRECT("'Sunday REQ'!B15")),"",INDIRECT("'Sunday REQ'!B15"))</f>
        <v/>
      </c>
      <c r="C21" s="31" t="str">
        <f ca="1">IF(ISBLANK(INDIRECT("'Sunday REQ'!C15")),"",INDIRECT("'Sunday REQ'!C15"))</f>
        <v/>
      </c>
      <c r="D21" s="31" t="str">
        <f ca="1">IF(ISBLANK(INDIRECT("'Sunday REQ'!D15")),"",INDIRECT("'Sunday REQ'!D15"))</f>
        <v/>
      </c>
      <c r="E21" s="160" t="str">
        <f ca="1">IF(ISBLANK(INDIRECT("'Sunday REQ'!E15")),"",INDIRECT("'Sunday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13"/>
        <v/>
      </c>
      <c r="N21" s="34" t="str">
        <f t="shared" si="14"/>
        <v/>
      </c>
      <c r="O21" s="34" t="str">
        <f t="shared" si="15"/>
        <v/>
      </c>
      <c r="P21" s="34" t="str">
        <f t="shared" si="16"/>
        <v/>
      </c>
      <c r="Q21" s="214"/>
      <c r="R21" s="215"/>
      <c r="S21" s="35" t="str">
        <f t="shared" si="1"/>
        <v/>
      </c>
      <c r="T21" s="35" t="str">
        <f t="shared" si="2"/>
        <v/>
      </c>
      <c r="U21" s="33" t="str">
        <f t="shared" si="3"/>
        <v/>
      </c>
      <c r="V21" s="35" t="str">
        <f t="shared" si="8"/>
        <v/>
      </c>
      <c r="W21" s="36" t="str">
        <f t="shared" si="9"/>
        <v/>
      </c>
      <c r="X21" s="36" t="str">
        <f>IFERROR(VLOOKUP(Info!$B$3&amp;"-"&amp;H21,'Agency Rates'!A:D,4,FALSE),"")</f>
        <v/>
      </c>
      <c r="Y21" s="48" t="str">
        <f t="shared" si="10"/>
        <v/>
      </c>
      <c r="Z21" s="22" t="b">
        <f t="shared" si="4"/>
        <v>1</v>
      </c>
      <c r="AA21" s="22" t="b">
        <f t="shared" si="5"/>
        <v>1</v>
      </c>
      <c r="AB21" s="22" t="b">
        <f t="shared" si="6"/>
        <v>1</v>
      </c>
      <c r="AC21" s="22" t="b">
        <f t="shared" si="7"/>
        <v>1</v>
      </c>
      <c r="AD21" s="51" t="b">
        <f t="shared" si="11"/>
        <v>1</v>
      </c>
      <c r="AE21" s="51" t="str">
        <f t="shared" si="12"/>
        <v>-44549</v>
      </c>
      <c r="AF21" s="267"/>
      <c r="AG21" s="267"/>
      <c r="AH21" s="267"/>
    </row>
    <row r="22" spans="1:34" x14ac:dyDescent="0.25">
      <c r="A22" s="30" t="str">
        <f ca="1">IF(ISBLANK(INDIRECT("'Sunday REQ'!A16")),"",INDIRECT("'Sunday REQ'!A16"))</f>
        <v/>
      </c>
      <c r="B22" s="30" t="str">
        <f ca="1">IF(ISBLANK(INDIRECT("'Sunday REQ'!B16")),"",INDIRECT("'Sunday REQ'!B16"))</f>
        <v/>
      </c>
      <c r="C22" s="31" t="str">
        <f ca="1">IF(ISBLANK(INDIRECT("'Sunday REQ'!C16")),"",INDIRECT("'Sunday REQ'!C16"))</f>
        <v/>
      </c>
      <c r="D22" s="31" t="str">
        <f ca="1">IF(ISBLANK(INDIRECT("'Sunday REQ'!D16")),"",INDIRECT("'Sunday REQ'!D16"))</f>
        <v/>
      </c>
      <c r="E22" s="160" t="str">
        <f ca="1">IF(ISBLANK(INDIRECT("'Sunday REQ'!E16")),"",INDIRECT("'Sunday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13"/>
        <v/>
      </c>
      <c r="N22" s="34" t="str">
        <f t="shared" si="14"/>
        <v/>
      </c>
      <c r="O22" s="34" t="str">
        <f t="shared" si="15"/>
        <v/>
      </c>
      <c r="P22" s="34" t="str">
        <f t="shared" si="16"/>
        <v/>
      </c>
      <c r="Q22" s="214"/>
      <c r="R22" s="215"/>
      <c r="S22" s="35" t="str">
        <f t="shared" si="1"/>
        <v/>
      </c>
      <c r="T22" s="35" t="str">
        <f t="shared" si="2"/>
        <v/>
      </c>
      <c r="U22" s="33" t="str">
        <f t="shared" si="3"/>
        <v/>
      </c>
      <c r="V22" s="35" t="str">
        <f t="shared" si="8"/>
        <v/>
      </c>
      <c r="W22" s="36" t="str">
        <f t="shared" si="9"/>
        <v/>
      </c>
      <c r="X22" s="36" t="str">
        <f>IFERROR(VLOOKUP(Info!$B$3&amp;"-"&amp;H22,'Agency Rates'!A:D,4,FALSE),"")</f>
        <v/>
      </c>
      <c r="Y22" s="48" t="str">
        <f t="shared" si="10"/>
        <v/>
      </c>
      <c r="Z22" s="22" t="b">
        <f t="shared" si="4"/>
        <v>1</v>
      </c>
      <c r="AA22" s="22" t="b">
        <f t="shared" si="5"/>
        <v>1</v>
      </c>
      <c r="AB22" s="22" t="b">
        <f t="shared" si="6"/>
        <v>1</v>
      </c>
      <c r="AC22" s="22" t="b">
        <f t="shared" si="7"/>
        <v>1</v>
      </c>
      <c r="AD22" s="51" t="b">
        <f t="shared" si="11"/>
        <v>1</v>
      </c>
      <c r="AE22" s="51" t="str">
        <f t="shared" si="12"/>
        <v>-44549</v>
      </c>
      <c r="AF22" s="267"/>
      <c r="AG22" s="267"/>
      <c r="AH22" s="267"/>
    </row>
    <row r="23" spans="1:34" x14ac:dyDescent="0.25">
      <c r="A23" s="30" t="str">
        <f ca="1">IF(ISBLANK(INDIRECT("'Sunday REQ'!A17")),"",INDIRECT("'Sunday REQ'!A17"))</f>
        <v/>
      </c>
      <c r="B23" s="30" t="str">
        <f ca="1">IF(ISBLANK(INDIRECT("'Sunday REQ'!B17")),"",INDIRECT("'Sunday REQ'!B17"))</f>
        <v/>
      </c>
      <c r="C23" s="31" t="str">
        <f ca="1">IF(ISBLANK(INDIRECT("'Sunday REQ'!C17")),"",INDIRECT("'Sunday REQ'!C17"))</f>
        <v/>
      </c>
      <c r="D23" s="31" t="str">
        <f ca="1">IF(ISBLANK(INDIRECT("'Sunday REQ'!D17")),"",INDIRECT("'Sunday REQ'!D17"))</f>
        <v/>
      </c>
      <c r="E23" s="160" t="str">
        <f ca="1">IF(ISBLANK(INDIRECT("'Sunday REQ'!E17")),"",INDIRECT("'Sunday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13"/>
        <v/>
      </c>
      <c r="N23" s="34" t="str">
        <f t="shared" si="14"/>
        <v/>
      </c>
      <c r="O23" s="34" t="str">
        <f t="shared" si="15"/>
        <v/>
      </c>
      <c r="P23" s="34" t="str">
        <f t="shared" si="16"/>
        <v/>
      </c>
      <c r="Q23" s="214"/>
      <c r="R23" s="215"/>
      <c r="S23" s="35" t="str">
        <f t="shared" si="1"/>
        <v/>
      </c>
      <c r="T23" s="35" t="str">
        <f t="shared" si="2"/>
        <v/>
      </c>
      <c r="U23" s="33" t="str">
        <f t="shared" si="3"/>
        <v/>
      </c>
      <c r="V23" s="35" t="str">
        <f t="shared" si="8"/>
        <v/>
      </c>
      <c r="W23" s="36" t="str">
        <f t="shared" si="9"/>
        <v/>
      </c>
      <c r="X23" s="36" t="str">
        <f>IFERROR(VLOOKUP(Info!$B$3&amp;"-"&amp;H23,'Agency Rates'!A:D,4,FALSE),"")</f>
        <v/>
      </c>
      <c r="Y23" s="48" t="str">
        <f t="shared" si="10"/>
        <v/>
      </c>
      <c r="Z23" s="22" t="b">
        <f t="shared" si="4"/>
        <v>1</v>
      </c>
      <c r="AA23" s="22" t="b">
        <f t="shared" si="5"/>
        <v>1</v>
      </c>
      <c r="AB23" s="22" t="b">
        <f t="shared" si="6"/>
        <v>1</v>
      </c>
      <c r="AC23" s="22" t="b">
        <f t="shared" si="7"/>
        <v>1</v>
      </c>
      <c r="AD23" s="51" t="b">
        <f t="shared" si="11"/>
        <v>1</v>
      </c>
      <c r="AE23" s="51" t="str">
        <f t="shared" si="12"/>
        <v>-44549</v>
      </c>
      <c r="AF23" s="267"/>
      <c r="AG23" s="267"/>
      <c r="AH23" s="267"/>
    </row>
    <row r="24" spans="1:34" x14ac:dyDescent="0.25">
      <c r="A24" s="30" t="str">
        <f ca="1">IF(ISBLANK(INDIRECT("'Sunday REQ'!A18")),"",INDIRECT("'Sunday REQ'!A18"))</f>
        <v/>
      </c>
      <c r="B24" s="30" t="str">
        <f ca="1">IF(ISBLANK(INDIRECT("'Sunday REQ'!B18")),"",INDIRECT("'Sunday REQ'!B18"))</f>
        <v/>
      </c>
      <c r="C24" s="31" t="str">
        <f ca="1">IF(ISBLANK(INDIRECT("'Sunday REQ'!C18")),"",INDIRECT("'Sunday REQ'!C18"))</f>
        <v/>
      </c>
      <c r="D24" s="31" t="str">
        <f ca="1">IF(ISBLANK(INDIRECT("'Sunday REQ'!D18")),"",INDIRECT("'Sunday REQ'!D18"))</f>
        <v/>
      </c>
      <c r="E24" s="160" t="str">
        <f ca="1">IF(ISBLANK(INDIRECT("'Sunday REQ'!E18")),"",INDIRECT("'Sunday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13"/>
        <v/>
      </c>
      <c r="N24" s="34" t="str">
        <f t="shared" si="14"/>
        <v/>
      </c>
      <c r="O24" s="34" t="str">
        <f t="shared" si="15"/>
        <v/>
      </c>
      <c r="P24" s="34" t="str">
        <f t="shared" si="16"/>
        <v/>
      </c>
      <c r="Q24" s="214"/>
      <c r="R24" s="215"/>
      <c r="S24" s="35" t="str">
        <f t="shared" si="1"/>
        <v/>
      </c>
      <c r="T24" s="35" t="str">
        <f t="shared" si="2"/>
        <v/>
      </c>
      <c r="U24" s="33" t="str">
        <f t="shared" si="3"/>
        <v/>
      </c>
      <c r="V24" s="35" t="str">
        <f t="shared" si="8"/>
        <v/>
      </c>
      <c r="W24" s="36" t="str">
        <f t="shared" si="9"/>
        <v/>
      </c>
      <c r="X24" s="36" t="str">
        <f>IFERROR(VLOOKUP(Info!$B$3&amp;"-"&amp;H24,'Agency Rates'!A:D,4,FALSE),"")</f>
        <v/>
      </c>
      <c r="Y24" s="48" t="str">
        <f t="shared" si="10"/>
        <v/>
      </c>
      <c r="Z24" s="22" t="b">
        <f t="shared" si="4"/>
        <v>1</v>
      </c>
      <c r="AA24" s="22" t="b">
        <f t="shared" si="5"/>
        <v>1</v>
      </c>
      <c r="AB24" s="22" t="b">
        <f t="shared" si="6"/>
        <v>1</v>
      </c>
      <c r="AC24" s="22" t="b">
        <f t="shared" si="7"/>
        <v>1</v>
      </c>
      <c r="AD24" s="51" t="b">
        <f t="shared" si="11"/>
        <v>1</v>
      </c>
      <c r="AE24" s="51" t="str">
        <f t="shared" si="12"/>
        <v>-44549</v>
      </c>
      <c r="AF24" s="267"/>
      <c r="AG24" s="267"/>
      <c r="AH24" s="267"/>
    </row>
    <row r="25" spans="1:34" x14ac:dyDescent="0.25">
      <c r="A25" s="30" t="str">
        <f ca="1">IF(ISBLANK(INDIRECT("'Sunday REQ'!A19")),"",INDIRECT("'Sunday REQ'!A19"))</f>
        <v/>
      </c>
      <c r="B25" s="30" t="str">
        <f ca="1">IF(ISBLANK(INDIRECT("'Sunday REQ'!B19")),"",INDIRECT("'Sunday REQ'!B19"))</f>
        <v/>
      </c>
      <c r="C25" s="31" t="str">
        <f ca="1">IF(ISBLANK(INDIRECT("'Sunday REQ'!C19")),"",INDIRECT("'Sunday REQ'!C19"))</f>
        <v/>
      </c>
      <c r="D25" s="31" t="str">
        <f ca="1">IF(ISBLANK(INDIRECT("'Sunday REQ'!D19")),"",INDIRECT("'Sunday REQ'!D19"))</f>
        <v/>
      </c>
      <c r="E25" s="160" t="str">
        <f ca="1">IF(ISBLANK(INDIRECT("'Sunday REQ'!E19")),"",INDIRECT("'Sunday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13"/>
        <v/>
      </c>
      <c r="N25" s="34" t="str">
        <f t="shared" si="14"/>
        <v/>
      </c>
      <c r="O25" s="34" t="str">
        <f t="shared" si="15"/>
        <v/>
      </c>
      <c r="P25" s="34" t="str">
        <f t="shared" si="16"/>
        <v/>
      </c>
      <c r="Q25" s="214"/>
      <c r="R25" s="215"/>
      <c r="S25" s="35" t="str">
        <f t="shared" si="1"/>
        <v/>
      </c>
      <c r="T25" s="35" t="str">
        <f t="shared" si="2"/>
        <v/>
      </c>
      <c r="U25" s="33" t="str">
        <f t="shared" si="3"/>
        <v/>
      </c>
      <c r="V25" s="35" t="str">
        <f t="shared" si="8"/>
        <v/>
      </c>
      <c r="W25" s="36" t="str">
        <f t="shared" si="9"/>
        <v/>
      </c>
      <c r="X25" s="36" t="str">
        <f>IFERROR(VLOOKUP(Info!$B$3&amp;"-"&amp;H25,'Agency Rates'!A:D,4,FALSE),"")</f>
        <v/>
      </c>
      <c r="Y25" s="48" t="str">
        <f t="shared" si="10"/>
        <v/>
      </c>
      <c r="Z25" s="22" t="b">
        <f t="shared" si="4"/>
        <v>1</v>
      </c>
      <c r="AA25" s="22" t="b">
        <f t="shared" si="5"/>
        <v>1</v>
      </c>
      <c r="AB25" s="22" t="b">
        <f t="shared" si="6"/>
        <v>1</v>
      </c>
      <c r="AC25" s="22" t="b">
        <f t="shared" si="7"/>
        <v>1</v>
      </c>
      <c r="AD25" s="51" t="b">
        <f t="shared" si="11"/>
        <v>1</v>
      </c>
      <c r="AE25" s="51" t="str">
        <f t="shared" si="12"/>
        <v>-44549</v>
      </c>
      <c r="AF25" s="267"/>
      <c r="AG25" s="267"/>
      <c r="AH25" s="267"/>
    </row>
    <row r="26" spans="1:34" x14ac:dyDescent="0.25">
      <c r="A26" s="30" t="str">
        <f ca="1">IF(ISBLANK(INDIRECT("'Sunday REQ'!A20")),"",INDIRECT("'Sunday REQ'!A20"))</f>
        <v/>
      </c>
      <c r="B26" s="30" t="str">
        <f ca="1">IF(ISBLANK(INDIRECT("'Sunday REQ'!B20")),"",INDIRECT("'Sunday REQ'!B20"))</f>
        <v/>
      </c>
      <c r="C26" s="31" t="str">
        <f ca="1">IF(ISBLANK(INDIRECT("'Sunday REQ'!C20")),"",INDIRECT("'Sunday REQ'!C20"))</f>
        <v/>
      </c>
      <c r="D26" s="31" t="str">
        <f ca="1">IF(ISBLANK(INDIRECT("'Sunday REQ'!D20")),"",INDIRECT("'Sunday REQ'!D20"))</f>
        <v/>
      </c>
      <c r="E26" s="160" t="str">
        <f ca="1">IF(ISBLANK(INDIRECT("'Sunday REQ'!E20")),"",INDIRECT("'Sunday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si="13"/>
        <v/>
      </c>
      <c r="N26" s="34" t="str">
        <f t="shared" si="14"/>
        <v/>
      </c>
      <c r="O26" s="34" t="str">
        <f t="shared" si="15"/>
        <v/>
      </c>
      <c r="P26" s="34" t="str">
        <f t="shared" si="16"/>
        <v/>
      </c>
      <c r="Q26" s="214"/>
      <c r="R26" s="215"/>
      <c r="S26" s="35" t="str">
        <f t="shared" si="1"/>
        <v/>
      </c>
      <c r="T26" s="35" t="str">
        <f t="shared" si="2"/>
        <v/>
      </c>
      <c r="U26" s="33" t="str">
        <f t="shared" si="3"/>
        <v/>
      </c>
      <c r="V26" s="35" t="str">
        <f t="shared" si="8"/>
        <v/>
      </c>
      <c r="W26" s="36" t="str">
        <f t="shared" si="9"/>
        <v/>
      </c>
      <c r="X26" s="36" t="str">
        <f>IFERROR(VLOOKUP(Info!$B$3&amp;"-"&amp;H26,'Agency Rates'!A:D,4,FALSE),"")</f>
        <v/>
      </c>
      <c r="Y26" s="48" t="str">
        <f t="shared" si="10"/>
        <v/>
      </c>
      <c r="Z26" s="22" t="b">
        <f t="shared" si="4"/>
        <v>1</v>
      </c>
      <c r="AA26" s="22" t="b">
        <f t="shared" si="5"/>
        <v>1</v>
      </c>
      <c r="AB26" s="22" t="b">
        <f t="shared" si="6"/>
        <v>1</v>
      </c>
      <c r="AC26" s="22" t="b">
        <f t="shared" si="7"/>
        <v>1</v>
      </c>
      <c r="AD26" s="51" t="b">
        <f t="shared" si="11"/>
        <v>1</v>
      </c>
      <c r="AE26" s="51" t="str">
        <f t="shared" si="12"/>
        <v>-44549</v>
      </c>
      <c r="AF26" s="267"/>
      <c r="AG26" s="267"/>
      <c r="AH26" s="267"/>
    </row>
    <row r="27" spans="1:34" x14ac:dyDescent="0.25">
      <c r="A27" s="30" t="str">
        <f ca="1">IF(ISBLANK(INDIRECT("'Sunday REQ'!A21")),"",INDIRECT("'Sunday REQ'!A21"))</f>
        <v/>
      </c>
      <c r="B27" s="30" t="str">
        <f ca="1">IF(ISBLANK(INDIRECT("'Sunday REQ'!B21")),"",INDIRECT("'Sunday REQ'!B21"))</f>
        <v/>
      </c>
      <c r="C27" s="31" t="str">
        <f ca="1">IF(ISBLANK(INDIRECT("'Sunday REQ'!C21")),"",INDIRECT("'Sunday REQ'!C21"))</f>
        <v/>
      </c>
      <c r="D27" s="31" t="str">
        <f ca="1">IF(ISBLANK(INDIRECT("'Sunday REQ'!D21")),"",INDIRECT("'Sunday REQ'!D21"))</f>
        <v/>
      </c>
      <c r="E27" s="160" t="str">
        <f ca="1">IF(ISBLANK(INDIRECT("'Sunday REQ'!E21")),"",INDIRECT("'Sunday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3"/>
        <v/>
      </c>
      <c r="N27" s="34" t="str">
        <f t="shared" si="14"/>
        <v/>
      </c>
      <c r="O27" s="34" t="str">
        <f t="shared" si="15"/>
        <v/>
      </c>
      <c r="P27" s="34" t="str">
        <f t="shared" si="16"/>
        <v/>
      </c>
      <c r="Q27" s="214"/>
      <c r="R27" s="215"/>
      <c r="S27" s="35" t="str">
        <f t="shared" si="1"/>
        <v/>
      </c>
      <c r="T27" s="35" t="str">
        <f t="shared" si="2"/>
        <v/>
      </c>
      <c r="U27" s="33" t="str">
        <f t="shared" si="3"/>
        <v/>
      </c>
      <c r="V27" s="35" t="str">
        <f t="shared" si="8"/>
        <v/>
      </c>
      <c r="W27" s="36" t="str">
        <f t="shared" si="9"/>
        <v/>
      </c>
      <c r="X27" s="36" t="str">
        <f>IFERROR(VLOOKUP(Info!$B$3&amp;"-"&amp;H27,'Agency Rates'!A:D,4,FALSE),"")</f>
        <v/>
      </c>
      <c r="Y27" s="48" t="str">
        <f t="shared" si="10"/>
        <v/>
      </c>
      <c r="Z27" s="22" t="b">
        <f t="shared" si="4"/>
        <v>1</v>
      </c>
      <c r="AA27" s="22" t="b">
        <f t="shared" si="5"/>
        <v>1</v>
      </c>
      <c r="AB27" s="22" t="b">
        <f t="shared" si="6"/>
        <v>1</v>
      </c>
      <c r="AC27" s="22" t="b">
        <f t="shared" si="7"/>
        <v>1</v>
      </c>
      <c r="AD27" s="51" t="b">
        <f t="shared" si="11"/>
        <v>1</v>
      </c>
      <c r="AE27" s="51" t="str">
        <f t="shared" si="12"/>
        <v>-44549</v>
      </c>
      <c r="AF27" s="267"/>
      <c r="AG27" s="267"/>
      <c r="AH27" s="267"/>
    </row>
    <row r="28" spans="1:34" x14ac:dyDescent="0.25">
      <c r="A28" s="30" t="str">
        <f ca="1">IF(ISBLANK(INDIRECT("'Sunday REQ'!A22")),"",INDIRECT("'Sunday REQ'!A22"))</f>
        <v/>
      </c>
      <c r="B28" s="30" t="str">
        <f ca="1">IF(ISBLANK(INDIRECT("'Sunday REQ'!B22")),"",INDIRECT("'Sunday REQ'!B22"))</f>
        <v/>
      </c>
      <c r="C28" s="31" t="str">
        <f ca="1">IF(ISBLANK(INDIRECT("'Sunday REQ'!C22")),"",INDIRECT("'Sunday REQ'!C22"))</f>
        <v/>
      </c>
      <c r="D28" s="31" t="str">
        <f ca="1">IF(ISBLANK(INDIRECT("'Sunday REQ'!D22")),"",INDIRECT("'Sunday REQ'!D22"))</f>
        <v/>
      </c>
      <c r="E28" s="160" t="str">
        <f ca="1">IF(ISBLANK(INDIRECT("'Sunday REQ'!E22")),"",INDIRECT("'Sunday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3"/>
        <v/>
      </c>
      <c r="N28" s="34" t="str">
        <f t="shared" si="14"/>
        <v/>
      </c>
      <c r="O28" s="34" t="str">
        <f t="shared" si="15"/>
        <v/>
      </c>
      <c r="P28" s="34" t="str">
        <f t="shared" si="16"/>
        <v/>
      </c>
      <c r="Q28" s="214"/>
      <c r="R28" s="215"/>
      <c r="S28" s="35" t="str">
        <f t="shared" si="1"/>
        <v/>
      </c>
      <c r="T28" s="35" t="str">
        <f t="shared" si="2"/>
        <v/>
      </c>
      <c r="U28" s="33" t="str">
        <f t="shared" si="3"/>
        <v/>
      </c>
      <c r="V28" s="35" t="str">
        <f t="shared" si="8"/>
        <v/>
      </c>
      <c r="W28" s="36" t="str">
        <f t="shared" si="9"/>
        <v/>
      </c>
      <c r="X28" s="36" t="str">
        <f>IFERROR(VLOOKUP(Info!$B$3&amp;"-"&amp;H28,'Agency Rates'!A:D,4,FALSE),"")</f>
        <v/>
      </c>
      <c r="Y28" s="48" t="str">
        <f t="shared" si="10"/>
        <v/>
      </c>
      <c r="Z28" s="22" t="b">
        <f t="shared" si="4"/>
        <v>1</v>
      </c>
      <c r="AA28" s="22" t="b">
        <f t="shared" si="5"/>
        <v>1</v>
      </c>
      <c r="AB28" s="22" t="b">
        <f t="shared" si="6"/>
        <v>1</v>
      </c>
      <c r="AC28" s="22" t="b">
        <f t="shared" si="7"/>
        <v>1</v>
      </c>
      <c r="AD28" s="51" t="b">
        <f t="shared" si="11"/>
        <v>1</v>
      </c>
      <c r="AE28" s="51" t="str">
        <f t="shared" si="12"/>
        <v>-44549</v>
      </c>
      <c r="AF28" s="267"/>
      <c r="AG28" s="267"/>
      <c r="AH28" s="267"/>
    </row>
    <row r="29" spans="1:34" x14ac:dyDescent="0.25">
      <c r="A29" s="30" t="str">
        <f ca="1">IF(ISBLANK(INDIRECT("'Sunday REQ'!A23")),"",INDIRECT("'Sunday REQ'!A23"))</f>
        <v/>
      </c>
      <c r="B29" s="30" t="str">
        <f ca="1">IF(ISBLANK(INDIRECT("'Sunday REQ'!B23")),"",INDIRECT("'Sunday REQ'!B23"))</f>
        <v/>
      </c>
      <c r="C29" s="31" t="str">
        <f ca="1">IF(ISBLANK(INDIRECT("'Sunday REQ'!C23")),"",INDIRECT("'Sunday REQ'!C23"))</f>
        <v/>
      </c>
      <c r="D29" s="31" t="str">
        <f ca="1">IF(ISBLANK(INDIRECT("'Sunday REQ'!D23")),"",INDIRECT("'Sunday REQ'!D23"))</f>
        <v/>
      </c>
      <c r="E29" s="160" t="str">
        <f ca="1">IF(ISBLANK(INDIRECT("'Sunday REQ'!E23")),"",INDIRECT("'Sunday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3"/>
        <v/>
      </c>
      <c r="N29" s="34" t="str">
        <f t="shared" si="14"/>
        <v/>
      </c>
      <c r="O29" s="34" t="str">
        <f t="shared" si="15"/>
        <v/>
      </c>
      <c r="P29" s="34" t="str">
        <f t="shared" si="16"/>
        <v/>
      </c>
      <c r="Q29" s="214"/>
      <c r="R29" s="215"/>
      <c r="S29" s="35" t="str">
        <f t="shared" si="1"/>
        <v/>
      </c>
      <c r="T29" s="35" t="str">
        <f t="shared" si="2"/>
        <v/>
      </c>
      <c r="U29" s="33" t="str">
        <f t="shared" si="3"/>
        <v/>
      </c>
      <c r="V29" s="35" t="str">
        <f t="shared" si="8"/>
        <v/>
      </c>
      <c r="W29" s="36" t="str">
        <f t="shared" si="9"/>
        <v/>
      </c>
      <c r="X29" s="36" t="str">
        <f>IFERROR(VLOOKUP(Info!$B$3&amp;"-"&amp;H29,'Agency Rates'!A:D,4,FALSE),"")</f>
        <v/>
      </c>
      <c r="Y29" s="48" t="str">
        <f t="shared" si="10"/>
        <v/>
      </c>
      <c r="Z29" s="22" t="b">
        <f t="shared" si="4"/>
        <v>1</v>
      </c>
      <c r="AA29" s="22" t="b">
        <f t="shared" si="5"/>
        <v>1</v>
      </c>
      <c r="AB29" s="22" t="b">
        <f t="shared" si="6"/>
        <v>1</v>
      </c>
      <c r="AC29" s="22" t="b">
        <f t="shared" si="7"/>
        <v>1</v>
      </c>
      <c r="AD29" s="51" t="b">
        <f t="shared" si="11"/>
        <v>1</v>
      </c>
      <c r="AE29" s="51" t="str">
        <f t="shared" si="12"/>
        <v>-44549</v>
      </c>
      <c r="AF29" s="267"/>
      <c r="AG29" s="267"/>
      <c r="AH29" s="267"/>
    </row>
    <row r="30" spans="1:34" x14ac:dyDescent="0.25">
      <c r="A30" s="30" t="str">
        <f ca="1">IF(ISBLANK(INDIRECT("'Sunday REQ'!A24")),"",INDIRECT("'Sunday REQ'!A24"))</f>
        <v/>
      </c>
      <c r="B30" s="30" t="str">
        <f ca="1">IF(ISBLANK(INDIRECT("'Sunday REQ'!B24")),"",INDIRECT("'Sunday REQ'!B24"))</f>
        <v/>
      </c>
      <c r="C30" s="31" t="str">
        <f ca="1">IF(ISBLANK(INDIRECT("'Sunday REQ'!C24")),"",INDIRECT("'Sunday REQ'!C24"))</f>
        <v/>
      </c>
      <c r="D30" s="31" t="str">
        <f ca="1">IF(ISBLANK(INDIRECT("'Sunday REQ'!D24")),"",INDIRECT("'Sunday REQ'!D24"))</f>
        <v/>
      </c>
      <c r="E30" s="160" t="str">
        <f ca="1">IF(ISBLANK(INDIRECT("'Sunday REQ'!E24")),"",INDIRECT("'Sunday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3"/>
        <v/>
      </c>
      <c r="N30" s="34" t="str">
        <f t="shared" si="14"/>
        <v/>
      </c>
      <c r="O30" s="34" t="str">
        <f t="shared" si="15"/>
        <v/>
      </c>
      <c r="P30" s="34" t="str">
        <f t="shared" si="16"/>
        <v/>
      </c>
      <c r="Q30" s="214"/>
      <c r="R30" s="215"/>
      <c r="S30" s="35" t="str">
        <f t="shared" si="1"/>
        <v/>
      </c>
      <c r="T30" s="35" t="str">
        <f t="shared" si="2"/>
        <v/>
      </c>
      <c r="U30" s="33" t="str">
        <f t="shared" si="3"/>
        <v/>
      </c>
      <c r="V30" s="35" t="str">
        <f t="shared" si="8"/>
        <v/>
      </c>
      <c r="W30" s="36" t="str">
        <f t="shared" si="9"/>
        <v/>
      </c>
      <c r="X30" s="36" t="str">
        <f>IFERROR(VLOOKUP(Info!$B$3&amp;"-"&amp;H30,'Agency Rates'!A:D,4,FALSE),"")</f>
        <v/>
      </c>
      <c r="Y30" s="48" t="str">
        <f t="shared" si="10"/>
        <v/>
      </c>
      <c r="Z30" s="22" t="b">
        <f t="shared" si="4"/>
        <v>1</v>
      </c>
      <c r="AA30" s="22" t="b">
        <f t="shared" si="5"/>
        <v>1</v>
      </c>
      <c r="AB30" s="22" t="b">
        <f t="shared" si="6"/>
        <v>1</v>
      </c>
      <c r="AC30" s="22" t="b">
        <f t="shared" si="7"/>
        <v>1</v>
      </c>
      <c r="AD30" s="51" t="b">
        <f t="shared" si="11"/>
        <v>1</v>
      </c>
      <c r="AE30" s="51" t="str">
        <f t="shared" si="12"/>
        <v>-44549</v>
      </c>
      <c r="AF30" s="267"/>
      <c r="AG30" s="267"/>
      <c r="AH30" s="267"/>
    </row>
    <row r="31" spans="1:34" x14ac:dyDescent="0.25">
      <c r="A31" s="30" t="str">
        <f ca="1">IF(ISBLANK(INDIRECT("'Sunday REQ'!A25")),"",INDIRECT("'Sunday REQ'!A25"))</f>
        <v/>
      </c>
      <c r="B31" s="30" t="str">
        <f ca="1">IF(ISBLANK(INDIRECT("'Sunday REQ'!B25")),"",INDIRECT("'Sunday REQ'!B25"))</f>
        <v/>
      </c>
      <c r="C31" s="31" t="str">
        <f ca="1">IF(ISBLANK(INDIRECT("'Sunday REQ'!C25")),"",INDIRECT("'Sunday REQ'!C25"))</f>
        <v/>
      </c>
      <c r="D31" s="31" t="str">
        <f ca="1">IF(ISBLANK(INDIRECT("'Sunday REQ'!D25")),"",INDIRECT("'Sunday REQ'!D25"))</f>
        <v/>
      </c>
      <c r="E31" s="160" t="str">
        <f ca="1">IF(ISBLANK(INDIRECT("'Sunday REQ'!E25")),"",INDIRECT("'Sunday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3"/>
        <v/>
      </c>
      <c r="N31" s="34" t="str">
        <f t="shared" si="14"/>
        <v/>
      </c>
      <c r="O31" s="34" t="str">
        <f t="shared" si="15"/>
        <v/>
      </c>
      <c r="P31" s="34" t="str">
        <f t="shared" si="16"/>
        <v/>
      </c>
      <c r="Q31" s="214"/>
      <c r="R31" s="215"/>
      <c r="S31" s="35" t="str">
        <f t="shared" si="1"/>
        <v/>
      </c>
      <c r="T31" s="35" t="str">
        <f t="shared" si="2"/>
        <v/>
      </c>
      <c r="U31" s="33" t="str">
        <f t="shared" si="3"/>
        <v/>
      </c>
      <c r="V31" s="35" t="str">
        <f t="shared" si="8"/>
        <v/>
      </c>
      <c r="W31" s="36" t="str">
        <f t="shared" si="9"/>
        <v/>
      </c>
      <c r="X31" s="36" t="str">
        <f>IFERROR(VLOOKUP(Info!$B$3&amp;"-"&amp;H31,'Agency Rates'!A:D,4,FALSE),"")</f>
        <v/>
      </c>
      <c r="Y31" s="48" t="str">
        <f t="shared" si="10"/>
        <v/>
      </c>
      <c r="Z31" s="22" t="b">
        <f t="shared" si="4"/>
        <v>1</v>
      </c>
      <c r="AA31" s="22" t="b">
        <f t="shared" si="5"/>
        <v>1</v>
      </c>
      <c r="AB31" s="22" t="b">
        <f t="shared" si="6"/>
        <v>1</v>
      </c>
      <c r="AC31" s="22" t="b">
        <f t="shared" si="7"/>
        <v>1</v>
      </c>
      <c r="AD31" s="51" t="b">
        <f t="shared" si="11"/>
        <v>1</v>
      </c>
      <c r="AE31" s="51" t="str">
        <f t="shared" si="12"/>
        <v>-44549</v>
      </c>
      <c r="AF31" s="267"/>
      <c r="AG31" s="267"/>
      <c r="AH31" s="267"/>
    </row>
    <row r="32" spans="1:34" x14ac:dyDescent="0.25">
      <c r="A32" s="30" t="str">
        <f ca="1">IF(ISBLANK(INDIRECT("'Sunday REQ'!A26")),"",INDIRECT("'Sunday REQ'!A26"))</f>
        <v/>
      </c>
      <c r="B32" s="30" t="str">
        <f ca="1">IF(ISBLANK(INDIRECT("'Sunday REQ'!B26")),"",INDIRECT("'Sunday REQ'!B26"))</f>
        <v/>
      </c>
      <c r="C32" s="31" t="str">
        <f ca="1">IF(ISBLANK(INDIRECT("'Sunday REQ'!C26")),"",INDIRECT("'Sunday REQ'!C26"))</f>
        <v/>
      </c>
      <c r="D32" s="31" t="str">
        <f ca="1">IF(ISBLANK(INDIRECT("'Sunday REQ'!D26")),"",INDIRECT("'Sunday REQ'!D26"))</f>
        <v/>
      </c>
      <c r="E32" s="160" t="str">
        <f ca="1">IF(ISBLANK(INDIRECT("'Sunday REQ'!E26")),"",INDIRECT("'Sunday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3"/>
        <v/>
      </c>
      <c r="N32" s="34" t="str">
        <f t="shared" si="14"/>
        <v/>
      </c>
      <c r="O32" s="34" t="str">
        <f t="shared" si="15"/>
        <v/>
      </c>
      <c r="P32" s="34" t="str">
        <f t="shared" si="16"/>
        <v/>
      </c>
      <c r="Q32" s="214"/>
      <c r="R32" s="215"/>
      <c r="S32" s="35" t="str">
        <f t="shared" si="1"/>
        <v/>
      </c>
      <c r="T32" s="35" t="str">
        <f t="shared" si="2"/>
        <v/>
      </c>
      <c r="U32" s="33" t="str">
        <f t="shared" si="3"/>
        <v/>
      </c>
      <c r="V32" s="35" t="str">
        <f t="shared" si="8"/>
        <v/>
      </c>
      <c r="W32" s="36" t="str">
        <f t="shared" si="9"/>
        <v/>
      </c>
      <c r="X32" s="36" t="str">
        <f>IFERROR(VLOOKUP(Info!$B$3&amp;"-"&amp;H32,'Agency Rates'!A:D,4,FALSE),"")</f>
        <v/>
      </c>
      <c r="Y32" s="48" t="str">
        <f t="shared" si="10"/>
        <v/>
      </c>
      <c r="Z32" s="22" t="b">
        <f t="shared" si="4"/>
        <v>1</v>
      </c>
      <c r="AA32" s="22" t="b">
        <f t="shared" si="5"/>
        <v>1</v>
      </c>
      <c r="AB32" s="22" t="b">
        <f t="shared" si="6"/>
        <v>1</v>
      </c>
      <c r="AC32" s="22" t="b">
        <f t="shared" si="7"/>
        <v>1</v>
      </c>
      <c r="AD32" s="51" t="b">
        <f t="shared" si="11"/>
        <v>1</v>
      </c>
      <c r="AE32" s="51" t="str">
        <f t="shared" si="12"/>
        <v>-44549</v>
      </c>
      <c r="AF32" s="267"/>
      <c r="AG32" s="267"/>
      <c r="AH32" s="267"/>
    </row>
    <row r="33" spans="1:34" x14ac:dyDescent="0.25">
      <c r="A33" s="30" t="str">
        <f ca="1">IF(ISBLANK(INDIRECT("'Sunday REQ'!A27")),"",INDIRECT("'Sunday REQ'!A27"))</f>
        <v/>
      </c>
      <c r="B33" s="30" t="str">
        <f ca="1">IF(ISBLANK(INDIRECT("'Sunday REQ'!B27")),"",INDIRECT("'Sunday REQ'!B27"))</f>
        <v/>
      </c>
      <c r="C33" s="31" t="str">
        <f ca="1">IF(ISBLANK(INDIRECT("'Sunday REQ'!C27")),"",INDIRECT("'Sunday REQ'!C27"))</f>
        <v/>
      </c>
      <c r="D33" s="31" t="str">
        <f ca="1">IF(ISBLANK(INDIRECT("'Sunday REQ'!D27")),"",INDIRECT("'Sunday REQ'!D27"))</f>
        <v/>
      </c>
      <c r="E33" s="160" t="str">
        <f ca="1">IF(ISBLANK(INDIRECT("'Sunday REQ'!E27")),"",INDIRECT("'Sunday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3"/>
        <v/>
      </c>
      <c r="N33" s="34" t="str">
        <f t="shared" si="14"/>
        <v/>
      </c>
      <c r="O33" s="34" t="str">
        <f t="shared" si="15"/>
        <v/>
      </c>
      <c r="P33" s="34" t="str">
        <f t="shared" si="16"/>
        <v/>
      </c>
      <c r="Q33" s="214"/>
      <c r="R33" s="215"/>
      <c r="S33" s="35" t="str">
        <f t="shared" si="1"/>
        <v/>
      </c>
      <c r="T33" s="35" t="str">
        <f t="shared" si="2"/>
        <v/>
      </c>
      <c r="U33" s="33" t="str">
        <f t="shared" si="3"/>
        <v/>
      </c>
      <c r="V33" s="35" t="str">
        <f t="shared" si="8"/>
        <v/>
      </c>
      <c r="W33" s="36" t="str">
        <f t="shared" si="9"/>
        <v/>
      </c>
      <c r="X33" s="36" t="str">
        <f>IFERROR(VLOOKUP(Info!$B$3&amp;"-"&amp;H33,'Agency Rates'!A:D,4,FALSE),"")</f>
        <v/>
      </c>
      <c r="Y33" s="48" t="str">
        <f t="shared" si="10"/>
        <v/>
      </c>
      <c r="Z33" s="22" t="b">
        <f t="shared" si="4"/>
        <v>1</v>
      </c>
      <c r="AA33" s="22" t="b">
        <f t="shared" si="5"/>
        <v>1</v>
      </c>
      <c r="AB33" s="22" t="b">
        <f t="shared" si="6"/>
        <v>1</v>
      </c>
      <c r="AC33" s="22" t="b">
        <f t="shared" si="7"/>
        <v>1</v>
      </c>
      <c r="AD33" s="51" t="b">
        <f t="shared" si="11"/>
        <v>1</v>
      </c>
      <c r="AE33" s="51" t="str">
        <f t="shared" si="12"/>
        <v>-44549</v>
      </c>
      <c r="AF33" s="267"/>
      <c r="AG33" s="267"/>
      <c r="AH33" s="267"/>
    </row>
    <row r="34" spans="1:34" x14ac:dyDescent="0.25">
      <c r="A34" s="30" t="str">
        <f ca="1">IF(ISBLANK(INDIRECT("'Sunday REQ'!A28")),"",INDIRECT("'Sunday REQ'!A28"))</f>
        <v/>
      </c>
      <c r="B34" s="30" t="str">
        <f ca="1">IF(ISBLANK(INDIRECT("'Sunday REQ'!B28")),"",INDIRECT("'Sunday REQ'!B28"))</f>
        <v/>
      </c>
      <c r="C34" s="31" t="str">
        <f ca="1">IF(ISBLANK(INDIRECT("'Sunday REQ'!C28")),"",INDIRECT("'Sunday REQ'!C28"))</f>
        <v/>
      </c>
      <c r="D34" s="31" t="str">
        <f ca="1">IF(ISBLANK(INDIRECT("'Sunday REQ'!D28")),"",INDIRECT("'Sunday REQ'!D28"))</f>
        <v/>
      </c>
      <c r="E34" s="160" t="str">
        <f ca="1">IF(ISBLANK(INDIRECT("'Sunday REQ'!E28")),"",INDIRECT("'Sunday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3"/>
        <v/>
      </c>
      <c r="N34" s="34" t="str">
        <f t="shared" si="14"/>
        <v/>
      </c>
      <c r="O34" s="34" t="str">
        <f t="shared" si="15"/>
        <v/>
      </c>
      <c r="P34" s="34" t="str">
        <f t="shared" si="16"/>
        <v/>
      </c>
      <c r="Q34" s="214"/>
      <c r="R34" s="215"/>
      <c r="S34" s="35" t="str">
        <f t="shared" si="1"/>
        <v/>
      </c>
      <c r="T34" s="35" t="str">
        <f t="shared" si="2"/>
        <v/>
      </c>
      <c r="U34" s="33" t="str">
        <f t="shared" si="3"/>
        <v/>
      </c>
      <c r="V34" s="35" t="str">
        <f t="shared" si="8"/>
        <v/>
      </c>
      <c r="W34" s="36" t="str">
        <f t="shared" si="9"/>
        <v/>
      </c>
      <c r="X34" s="36" t="str">
        <f>IFERROR(VLOOKUP(Info!$B$3&amp;"-"&amp;H34,'Agency Rates'!A:D,4,FALSE),"")</f>
        <v/>
      </c>
      <c r="Y34" s="48" t="str">
        <f t="shared" si="10"/>
        <v/>
      </c>
      <c r="Z34" s="22" t="b">
        <f t="shared" si="4"/>
        <v>1</v>
      </c>
      <c r="AA34" s="22" t="b">
        <f t="shared" si="5"/>
        <v>1</v>
      </c>
      <c r="AB34" s="22" t="b">
        <f t="shared" si="6"/>
        <v>1</v>
      </c>
      <c r="AC34" s="22" t="b">
        <f t="shared" si="7"/>
        <v>1</v>
      </c>
      <c r="AD34" s="51" t="b">
        <f t="shared" si="11"/>
        <v>1</v>
      </c>
      <c r="AE34" s="51" t="str">
        <f t="shared" si="12"/>
        <v>-44549</v>
      </c>
      <c r="AF34" s="267"/>
      <c r="AG34" s="267"/>
      <c r="AH34" s="267"/>
    </row>
    <row r="35" spans="1:34" x14ac:dyDescent="0.25">
      <c r="A35" s="30" t="str">
        <f ca="1">IF(ISBLANK(INDIRECT("'Sunday REQ'!A29")),"",INDIRECT("'Sunday REQ'!A29"))</f>
        <v/>
      </c>
      <c r="B35" s="30" t="str">
        <f ca="1">IF(ISBLANK(INDIRECT("'Sunday REQ'!B29")),"",INDIRECT("'Sunday REQ'!B29"))</f>
        <v/>
      </c>
      <c r="C35" s="31" t="str">
        <f ca="1">IF(ISBLANK(INDIRECT("'Sunday REQ'!C29")),"",INDIRECT("'Sunday REQ'!C29"))</f>
        <v/>
      </c>
      <c r="D35" s="31" t="str">
        <f ca="1">IF(ISBLANK(INDIRECT("'Sunday REQ'!D29")),"",INDIRECT("'Sunday REQ'!D29"))</f>
        <v/>
      </c>
      <c r="E35" s="160" t="str">
        <f ca="1">IF(ISBLANK(INDIRECT("'Sunday REQ'!E29")),"",INDIRECT("'Sunday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3"/>
        <v/>
      </c>
      <c r="N35" s="34" t="str">
        <f t="shared" si="14"/>
        <v/>
      </c>
      <c r="O35" s="34" t="str">
        <f t="shared" si="15"/>
        <v/>
      </c>
      <c r="P35" s="34" t="str">
        <f t="shared" si="16"/>
        <v/>
      </c>
      <c r="Q35" s="214"/>
      <c r="R35" s="215"/>
      <c r="S35" s="35" t="str">
        <f t="shared" si="1"/>
        <v/>
      </c>
      <c r="T35" s="35" t="str">
        <f t="shared" si="2"/>
        <v/>
      </c>
      <c r="U35" s="33" t="str">
        <f t="shared" si="3"/>
        <v/>
      </c>
      <c r="V35" s="35" t="str">
        <f t="shared" si="8"/>
        <v/>
      </c>
      <c r="W35" s="36" t="str">
        <f t="shared" si="9"/>
        <v/>
      </c>
      <c r="X35" s="36" t="str">
        <f>IFERROR(VLOOKUP(Info!$B$3&amp;"-"&amp;H35,'Agency Rates'!A:D,4,FALSE),"")</f>
        <v/>
      </c>
      <c r="Y35" s="48" t="str">
        <f t="shared" si="10"/>
        <v/>
      </c>
      <c r="Z35" s="22" t="b">
        <f t="shared" si="4"/>
        <v>1</v>
      </c>
      <c r="AA35" s="22" t="b">
        <f t="shared" si="5"/>
        <v>1</v>
      </c>
      <c r="AB35" s="22" t="b">
        <f t="shared" si="6"/>
        <v>1</v>
      </c>
      <c r="AC35" s="22" t="b">
        <f t="shared" si="7"/>
        <v>1</v>
      </c>
      <c r="AD35" s="51" t="b">
        <f t="shared" si="11"/>
        <v>1</v>
      </c>
      <c r="AE35" s="51" t="str">
        <f t="shared" si="12"/>
        <v>-44549</v>
      </c>
      <c r="AF35" s="267"/>
      <c r="AG35" s="267"/>
      <c r="AH35" s="267"/>
    </row>
    <row r="36" spans="1:34" x14ac:dyDescent="0.25">
      <c r="A36" s="30" t="str">
        <f ca="1">IF(ISBLANK(INDIRECT("'Sunday REQ'!A30")),"",INDIRECT("'Sunday REQ'!A30"))</f>
        <v/>
      </c>
      <c r="B36" s="30" t="str">
        <f ca="1">IF(ISBLANK(INDIRECT("'Sunday REQ'!B30")),"",INDIRECT("'Sunday REQ'!B30"))</f>
        <v/>
      </c>
      <c r="C36" s="31" t="str">
        <f ca="1">IF(ISBLANK(INDIRECT("'Sunday REQ'!C30")),"",INDIRECT("'Sunday REQ'!C30"))</f>
        <v/>
      </c>
      <c r="D36" s="31" t="str">
        <f ca="1">IF(ISBLANK(INDIRECT("'Sunday REQ'!D30")),"",INDIRECT("'Sunday REQ'!D30"))</f>
        <v/>
      </c>
      <c r="E36" s="160" t="str">
        <f ca="1">IF(ISBLANK(INDIRECT("'Sunday REQ'!E30")),"",INDIRECT("'Sunday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3"/>
        <v/>
      </c>
      <c r="N36" s="34" t="str">
        <f t="shared" si="14"/>
        <v/>
      </c>
      <c r="O36" s="34" t="str">
        <f t="shared" si="15"/>
        <v/>
      </c>
      <c r="P36" s="34" t="str">
        <f t="shared" si="16"/>
        <v/>
      </c>
      <c r="Q36" s="214"/>
      <c r="R36" s="215"/>
      <c r="S36" s="35" t="str">
        <f t="shared" si="1"/>
        <v/>
      </c>
      <c r="T36" s="35" t="str">
        <f t="shared" si="2"/>
        <v/>
      </c>
      <c r="U36" s="33" t="str">
        <f t="shared" si="3"/>
        <v/>
      </c>
      <c r="V36" s="35" t="str">
        <f t="shared" si="8"/>
        <v/>
      </c>
      <c r="W36" s="36" t="str">
        <f t="shared" si="9"/>
        <v/>
      </c>
      <c r="X36" s="36" t="str">
        <f>IFERROR(VLOOKUP(Info!$B$3&amp;"-"&amp;H36,'Agency Rates'!A:D,4,FALSE),"")</f>
        <v/>
      </c>
      <c r="Y36" s="48" t="str">
        <f t="shared" si="10"/>
        <v/>
      </c>
      <c r="Z36" s="22" t="b">
        <f t="shared" si="4"/>
        <v>1</v>
      </c>
      <c r="AA36" s="22" t="b">
        <f t="shared" si="5"/>
        <v>1</v>
      </c>
      <c r="AB36" s="22" t="b">
        <f t="shared" si="6"/>
        <v>1</v>
      </c>
      <c r="AC36" s="22" t="b">
        <f t="shared" si="7"/>
        <v>1</v>
      </c>
      <c r="AD36" s="51" t="b">
        <f t="shared" si="11"/>
        <v>1</v>
      </c>
      <c r="AE36" s="51" t="str">
        <f t="shared" si="12"/>
        <v>-44549</v>
      </c>
      <c r="AF36" s="267"/>
      <c r="AG36" s="267"/>
      <c r="AH36" s="267"/>
    </row>
    <row r="37" spans="1:34" x14ac:dyDescent="0.25">
      <c r="A37" s="30" t="str">
        <f ca="1">IF(ISBLANK(INDIRECT("'Sunday REQ'!A31")),"",INDIRECT("'Sunday REQ'!A31"))</f>
        <v/>
      </c>
      <c r="B37" s="30" t="str">
        <f ca="1">IF(ISBLANK(INDIRECT("'Sunday REQ'!B31")),"",INDIRECT("'Sunday REQ'!B31"))</f>
        <v/>
      </c>
      <c r="C37" s="31" t="str">
        <f ca="1">IF(ISBLANK(INDIRECT("'Sunday REQ'!C31")),"",INDIRECT("'Sunday REQ'!C31"))</f>
        <v/>
      </c>
      <c r="D37" s="31" t="str">
        <f ca="1">IF(ISBLANK(INDIRECT("'Sunday REQ'!D31")),"",INDIRECT("'Sunday REQ'!D31"))</f>
        <v/>
      </c>
      <c r="E37" s="160" t="str">
        <f ca="1">IF(ISBLANK(INDIRECT("'Sunday REQ'!E31")),"",INDIRECT("'Sunday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3"/>
        <v/>
      </c>
      <c r="N37" s="34" t="str">
        <f t="shared" si="14"/>
        <v/>
      </c>
      <c r="O37" s="34" t="str">
        <f t="shared" si="15"/>
        <v/>
      </c>
      <c r="P37" s="34" t="str">
        <f t="shared" si="16"/>
        <v/>
      </c>
      <c r="Q37" s="214"/>
      <c r="R37" s="215"/>
      <c r="S37" s="35" t="str">
        <f t="shared" si="1"/>
        <v/>
      </c>
      <c r="T37" s="35" t="str">
        <f t="shared" si="2"/>
        <v/>
      </c>
      <c r="U37" s="33" t="str">
        <f t="shared" si="3"/>
        <v/>
      </c>
      <c r="V37" s="35" t="str">
        <f t="shared" si="8"/>
        <v/>
      </c>
      <c r="W37" s="36" t="str">
        <f t="shared" si="9"/>
        <v/>
      </c>
      <c r="X37" s="36" t="str">
        <f>IFERROR(VLOOKUP(Info!$B$3&amp;"-"&amp;H37,'Agency Rates'!A:D,4,FALSE),"")</f>
        <v/>
      </c>
      <c r="Y37" s="48" t="str">
        <f t="shared" si="10"/>
        <v/>
      </c>
      <c r="Z37" s="22" t="b">
        <f t="shared" si="4"/>
        <v>1</v>
      </c>
      <c r="AA37" s="22" t="b">
        <f t="shared" si="5"/>
        <v>1</v>
      </c>
      <c r="AB37" s="22" t="b">
        <f t="shared" si="6"/>
        <v>1</v>
      </c>
      <c r="AC37" s="22" t="b">
        <f t="shared" si="7"/>
        <v>1</v>
      </c>
      <c r="AD37" s="51" t="b">
        <f t="shared" si="11"/>
        <v>1</v>
      </c>
      <c r="AE37" s="51" t="str">
        <f t="shared" si="12"/>
        <v>-44549</v>
      </c>
      <c r="AF37" s="267"/>
      <c r="AG37" s="267"/>
      <c r="AH37" s="267"/>
    </row>
    <row r="38" spans="1:34" x14ac:dyDescent="0.25">
      <c r="A38" s="30" t="str">
        <f ca="1">IF(ISBLANK(INDIRECT("'Sunday REQ'!A32")),"",INDIRECT("'Sunday REQ'!A32"))</f>
        <v/>
      </c>
      <c r="B38" s="30" t="str">
        <f ca="1">IF(ISBLANK(INDIRECT("'Sunday REQ'!B32")),"",INDIRECT("'Sunday REQ'!B32"))</f>
        <v/>
      </c>
      <c r="C38" s="31" t="str">
        <f ca="1">IF(ISBLANK(INDIRECT("'Sunday REQ'!C32")),"",INDIRECT("'Sunday REQ'!C32"))</f>
        <v/>
      </c>
      <c r="D38" s="31" t="str">
        <f ca="1">IF(ISBLANK(INDIRECT("'Sunday REQ'!D32")),"",INDIRECT("'Sunday REQ'!D32"))</f>
        <v/>
      </c>
      <c r="E38" s="160" t="str">
        <f ca="1">IF(ISBLANK(INDIRECT("'Sunday REQ'!E32")),"",INDIRECT("'Sunday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3"/>
        <v/>
      </c>
      <c r="N38" s="34" t="str">
        <f t="shared" si="14"/>
        <v/>
      </c>
      <c r="O38" s="34" t="str">
        <f t="shared" si="15"/>
        <v/>
      </c>
      <c r="P38" s="34" t="str">
        <f t="shared" si="16"/>
        <v/>
      </c>
      <c r="Q38" s="214"/>
      <c r="R38" s="215"/>
      <c r="S38" s="35" t="str">
        <f t="shared" si="1"/>
        <v/>
      </c>
      <c r="T38" s="35" t="str">
        <f t="shared" si="2"/>
        <v/>
      </c>
      <c r="U38" s="33" t="str">
        <f t="shared" si="3"/>
        <v/>
      </c>
      <c r="V38" s="35" t="str">
        <f t="shared" si="8"/>
        <v/>
      </c>
      <c r="W38" s="36" t="str">
        <f t="shared" si="9"/>
        <v/>
      </c>
      <c r="X38" s="36" t="str">
        <f>IFERROR(VLOOKUP(Info!$B$3&amp;"-"&amp;H38,'Agency Rates'!A:D,4,FALSE),"")</f>
        <v/>
      </c>
      <c r="Y38" s="48" t="str">
        <f t="shared" si="10"/>
        <v/>
      </c>
      <c r="Z38" s="22" t="b">
        <f t="shared" si="4"/>
        <v>1</v>
      </c>
      <c r="AA38" s="22" t="b">
        <f t="shared" si="5"/>
        <v>1</v>
      </c>
      <c r="AB38" s="22" t="b">
        <f t="shared" si="6"/>
        <v>1</v>
      </c>
      <c r="AC38" s="22" t="b">
        <f t="shared" si="7"/>
        <v>1</v>
      </c>
      <c r="AD38" s="51" t="b">
        <f t="shared" si="11"/>
        <v>1</v>
      </c>
      <c r="AE38" s="51" t="str">
        <f t="shared" si="12"/>
        <v>-44549</v>
      </c>
      <c r="AF38" s="267"/>
      <c r="AG38" s="267"/>
      <c r="AH38" s="267"/>
    </row>
    <row r="39" spans="1:34" x14ac:dyDescent="0.25">
      <c r="A39" s="30" t="str">
        <f ca="1">IF(ISBLANK(INDIRECT("'Sunday REQ'!A33")),"",INDIRECT("'Sunday REQ'!A33"))</f>
        <v/>
      </c>
      <c r="B39" s="30" t="str">
        <f ca="1">IF(ISBLANK(INDIRECT("'Sunday REQ'!B33")),"",INDIRECT("'Sunday REQ'!B33"))</f>
        <v/>
      </c>
      <c r="C39" s="31" t="str">
        <f ca="1">IF(ISBLANK(INDIRECT("'Sunday REQ'!C33")),"",INDIRECT("'Sunday REQ'!C33"))</f>
        <v/>
      </c>
      <c r="D39" s="31" t="str">
        <f ca="1">IF(ISBLANK(INDIRECT("'Sunday REQ'!D33")),"",INDIRECT("'Sunday REQ'!D33"))</f>
        <v/>
      </c>
      <c r="E39" s="160" t="str">
        <f ca="1">IF(ISBLANK(INDIRECT("'Sunday REQ'!E33")),"",INDIRECT("'Sunday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3"/>
        <v/>
      </c>
      <c r="N39" s="34" t="str">
        <f t="shared" si="14"/>
        <v/>
      </c>
      <c r="O39" s="34" t="str">
        <f t="shared" si="15"/>
        <v/>
      </c>
      <c r="P39" s="34" t="str">
        <f t="shared" si="16"/>
        <v/>
      </c>
      <c r="Q39" s="214"/>
      <c r="R39" s="215"/>
      <c r="S39" s="35" t="str">
        <f t="shared" si="1"/>
        <v/>
      </c>
      <c r="T39" s="35" t="str">
        <f t="shared" si="2"/>
        <v/>
      </c>
      <c r="U39" s="33" t="str">
        <f t="shared" si="3"/>
        <v/>
      </c>
      <c r="V39" s="35" t="str">
        <f t="shared" si="8"/>
        <v/>
      </c>
      <c r="W39" s="36" t="str">
        <f t="shared" si="9"/>
        <v/>
      </c>
      <c r="X39" s="36" t="str">
        <f>IFERROR(VLOOKUP(Info!$B$3&amp;"-"&amp;H39,'Agency Rates'!A:D,4,FALSE),"")</f>
        <v/>
      </c>
      <c r="Y39" s="48" t="str">
        <f t="shared" si="10"/>
        <v/>
      </c>
      <c r="Z39" s="22" t="b">
        <f t="shared" si="4"/>
        <v>1</v>
      </c>
      <c r="AA39" s="22" t="b">
        <f t="shared" si="5"/>
        <v>1</v>
      </c>
      <c r="AB39" s="22" t="b">
        <f t="shared" si="6"/>
        <v>1</v>
      </c>
      <c r="AC39" s="22" t="b">
        <f t="shared" si="7"/>
        <v>1</v>
      </c>
      <c r="AD39" s="51" t="b">
        <f t="shared" si="11"/>
        <v>1</v>
      </c>
      <c r="AE39" s="51" t="str">
        <f t="shared" si="12"/>
        <v>-44549</v>
      </c>
      <c r="AF39" s="267"/>
      <c r="AG39" s="267"/>
      <c r="AH39" s="267"/>
    </row>
    <row r="40" spans="1:34" x14ac:dyDescent="0.25">
      <c r="A40" s="30" t="str">
        <f ca="1">IF(ISBLANK(INDIRECT("'Sunday REQ'!A34")),"",INDIRECT("'Sunday REQ'!A34"))</f>
        <v/>
      </c>
      <c r="B40" s="30" t="str">
        <f ca="1">IF(ISBLANK(INDIRECT("'Sunday REQ'!B34")),"",INDIRECT("'Sunday REQ'!B34"))</f>
        <v/>
      </c>
      <c r="C40" s="31" t="str">
        <f ca="1">IF(ISBLANK(INDIRECT("'Sunday REQ'!C34")),"",INDIRECT("'Sunday REQ'!C34"))</f>
        <v/>
      </c>
      <c r="D40" s="31" t="str">
        <f ca="1">IF(ISBLANK(INDIRECT("'Sunday REQ'!D34")),"",INDIRECT("'Sunday REQ'!D34"))</f>
        <v/>
      </c>
      <c r="E40" s="160" t="str">
        <f ca="1">IF(ISBLANK(INDIRECT("'Sunday REQ'!E34")),"",INDIRECT("'Sunday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3"/>
        <v/>
      </c>
      <c r="N40" s="34" t="str">
        <f t="shared" si="14"/>
        <v/>
      </c>
      <c r="O40" s="34" t="str">
        <f t="shared" si="15"/>
        <v/>
      </c>
      <c r="P40" s="34" t="str">
        <f t="shared" si="16"/>
        <v/>
      </c>
      <c r="Q40" s="214"/>
      <c r="R40" s="215"/>
      <c r="S40" s="35" t="str">
        <f t="shared" si="1"/>
        <v/>
      </c>
      <c r="T40" s="35" t="str">
        <f t="shared" si="2"/>
        <v/>
      </c>
      <c r="U40" s="33" t="str">
        <f t="shared" si="3"/>
        <v/>
      </c>
      <c r="V40" s="35" t="str">
        <f t="shared" si="8"/>
        <v/>
      </c>
      <c r="W40" s="36" t="str">
        <f t="shared" si="9"/>
        <v/>
      </c>
      <c r="X40" s="36" t="str">
        <f>IFERROR(VLOOKUP(Info!$B$3&amp;"-"&amp;H40,'Agency Rates'!A:D,4,FALSE),"")</f>
        <v/>
      </c>
      <c r="Y40" s="48" t="str">
        <f t="shared" si="10"/>
        <v/>
      </c>
      <c r="Z40" s="22" t="b">
        <f t="shared" si="4"/>
        <v>1</v>
      </c>
      <c r="AA40" s="22" t="b">
        <f t="shared" si="5"/>
        <v>1</v>
      </c>
      <c r="AB40" s="22" t="b">
        <f t="shared" si="6"/>
        <v>1</v>
      </c>
      <c r="AC40" s="22" t="b">
        <f t="shared" si="7"/>
        <v>1</v>
      </c>
      <c r="AD40" s="51" t="b">
        <f t="shared" si="11"/>
        <v>1</v>
      </c>
      <c r="AE40" s="51" t="str">
        <f t="shared" si="12"/>
        <v>-44549</v>
      </c>
      <c r="AF40" s="267"/>
      <c r="AG40" s="267"/>
      <c r="AH40" s="267"/>
    </row>
    <row r="41" spans="1:34" x14ac:dyDescent="0.25">
      <c r="A41" s="30" t="str">
        <f ca="1">IF(ISBLANK(INDIRECT("'Sunday REQ'!A35")),"",INDIRECT("'Sunday REQ'!A35"))</f>
        <v/>
      </c>
      <c r="B41" s="30" t="str">
        <f ca="1">IF(ISBLANK(INDIRECT("'Sunday REQ'!B35")),"",INDIRECT("'Sunday REQ'!B35"))</f>
        <v/>
      </c>
      <c r="C41" s="31" t="str">
        <f ca="1">IF(ISBLANK(INDIRECT("'Sunday REQ'!C35")),"",INDIRECT("'Sunday REQ'!C35"))</f>
        <v/>
      </c>
      <c r="D41" s="31" t="str">
        <f ca="1">IF(ISBLANK(INDIRECT("'Sunday REQ'!D35")),"",INDIRECT("'Sunday REQ'!D35"))</f>
        <v/>
      </c>
      <c r="E41" s="160" t="str">
        <f ca="1">IF(ISBLANK(INDIRECT("'Sunday REQ'!E35")),"",INDIRECT("'Sunday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3"/>
        <v/>
      </c>
      <c r="N41" s="34" t="str">
        <f t="shared" si="14"/>
        <v/>
      </c>
      <c r="O41" s="34" t="str">
        <f t="shared" si="15"/>
        <v/>
      </c>
      <c r="P41" s="34" t="str">
        <f t="shared" si="16"/>
        <v/>
      </c>
      <c r="Q41" s="214"/>
      <c r="R41" s="215"/>
      <c r="S41" s="35" t="str">
        <f t="shared" ref="S41:S60" si="17">IFERROR(IF(P41&lt;M41,P41+(1-M41),P41-M41),"")</f>
        <v/>
      </c>
      <c r="T41" s="35" t="str">
        <f t="shared" ref="T41:T60" si="18">IF(P41="","",IFERROR(O41-N41,""))</f>
        <v/>
      </c>
      <c r="U41" s="33" t="str">
        <f t="shared" ref="U41:U60" si="19">IF(P41="","",IF(S41&gt;0.25,0.0208333333333333,0))</f>
        <v/>
      </c>
      <c r="V41" s="35" t="str">
        <f t="shared" si="8"/>
        <v/>
      </c>
      <c r="W41" s="36" t="str">
        <f t="shared" si="9"/>
        <v/>
      </c>
      <c r="X41" s="36" t="str">
        <f>IFERROR(VLOOKUP(Info!$B$3&amp;"-"&amp;H41,'Agency Rates'!A:D,4,FALSE),"")</f>
        <v/>
      </c>
      <c r="Y41" s="48" t="str">
        <f t="shared" si="10"/>
        <v/>
      </c>
      <c r="Z41" s="22" t="b">
        <f t="shared" ref="Z41:Z60" si="20">_xlfn.ISFORMULA(I41)</f>
        <v>1</v>
      </c>
      <c r="AA41" s="22" t="b">
        <f t="shared" ref="AA41:AA60" si="21">_xlfn.ISFORMULA(J41)</f>
        <v>1</v>
      </c>
      <c r="AB41" s="22" t="b">
        <f t="shared" ref="AB41:AB60" si="22">_xlfn.ISFORMULA(K41)</f>
        <v>1</v>
      </c>
      <c r="AC41" s="22" t="b">
        <f t="shared" ref="AC41:AC60" si="23">_xlfn.ISFORMULA(L41)</f>
        <v>1</v>
      </c>
      <c r="AD41" s="51" t="b">
        <f t="shared" si="11"/>
        <v>1</v>
      </c>
      <c r="AE41" s="51" t="str">
        <f t="shared" si="12"/>
        <v>-44549</v>
      </c>
      <c r="AF41" s="267"/>
      <c r="AG41" s="267"/>
      <c r="AH41" s="267"/>
    </row>
    <row r="42" spans="1:34" x14ac:dyDescent="0.25">
      <c r="A42" s="30" t="str">
        <f ca="1">IF(ISBLANK(INDIRECT("'Sunday REQ'!A36")),"",INDIRECT("'Sunday REQ'!A36"))</f>
        <v/>
      </c>
      <c r="B42" s="30" t="str">
        <f ca="1">IF(ISBLANK(INDIRECT("'Sunday REQ'!B36")),"",INDIRECT("'Sunday REQ'!B36"))</f>
        <v/>
      </c>
      <c r="C42" s="31" t="str">
        <f ca="1">IF(ISBLANK(INDIRECT("'Sunday REQ'!C36")),"",INDIRECT("'Sunday REQ'!C36"))</f>
        <v/>
      </c>
      <c r="D42" s="31" t="str">
        <f ca="1">IF(ISBLANK(INDIRECT("'Sunday REQ'!D36")),"",INDIRECT("'Sunday REQ'!D36"))</f>
        <v/>
      </c>
      <c r="E42" s="160" t="str">
        <f ca="1">IF(ISBLANK(INDIRECT("'Sunday REQ'!E36")),"",INDIRECT("'Sunday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3"/>
        <v/>
      </c>
      <c r="N42" s="34" t="str">
        <f t="shared" si="14"/>
        <v/>
      </c>
      <c r="O42" s="34" t="str">
        <f t="shared" si="15"/>
        <v/>
      </c>
      <c r="P42" s="34" t="str">
        <f t="shared" si="16"/>
        <v/>
      </c>
      <c r="Q42" s="214"/>
      <c r="R42" s="215"/>
      <c r="S42" s="35" t="str">
        <f t="shared" si="17"/>
        <v/>
      </c>
      <c r="T42" s="35" t="str">
        <f t="shared" si="18"/>
        <v/>
      </c>
      <c r="U42" s="33" t="str">
        <f t="shared" si="19"/>
        <v/>
      </c>
      <c r="V42" s="35" t="str">
        <f t="shared" si="8"/>
        <v/>
      </c>
      <c r="W42" s="36" t="str">
        <f t="shared" si="9"/>
        <v/>
      </c>
      <c r="X42" s="36" t="str">
        <f>IFERROR(VLOOKUP(Info!$B$3&amp;"-"&amp;H42,'Agency Rates'!A:D,4,FALSE),"")</f>
        <v/>
      </c>
      <c r="Y42" s="48" t="str">
        <f t="shared" si="10"/>
        <v/>
      </c>
      <c r="Z42" s="22" t="b">
        <f t="shared" si="20"/>
        <v>1</v>
      </c>
      <c r="AA42" s="22" t="b">
        <f t="shared" si="21"/>
        <v>1</v>
      </c>
      <c r="AB42" s="22" t="b">
        <f t="shared" si="22"/>
        <v>1</v>
      </c>
      <c r="AC42" s="22" t="b">
        <f t="shared" si="23"/>
        <v>1</v>
      </c>
      <c r="AD42" s="51" t="b">
        <f t="shared" si="11"/>
        <v>1</v>
      </c>
      <c r="AE42" s="51" t="str">
        <f t="shared" si="12"/>
        <v>-44549</v>
      </c>
      <c r="AF42" s="267"/>
      <c r="AG42" s="267"/>
      <c r="AH42" s="267"/>
    </row>
    <row r="43" spans="1:34" x14ac:dyDescent="0.25">
      <c r="A43" s="30" t="str">
        <f ca="1">IF(ISBLANK(INDIRECT("'Sunday REQ'!A37")),"",INDIRECT("'Sunday REQ'!A37"))</f>
        <v/>
      </c>
      <c r="B43" s="30" t="str">
        <f ca="1">IF(ISBLANK(INDIRECT("'Sunday REQ'!B37")),"",INDIRECT("'Sunday REQ'!B37"))</f>
        <v/>
      </c>
      <c r="C43" s="31" t="str">
        <f ca="1">IF(ISBLANK(INDIRECT("'Sunday REQ'!C37")),"",INDIRECT("'Sunday REQ'!C37"))</f>
        <v/>
      </c>
      <c r="D43" s="31" t="str">
        <f ca="1">IF(ISBLANK(INDIRECT("'Sunday REQ'!D37")),"",INDIRECT("'Sunday REQ'!D37"))</f>
        <v/>
      </c>
      <c r="E43" s="160" t="str">
        <f ca="1">IF(ISBLANK(INDIRECT("'Sunday REQ'!E37")),"",INDIRECT("'Sunday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3"/>
        <v/>
      </c>
      <c r="N43" s="34" t="str">
        <f t="shared" si="14"/>
        <v/>
      </c>
      <c r="O43" s="34" t="str">
        <f t="shared" si="15"/>
        <v/>
      </c>
      <c r="P43" s="34" t="str">
        <f t="shared" si="16"/>
        <v/>
      </c>
      <c r="Q43" s="214"/>
      <c r="R43" s="215"/>
      <c r="S43" s="35" t="str">
        <f t="shared" si="17"/>
        <v/>
      </c>
      <c r="T43" s="35" t="str">
        <f t="shared" si="18"/>
        <v/>
      </c>
      <c r="U43" s="33" t="str">
        <f t="shared" si="19"/>
        <v/>
      </c>
      <c r="V43" s="35" t="str">
        <f t="shared" si="8"/>
        <v/>
      </c>
      <c r="W43" s="36" t="str">
        <f t="shared" si="9"/>
        <v/>
      </c>
      <c r="X43" s="36" t="str">
        <f>IFERROR(VLOOKUP(Info!$B$3&amp;"-"&amp;H43,'Agency Rates'!A:D,4,FALSE),"")</f>
        <v/>
      </c>
      <c r="Y43" s="48" t="str">
        <f t="shared" si="10"/>
        <v/>
      </c>
      <c r="Z43" s="22" t="b">
        <f t="shared" si="20"/>
        <v>1</v>
      </c>
      <c r="AA43" s="22" t="b">
        <f t="shared" si="21"/>
        <v>1</v>
      </c>
      <c r="AB43" s="22" t="b">
        <f t="shared" si="22"/>
        <v>1</v>
      </c>
      <c r="AC43" s="22" t="b">
        <f t="shared" si="23"/>
        <v>1</v>
      </c>
      <c r="AD43" s="51" t="b">
        <f t="shared" si="11"/>
        <v>1</v>
      </c>
      <c r="AE43" s="51" t="str">
        <f t="shared" si="12"/>
        <v>-44549</v>
      </c>
      <c r="AF43" s="267"/>
      <c r="AG43" s="267"/>
      <c r="AH43" s="267"/>
    </row>
    <row r="44" spans="1:34" x14ac:dyDescent="0.25">
      <c r="A44" s="30" t="str">
        <f ca="1">IF(ISBLANK(INDIRECT("'Sunday REQ'!A38")),"",INDIRECT("'Sunday REQ'!A38"))</f>
        <v/>
      </c>
      <c r="B44" s="30" t="str">
        <f ca="1">IF(ISBLANK(INDIRECT("'Sunday REQ'!B38")),"",INDIRECT("'Sunday REQ'!B38"))</f>
        <v/>
      </c>
      <c r="C44" s="31" t="str">
        <f ca="1">IF(ISBLANK(INDIRECT("'Sunday REQ'!C38")),"",INDIRECT("'Sunday REQ'!C38"))</f>
        <v/>
      </c>
      <c r="D44" s="31" t="str">
        <f ca="1">IF(ISBLANK(INDIRECT("'Sunday REQ'!D38")),"",INDIRECT("'Sunday REQ'!D38"))</f>
        <v/>
      </c>
      <c r="E44" s="160" t="str">
        <f ca="1">IF(ISBLANK(INDIRECT("'Sunday REQ'!E38")),"",INDIRECT("'Sunday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3"/>
        <v/>
      </c>
      <c r="N44" s="34" t="str">
        <f t="shared" si="14"/>
        <v/>
      </c>
      <c r="O44" s="34" t="str">
        <f t="shared" si="15"/>
        <v/>
      </c>
      <c r="P44" s="34" t="str">
        <f t="shared" si="16"/>
        <v/>
      </c>
      <c r="Q44" s="214"/>
      <c r="R44" s="215"/>
      <c r="S44" s="35" t="str">
        <f t="shared" si="17"/>
        <v/>
      </c>
      <c r="T44" s="35" t="str">
        <f t="shared" si="18"/>
        <v/>
      </c>
      <c r="U44" s="33" t="str">
        <f t="shared" si="19"/>
        <v/>
      </c>
      <c r="V44" s="35" t="str">
        <f t="shared" si="8"/>
        <v/>
      </c>
      <c r="W44" s="36" t="str">
        <f t="shared" si="9"/>
        <v/>
      </c>
      <c r="X44" s="36" t="str">
        <f>IFERROR(VLOOKUP(Info!$B$3&amp;"-"&amp;H44,'Agency Rates'!A:D,4,FALSE),"")</f>
        <v/>
      </c>
      <c r="Y44" s="48" t="str">
        <f t="shared" si="10"/>
        <v/>
      </c>
      <c r="Z44" s="22" t="b">
        <f t="shared" si="20"/>
        <v>1</v>
      </c>
      <c r="AA44" s="22" t="b">
        <f t="shared" si="21"/>
        <v>1</v>
      </c>
      <c r="AB44" s="22" t="b">
        <f t="shared" si="22"/>
        <v>1</v>
      </c>
      <c r="AC44" s="22" t="b">
        <f t="shared" si="23"/>
        <v>1</v>
      </c>
      <c r="AD44" s="51" t="b">
        <f t="shared" si="11"/>
        <v>1</v>
      </c>
      <c r="AE44" s="51" t="str">
        <f t="shared" si="12"/>
        <v>-44549</v>
      </c>
      <c r="AF44" s="267"/>
      <c r="AG44" s="267"/>
      <c r="AH44" s="267"/>
    </row>
    <row r="45" spans="1:34" x14ac:dyDescent="0.25">
      <c r="A45" s="30" t="str">
        <f ca="1">IF(ISBLANK(INDIRECT("'Sunday REQ'!A39")),"",INDIRECT("'Sunday REQ'!A39"))</f>
        <v/>
      </c>
      <c r="B45" s="30" t="str">
        <f ca="1">IF(ISBLANK(INDIRECT("'Sunday REQ'!B39")),"",INDIRECT("'Sunday REQ'!B39"))</f>
        <v/>
      </c>
      <c r="C45" s="31" t="str">
        <f ca="1">IF(ISBLANK(INDIRECT("'Sunday REQ'!C39")),"",INDIRECT("'Sunday REQ'!C39"))</f>
        <v/>
      </c>
      <c r="D45" s="31" t="str">
        <f ca="1">IF(ISBLANK(INDIRECT("'Sunday REQ'!D39")),"",INDIRECT("'Sunday REQ'!D39"))</f>
        <v/>
      </c>
      <c r="E45" s="160" t="str">
        <f ca="1">IF(ISBLANK(INDIRECT("'Sunday REQ'!E39")),"",INDIRECT("'Sunday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3"/>
        <v/>
      </c>
      <c r="N45" s="34" t="str">
        <f t="shared" si="14"/>
        <v/>
      </c>
      <c r="O45" s="34" t="str">
        <f t="shared" si="15"/>
        <v/>
      </c>
      <c r="P45" s="34" t="str">
        <f t="shared" si="16"/>
        <v/>
      </c>
      <c r="Q45" s="214"/>
      <c r="R45" s="215"/>
      <c r="S45" s="35" t="str">
        <f t="shared" si="17"/>
        <v/>
      </c>
      <c r="T45" s="35" t="str">
        <f t="shared" si="18"/>
        <v/>
      </c>
      <c r="U45" s="33" t="str">
        <f t="shared" si="19"/>
        <v/>
      </c>
      <c r="V45" s="35" t="str">
        <f t="shared" si="8"/>
        <v/>
      </c>
      <c r="W45" s="36" t="str">
        <f t="shared" si="9"/>
        <v/>
      </c>
      <c r="X45" s="36" t="str">
        <f>IFERROR(VLOOKUP(Info!$B$3&amp;"-"&amp;H45,'Agency Rates'!A:D,4,FALSE),"")</f>
        <v/>
      </c>
      <c r="Y45" s="48" t="str">
        <f t="shared" si="10"/>
        <v/>
      </c>
      <c r="Z45" s="22" t="b">
        <f t="shared" si="20"/>
        <v>1</v>
      </c>
      <c r="AA45" s="22" t="b">
        <f t="shared" si="21"/>
        <v>1</v>
      </c>
      <c r="AB45" s="22" t="b">
        <f t="shared" si="22"/>
        <v>1</v>
      </c>
      <c r="AC45" s="22" t="b">
        <f t="shared" si="23"/>
        <v>1</v>
      </c>
      <c r="AD45" s="51" t="b">
        <f t="shared" si="11"/>
        <v>1</v>
      </c>
      <c r="AE45" s="51" t="str">
        <f t="shared" si="12"/>
        <v>-44549</v>
      </c>
      <c r="AF45" s="267"/>
      <c r="AG45" s="267"/>
      <c r="AH45" s="267"/>
    </row>
    <row r="46" spans="1:34" x14ac:dyDescent="0.25">
      <c r="A46" s="30" t="str">
        <f ca="1">IF(ISBLANK(INDIRECT("'Sunday REQ'!A40")),"",INDIRECT("'Sunday REQ'!A40"))</f>
        <v/>
      </c>
      <c r="B46" s="30" t="str">
        <f ca="1">IF(ISBLANK(INDIRECT("'Sunday REQ'!B40")),"",INDIRECT("'Sunday REQ'!B40"))</f>
        <v/>
      </c>
      <c r="C46" s="31" t="str">
        <f ca="1">IF(ISBLANK(INDIRECT("'Sunday REQ'!C40")),"",INDIRECT("'Sunday REQ'!C40"))</f>
        <v/>
      </c>
      <c r="D46" s="31" t="str">
        <f ca="1">IF(ISBLANK(INDIRECT("'Sunday REQ'!D40")),"",INDIRECT("'Sunday REQ'!D40"))</f>
        <v/>
      </c>
      <c r="E46" s="160" t="str">
        <f ca="1">IF(ISBLANK(INDIRECT("'Sunday REQ'!E40")),"",INDIRECT("'Sunday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3"/>
        <v/>
      </c>
      <c r="N46" s="34" t="str">
        <f t="shared" si="14"/>
        <v/>
      </c>
      <c r="O46" s="34" t="str">
        <f t="shared" si="15"/>
        <v/>
      </c>
      <c r="P46" s="34" t="str">
        <f t="shared" si="16"/>
        <v/>
      </c>
      <c r="Q46" s="214"/>
      <c r="R46" s="215"/>
      <c r="S46" s="35" t="str">
        <f t="shared" si="17"/>
        <v/>
      </c>
      <c r="T46" s="35" t="str">
        <f t="shared" si="18"/>
        <v/>
      </c>
      <c r="U46" s="33" t="str">
        <f t="shared" si="19"/>
        <v/>
      </c>
      <c r="V46" s="35" t="str">
        <f t="shared" si="8"/>
        <v/>
      </c>
      <c r="W46" s="36" t="str">
        <f t="shared" si="9"/>
        <v/>
      </c>
      <c r="X46" s="36" t="str">
        <f>IFERROR(VLOOKUP(Info!$B$3&amp;"-"&amp;H46,'Agency Rates'!A:D,4,FALSE),"")</f>
        <v/>
      </c>
      <c r="Y46" s="48" t="str">
        <f t="shared" si="10"/>
        <v/>
      </c>
      <c r="Z46" s="22" t="b">
        <f t="shared" si="20"/>
        <v>1</v>
      </c>
      <c r="AA46" s="22" t="b">
        <f t="shared" si="21"/>
        <v>1</v>
      </c>
      <c r="AB46" s="22" t="b">
        <f t="shared" si="22"/>
        <v>1</v>
      </c>
      <c r="AC46" s="22" t="b">
        <f t="shared" si="23"/>
        <v>1</v>
      </c>
      <c r="AD46" s="51" t="b">
        <f t="shared" si="11"/>
        <v>1</v>
      </c>
      <c r="AE46" s="51" t="str">
        <f t="shared" si="12"/>
        <v>-44549</v>
      </c>
      <c r="AF46" s="267"/>
      <c r="AG46" s="267"/>
      <c r="AH46" s="267"/>
    </row>
    <row r="47" spans="1:34" x14ac:dyDescent="0.25">
      <c r="A47" s="30" t="str">
        <f ca="1">IF(ISBLANK(INDIRECT("'Sunday REQ'!A41")),"",INDIRECT("'Sunday REQ'!A41"))</f>
        <v/>
      </c>
      <c r="B47" s="30" t="str">
        <f ca="1">IF(ISBLANK(INDIRECT("'Sunday REQ'!B41")),"",INDIRECT("'Sunday REQ'!B41"))</f>
        <v/>
      </c>
      <c r="C47" s="31" t="str">
        <f ca="1">IF(ISBLANK(INDIRECT("'Sunday REQ'!C41")),"",INDIRECT("'Sunday REQ'!C41"))</f>
        <v/>
      </c>
      <c r="D47" s="31" t="str">
        <f ca="1">IF(ISBLANK(INDIRECT("'Sunday REQ'!D41")),"",INDIRECT("'Sunday REQ'!D41"))</f>
        <v/>
      </c>
      <c r="E47" s="160" t="str">
        <f ca="1">IF(ISBLANK(INDIRECT("'Sunday REQ'!E41")),"",INDIRECT("'Sunday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3"/>
        <v/>
      </c>
      <c r="N47" s="34" t="str">
        <f t="shared" si="14"/>
        <v/>
      </c>
      <c r="O47" s="34" t="str">
        <f t="shared" si="15"/>
        <v/>
      </c>
      <c r="P47" s="34" t="str">
        <f t="shared" si="16"/>
        <v/>
      </c>
      <c r="Q47" s="214"/>
      <c r="R47" s="215"/>
      <c r="S47" s="35" t="str">
        <f t="shared" si="17"/>
        <v/>
      </c>
      <c r="T47" s="35" t="str">
        <f t="shared" si="18"/>
        <v/>
      </c>
      <c r="U47" s="33" t="str">
        <f t="shared" si="19"/>
        <v/>
      </c>
      <c r="V47" s="35" t="str">
        <f t="shared" si="8"/>
        <v/>
      </c>
      <c r="W47" s="36" t="str">
        <f t="shared" si="9"/>
        <v/>
      </c>
      <c r="X47" s="36" t="str">
        <f>IFERROR(VLOOKUP(Info!$B$3&amp;"-"&amp;H47,'Agency Rates'!A:D,4,FALSE),"")</f>
        <v/>
      </c>
      <c r="Y47" s="48" t="str">
        <f t="shared" si="10"/>
        <v/>
      </c>
      <c r="Z47" s="22" t="b">
        <f t="shared" si="20"/>
        <v>1</v>
      </c>
      <c r="AA47" s="22" t="b">
        <f t="shared" si="21"/>
        <v>1</v>
      </c>
      <c r="AB47" s="22" t="b">
        <f t="shared" si="22"/>
        <v>1</v>
      </c>
      <c r="AC47" s="22" t="b">
        <f t="shared" si="23"/>
        <v>1</v>
      </c>
      <c r="AD47" s="51" t="b">
        <f t="shared" si="11"/>
        <v>1</v>
      </c>
      <c r="AE47" s="51" t="str">
        <f t="shared" si="12"/>
        <v>-44549</v>
      </c>
      <c r="AF47" s="267"/>
      <c r="AG47" s="267"/>
      <c r="AH47" s="267"/>
    </row>
    <row r="48" spans="1:34" x14ac:dyDescent="0.25">
      <c r="A48" s="30" t="str">
        <f ca="1">IF(ISBLANK(INDIRECT("'Sunday REQ'!A42")),"",INDIRECT("'Sunday REQ'!A42"))</f>
        <v/>
      </c>
      <c r="B48" s="30" t="str">
        <f ca="1">IF(ISBLANK(INDIRECT("'Sunday REQ'!B42")),"",INDIRECT("'Sunday REQ'!B42"))</f>
        <v/>
      </c>
      <c r="C48" s="31" t="str">
        <f ca="1">IF(ISBLANK(INDIRECT("'Sunday REQ'!C42")),"",INDIRECT("'Sunday REQ'!C42"))</f>
        <v/>
      </c>
      <c r="D48" s="31" t="str">
        <f ca="1">IF(ISBLANK(INDIRECT("'Sunday REQ'!D42")),"",INDIRECT("'Sunday REQ'!D42"))</f>
        <v/>
      </c>
      <c r="E48" s="160" t="str">
        <f ca="1">IF(ISBLANK(INDIRECT("'Sunday REQ'!E42")),"",INDIRECT("'Sunday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3"/>
        <v/>
      </c>
      <c r="N48" s="34" t="str">
        <f t="shared" si="14"/>
        <v/>
      </c>
      <c r="O48" s="34" t="str">
        <f t="shared" si="15"/>
        <v/>
      </c>
      <c r="P48" s="34" t="str">
        <f t="shared" si="16"/>
        <v/>
      </c>
      <c r="Q48" s="214"/>
      <c r="R48" s="215"/>
      <c r="S48" s="35" t="str">
        <f t="shared" si="17"/>
        <v/>
      </c>
      <c r="T48" s="35" t="str">
        <f t="shared" si="18"/>
        <v/>
      </c>
      <c r="U48" s="33" t="str">
        <f t="shared" si="19"/>
        <v/>
      </c>
      <c r="V48" s="35" t="str">
        <f t="shared" si="8"/>
        <v/>
      </c>
      <c r="W48" s="36" t="str">
        <f t="shared" si="9"/>
        <v/>
      </c>
      <c r="X48" s="36" t="str">
        <f>IFERROR(VLOOKUP(Info!$B$3&amp;"-"&amp;H48,'Agency Rates'!A:D,4,FALSE),"")</f>
        <v/>
      </c>
      <c r="Y48" s="48" t="str">
        <f t="shared" si="10"/>
        <v/>
      </c>
      <c r="Z48" s="22" t="b">
        <f t="shared" si="20"/>
        <v>1</v>
      </c>
      <c r="AA48" s="22" t="b">
        <f t="shared" si="21"/>
        <v>1</v>
      </c>
      <c r="AB48" s="22" t="b">
        <f t="shared" si="22"/>
        <v>1</v>
      </c>
      <c r="AC48" s="22" t="b">
        <f t="shared" si="23"/>
        <v>1</v>
      </c>
      <c r="AD48" s="51" t="b">
        <f t="shared" si="11"/>
        <v>1</v>
      </c>
      <c r="AE48" s="51" t="str">
        <f t="shared" si="12"/>
        <v>-44549</v>
      </c>
      <c r="AF48" s="267"/>
      <c r="AG48" s="267"/>
      <c r="AH48" s="267"/>
    </row>
    <row r="49" spans="1:34" x14ac:dyDescent="0.25">
      <c r="A49" s="30" t="str">
        <f ca="1">IF(ISBLANK(INDIRECT("'Sunday REQ'!A43")),"",INDIRECT("'Sunday REQ'!A43"))</f>
        <v/>
      </c>
      <c r="B49" s="30" t="str">
        <f ca="1">IF(ISBLANK(INDIRECT("'Sunday REQ'!B43")),"",INDIRECT("'Sunday REQ'!B43"))</f>
        <v/>
      </c>
      <c r="C49" s="31" t="str">
        <f ca="1">IF(ISBLANK(INDIRECT("'Sunday REQ'!C43")),"",INDIRECT("'Sunday REQ'!C43"))</f>
        <v/>
      </c>
      <c r="D49" s="31" t="str">
        <f ca="1">IF(ISBLANK(INDIRECT("'Sunday REQ'!D43")),"",INDIRECT("'Sunday REQ'!D43"))</f>
        <v/>
      </c>
      <c r="E49" s="160" t="str">
        <f ca="1">IF(ISBLANK(INDIRECT("'Sunday REQ'!E43")),"",INDIRECT("'Sunday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3"/>
        <v/>
      </c>
      <c r="N49" s="34" t="str">
        <f t="shared" si="14"/>
        <v/>
      </c>
      <c r="O49" s="34" t="str">
        <f t="shared" si="15"/>
        <v/>
      </c>
      <c r="P49" s="34" t="str">
        <f t="shared" si="16"/>
        <v/>
      </c>
      <c r="Q49" s="214"/>
      <c r="R49" s="215"/>
      <c r="S49" s="35" t="str">
        <f t="shared" si="17"/>
        <v/>
      </c>
      <c r="T49" s="35" t="str">
        <f t="shared" si="18"/>
        <v/>
      </c>
      <c r="U49" s="33" t="str">
        <f t="shared" si="19"/>
        <v/>
      </c>
      <c r="V49" s="35" t="str">
        <f t="shared" si="8"/>
        <v/>
      </c>
      <c r="W49" s="36" t="str">
        <f t="shared" si="9"/>
        <v/>
      </c>
      <c r="X49" s="36" t="str">
        <f>IFERROR(VLOOKUP(Info!$B$3&amp;"-"&amp;H49,'Agency Rates'!A:D,4,FALSE),"")</f>
        <v/>
      </c>
      <c r="Y49" s="48" t="str">
        <f t="shared" si="10"/>
        <v/>
      </c>
      <c r="Z49" s="22" t="b">
        <f t="shared" si="20"/>
        <v>1</v>
      </c>
      <c r="AA49" s="22" t="b">
        <f t="shared" si="21"/>
        <v>1</v>
      </c>
      <c r="AB49" s="22" t="b">
        <f t="shared" si="22"/>
        <v>1</v>
      </c>
      <c r="AC49" s="22" t="b">
        <f t="shared" si="23"/>
        <v>1</v>
      </c>
      <c r="AD49" s="51" t="b">
        <f t="shared" si="11"/>
        <v>1</v>
      </c>
      <c r="AE49" s="51" t="str">
        <f t="shared" si="12"/>
        <v>-44549</v>
      </c>
      <c r="AF49" s="267"/>
      <c r="AG49" s="267"/>
      <c r="AH49" s="267"/>
    </row>
    <row r="50" spans="1:34" x14ac:dyDescent="0.25">
      <c r="A50" s="30" t="str">
        <f ca="1">IF(ISBLANK(INDIRECT("'Sunday REQ'!A44")),"",INDIRECT("'Sunday REQ'!A44"))</f>
        <v/>
      </c>
      <c r="B50" s="30" t="str">
        <f ca="1">IF(ISBLANK(INDIRECT("'Sunday REQ'!B44")),"",INDIRECT("'Sunday REQ'!B44"))</f>
        <v/>
      </c>
      <c r="C50" s="31" t="str">
        <f ca="1">IF(ISBLANK(INDIRECT("'Sunday REQ'!C44")),"",INDIRECT("'Sunday REQ'!C44"))</f>
        <v/>
      </c>
      <c r="D50" s="31" t="str">
        <f ca="1">IF(ISBLANK(INDIRECT("'Sunday REQ'!D44")),"",INDIRECT("'Sunday REQ'!D44"))</f>
        <v/>
      </c>
      <c r="E50" s="160" t="str">
        <f ca="1">IF(ISBLANK(INDIRECT("'Sunday REQ'!E44")),"",INDIRECT("'Sunday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3"/>
        <v/>
      </c>
      <c r="N50" s="34" t="str">
        <f t="shared" si="14"/>
        <v/>
      </c>
      <c r="O50" s="34" t="str">
        <f t="shared" si="15"/>
        <v/>
      </c>
      <c r="P50" s="34" t="str">
        <f t="shared" si="16"/>
        <v/>
      </c>
      <c r="Q50" s="214"/>
      <c r="R50" s="215"/>
      <c r="S50" s="35" t="str">
        <f t="shared" si="17"/>
        <v/>
      </c>
      <c r="T50" s="35" t="str">
        <f t="shared" si="18"/>
        <v/>
      </c>
      <c r="U50" s="33" t="str">
        <f t="shared" si="19"/>
        <v/>
      </c>
      <c r="V50" s="35" t="str">
        <f t="shared" si="8"/>
        <v/>
      </c>
      <c r="W50" s="36" t="str">
        <f t="shared" si="9"/>
        <v/>
      </c>
      <c r="X50" s="36" t="str">
        <f>IFERROR(VLOOKUP(Info!$B$3&amp;"-"&amp;H50,'Agency Rates'!A:D,4,FALSE),"")</f>
        <v/>
      </c>
      <c r="Y50" s="48" t="str">
        <f t="shared" si="10"/>
        <v/>
      </c>
      <c r="Z50" s="22" t="b">
        <f t="shared" si="20"/>
        <v>1</v>
      </c>
      <c r="AA50" s="22" t="b">
        <f t="shared" si="21"/>
        <v>1</v>
      </c>
      <c r="AB50" s="22" t="b">
        <f t="shared" si="22"/>
        <v>1</v>
      </c>
      <c r="AC50" s="22" t="b">
        <f t="shared" si="23"/>
        <v>1</v>
      </c>
      <c r="AD50" s="51" t="b">
        <f t="shared" si="11"/>
        <v>1</v>
      </c>
      <c r="AE50" s="51" t="str">
        <f t="shared" si="12"/>
        <v>-44549</v>
      </c>
      <c r="AF50" s="267"/>
      <c r="AG50" s="267"/>
      <c r="AH50" s="267"/>
    </row>
    <row r="51" spans="1:34" x14ac:dyDescent="0.25">
      <c r="A51" s="30" t="str">
        <f ca="1">IF(ISBLANK(INDIRECT("'Sunday REQ'!A45")),"",INDIRECT("'Sunday REQ'!A45"))</f>
        <v/>
      </c>
      <c r="B51" s="30" t="str">
        <f ca="1">IF(ISBLANK(INDIRECT("'Sunday REQ'!B45")),"",INDIRECT("'Sunday REQ'!B45"))</f>
        <v/>
      </c>
      <c r="C51" s="31" t="str">
        <f ca="1">IF(ISBLANK(INDIRECT("'Sunday REQ'!C45")),"",INDIRECT("'Sunday REQ'!C45"))</f>
        <v/>
      </c>
      <c r="D51" s="31" t="str">
        <f ca="1">IF(ISBLANK(INDIRECT("'Sunday REQ'!D45")),"",INDIRECT("'Sunday REQ'!D45"))</f>
        <v/>
      </c>
      <c r="E51" s="160" t="str">
        <f ca="1">IF(ISBLANK(INDIRECT("'Sunday REQ'!E45")),"",INDIRECT("'Sunday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3"/>
        <v/>
      </c>
      <c r="N51" s="34" t="str">
        <f t="shared" si="14"/>
        <v/>
      </c>
      <c r="O51" s="34" t="str">
        <f t="shared" si="15"/>
        <v/>
      </c>
      <c r="P51" s="34" t="str">
        <f t="shared" si="16"/>
        <v/>
      </c>
      <c r="Q51" s="214"/>
      <c r="R51" s="215"/>
      <c r="S51" s="35" t="str">
        <f t="shared" si="17"/>
        <v/>
      </c>
      <c r="T51" s="35" t="str">
        <f t="shared" si="18"/>
        <v/>
      </c>
      <c r="U51" s="33" t="str">
        <f t="shared" si="19"/>
        <v/>
      </c>
      <c r="V51" s="35" t="str">
        <f t="shared" si="8"/>
        <v/>
      </c>
      <c r="W51" s="36" t="str">
        <f t="shared" si="9"/>
        <v/>
      </c>
      <c r="X51" s="36" t="str">
        <f>IFERROR(VLOOKUP(Info!$B$3&amp;"-"&amp;H51,'Agency Rates'!A:D,4,FALSE),"")</f>
        <v/>
      </c>
      <c r="Y51" s="48" t="str">
        <f t="shared" si="10"/>
        <v/>
      </c>
      <c r="Z51" s="22" t="b">
        <f t="shared" si="20"/>
        <v>1</v>
      </c>
      <c r="AA51" s="22" t="b">
        <f t="shared" si="21"/>
        <v>1</v>
      </c>
      <c r="AB51" s="22" t="b">
        <f t="shared" si="22"/>
        <v>1</v>
      </c>
      <c r="AC51" s="22" t="b">
        <f t="shared" si="23"/>
        <v>1</v>
      </c>
      <c r="AD51" s="51" t="b">
        <f t="shared" si="11"/>
        <v>1</v>
      </c>
      <c r="AE51" s="51" t="str">
        <f t="shared" si="12"/>
        <v>-44549</v>
      </c>
      <c r="AF51" s="267"/>
      <c r="AG51" s="267"/>
      <c r="AH51" s="267"/>
    </row>
    <row r="52" spans="1:34" x14ac:dyDescent="0.25">
      <c r="A52" s="30" t="str">
        <f ca="1">IF(ISBLANK(INDIRECT("'Sunday REQ'!A46")),"",INDIRECT("'Sunday REQ'!A46"))</f>
        <v/>
      </c>
      <c r="B52" s="30" t="str">
        <f ca="1">IF(ISBLANK(INDIRECT("'Sunday REQ'!B46")),"",INDIRECT("'Sunday REQ'!B46"))</f>
        <v/>
      </c>
      <c r="C52" s="31" t="str">
        <f ca="1">IF(ISBLANK(INDIRECT("'Sunday REQ'!C46")),"",INDIRECT("'Sunday REQ'!C46"))</f>
        <v/>
      </c>
      <c r="D52" s="31" t="str">
        <f ca="1">IF(ISBLANK(INDIRECT("'Sunday REQ'!D46")),"",INDIRECT("'Sunday REQ'!D46"))</f>
        <v/>
      </c>
      <c r="E52" s="160" t="str">
        <f ca="1">IF(ISBLANK(INDIRECT("'Sunday REQ'!E46")),"",INDIRECT("'Sunday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3"/>
        <v/>
      </c>
      <c r="N52" s="34" t="str">
        <f t="shared" si="14"/>
        <v/>
      </c>
      <c r="O52" s="34" t="str">
        <f t="shared" si="15"/>
        <v/>
      </c>
      <c r="P52" s="34" t="str">
        <f t="shared" si="16"/>
        <v/>
      </c>
      <c r="Q52" s="214"/>
      <c r="R52" s="215"/>
      <c r="S52" s="35" t="str">
        <f t="shared" si="17"/>
        <v/>
      </c>
      <c r="T52" s="35" t="str">
        <f t="shared" si="18"/>
        <v/>
      </c>
      <c r="U52" s="33" t="str">
        <f t="shared" si="19"/>
        <v/>
      </c>
      <c r="V52" s="35" t="str">
        <f t="shared" si="8"/>
        <v/>
      </c>
      <c r="W52" s="36" t="str">
        <f t="shared" si="9"/>
        <v/>
      </c>
      <c r="X52" s="36" t="str">
        <f>IFERROR(VLOOKUP(Info!$B$3&amp;"-"&amp;H52,'Agency Rates'!A:D,4,FALSE),"")</f>
        <v/>
      </c>
      <c r="Y52" s="48" t="str">
        <f t="shared" si="10"/>
        <v/>
      </c>
      <c r="Z52" s="22" t="b">
        <f t="shared" si="20"/>
        <v>1</v>
      </c>
      <c r="AA52" s="22" t="b">
        <f t="shared" si="21"/>
        <v>1</v>
      </c>
      <c r="AB52" s="22" t="b">
        <f t="shared" si="22"/>
        <v>1</v>
      </c>
      <c r="AC52" s="22" t="b">
        <f t="shared" si="23"/>
        <v>1</v>
      </c>
      <c r="AD52" s="51" t="b">
        <f t="shared" si="11"/>
        <v>1</v>
      </c>
      <c r="AE52" s="51" t="str">
        <f t="shared" si="12"/>
        <v>-44549</v>
      </c>
      <c r="AF52" s="267"/>
      <c r="AG52" s="267"/>
      <c r="AH52" s="267"/>
    </row>
    <row r="53" spans="1:34" x14ac:dyDescent="0.25">
      <c r="A53" s="30" t="str">
        <f ca="1">IF(ISBLANK(INDIRECT("'Sunday REQ'!A47")),"",INDIRECT("'Sunday REQ'!A47"))</f>
        <v/>
      </c>
      <c r="B53" s="30" t="str">
        <f ca="1">IF(ISBLANK(INDIRECT("'Sunday REQ'!B47")),"",INDIRECT("'Sunday REQ'!B47"))</f>
        <v/>
      </c>
      <c r="C53" s="31" t="str">
        <f ca="1">IF(ISBLANK(INDIRECT("'Sunday REQ'!C47")),"",INDIRECT("'Sunday REQ'!C47"))</f>
        <v/>
      </c>
      <c r="D53" s="31" t="str">
        <f ca="1">IF(ISBLANK(INDIRECT("'Sunday REQ'!D47")),"",INDIRECT("'Sunday REQ'!D47"))</f>
        <v/>
      </c>
      <c r="E53" s="160" t="str">
        <f ca="1">IF(ISBLANK(INDIRECT("'Sunday REQ'!E47")),"",INDIRECT("'Sunday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3"/>
        <v/>
      </c>
      <c r="N53" s="34" t="str">
        <f t="shared" si="14"/>
        <v/>
      </c>
      <c r="O53" s="34" t="str">
        <f t="shared" si="15"/>
        <v/>
      </c>
      <c r="P53" s="34" t="str">
        <f t="shared" si="16"/>
        <v/>
      </c>
      <c r="Q53" s="214"/>
      <c r="R53" s="215"/>
      <c r="S53" s="35" t="str">
        <f t="shared" si="17"/>
        <v/>
      </c>
      <c r="T53" s="35" t="str">
        <f t="shared" si="18"/>
        <v/>
      </c>
      <c r="U53" s="33" t="str">
        <f t="shared" si="19"/>
        <v/>
      </c>
      <c r="V53" s="35" t="str">
        <f t="shared" si="8"/>
        <v/>
      </c>
      <c r="W53" s="36" t="str">
        <f t="shared" si="9"/>
        <v/>
      </c>
      <c r="X53" s="36" t="str">
        <f>IFERROR(VLOOKUP(Info!$B$3&amp;"-"&amp;H53,'Agency Rates'!A:D,4,FALSE),"")</f>
        <v/>
      </c>
      <c r="Y53" s="48" t="str">
        <f t="shared" si="10"/>
        <v/>
      </c>
      <c r="Z53" s="22" t="b">
        <f t="shared" si="20"/>
        <v>1</v>
      </c>
      <c r="AA53" s="22" t="b">
        <f t="shared" si="21"/>
        <v>1</v>
      </c>
      <c r="AB53" s="22" t="b">
        <f t="shared" si="22"/>
        <v>1</v>
      </c>
      <c r="AC53" s="22" t="b">
        <f t="shared" si="23"/>
        <v>1</v>
      </c>
      <c r="AD53" s="51" t="b">
        <f t="shared" si="11"/>
        <v>1</v>
      </c>
      <c r="AE53" s="51" t="str">
        <f t="shared" si="12"/>
        <v>-44549</v>
      </c>
      <c r="AF53" s="267"/>
      <c r="AG53" s="267"/>
      <c r="AH53" s="267"/>
    </row>
    <row r="54" spans="1:34" x14ac:dyDescent="0.25">
      <c r="A54" s="30" t="str">
        <f ca="1">IF(ISBLANK(INDIRECT("'Sunday REQ'!A48")),"",INDIRECT("'Sunday REQ'!A48"))</f>
        <v/>
      </c>
      <c r="B54" s="30" t="str">
        <f ca="1">IF(ISBLANK(INDIRECT("'Sunday REQ'!B48")),"",INDIRECT("'Sunday REQ'!B48"))</f>
        <v/>
      </c>
      <c r="C54" s="31" t="str">
        <f ca="1">IF(ISBLANK(INDIRECT("'Sunday REQ'!C48")),"",INDIRECT("'Sunday REQ'!C48"))</f>
        <v/>
      </c>
      <c r="D54" s="31" t="str">
        <f ca="1">IF(ISBLANK(INDIRECT("'Sunday REQ'!D48")),"",INDIRECT("'Sunday REQ'!D48"))</f>
        <v/>
      </c>
      <c r="E54" s="160" t="str">
        <f ca="1">IF(ISBLANK(INDIRECT("'Sunday REQ'!E48")),"",INDIRECT("'Sunday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3"/>
        <v/>
      </c>
      <c r="N54" s="34" t="str">
        <f t="shared" si="14"/>
        <v/>
      </c>
      <c r="O54" s="34" t="str">
        <f t="shared" si="15"/>
        <v/>
      </c>
      <c r="P54" s="34" t="str">
        <f t="shared" si="16"/>
        <v/>
      </c>
      <c r="Q54" s="214"/>
      <c r="R54" s="215"/>
      <c r="S54" s="35" t="str">
        <f t="shared" si="17"/>
        <v/>
      </c>
      <c r="T54" s="35" t="str">
        <f t="shared" si="18"/>
        <v/>
      </c>
      <c r="U54" s="33" t="str">
        <f t="shared" si="19"/>
        <v/>
      </c>
      <c r="V54" s="35" t="str">
        <f t="shared" si="8"/>
        <v/>
      </c>
      <c r="W54" s="36" t="str">
        <f t="shared" si="9"/>
        <v/>
      </c>
      <c r="X54" s="36" t="str">
        <f>IFERROR(VLOOKUP(Info!$B$3&amp;"-"&amp;H54,'Agency Rates'!A:D,4,FALSE),"")</f>
        <v/>
      </c>
      <c r="Y54" s="48" t="str">
        <f t="shared" si="10"/>
        <v/>
      </c>
      <c r="Z54" s="22" t="b">
        <f t="shared" si="20"/>
        <v>1</v>
      </c>
      <c r="AA54" s="22" t="b">
        <f t="shared" si="21"/>
        <v>1</v>
      </c>
      <c r="AB54" s="22" t="b">
        <f t="shared" si="22"/>
        <v>1</v>
      </c>
      <c r="AC54" s="22" t="b">
        <f t="shared" si="23"/>
        <v>1</v>
      </c>
      <c r="AD54" s="51" t="b">
        <f t="shared" si="11"/>
        <v>1</v>
      </c>
      <c r="AE54" s="51" t="str">
        <f t="shared" si="12"/>
        <v>-44549</v>
      </c>
      <c r="AF54" s="267"/>
      <c r="AG54" s="267"/>
      <c r="AH54" s="267"/>
    </row>
    <row r="55" spans="1:34" x14ac:dyDescent="0.25">
      <c r="A55" s="30" t="str">
        <f ca="1">IF(ISBLANK(INDIRECT("'Sunday REQ'!A49")),"",INDIRECT("'Sunday REQ'!A49"))</f>
        <v/>
      </c>
      <c r="B55" s="30" t="str">
        <f ca="1">IF(ISBLANK(INDIRECT("'Sunday REQ'!B49")),"",INDIRECT("'Sunday REQ'!B49"))</f>
        <v/>
      </c>
      <c r="C55" s="31" t="str">
        <f ca="1">IF(ISBLANK(INDIRECT("'Sunday REQ'!C49")),"",INDIRECT("'Sunday REQ'!C49"))</f>
        <v/>
      </c>
      <c r="D55" s="31" t="str">
        <f ca="1">IF(ISBLANK(INDIRECT("'Sunday REQ'!D49")),"",INDIRECT("'Sunday REQ'!D49"))</f>
        <v/>
      </c>
      <c r="E55" s="160" t="str">
        <f ca="1">IF(ISBLANK(INDIRECT("'Sunday REQ'!E49")),"",INDIRECT("'Sunday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3"/>
        <v/>
      </c>
      <c r="N55" s="34" t="str">
        <f t="shared" si="14"/>
        <v/>
      </c>
      <c r="O55" s="34" t="str">
        <f t="shared" si="15"/>
        <v/>
      </c>
      <c r="P55" s="34" t="str">
        <f t="shared" si="16"/>
        <v/>
      </c>
      <c r="Q55" s="214"/>
      <c r="R55" s="215"/>
      <c r="S55" s="35" t="str">
        <f t="shared" si="17"/>
        <v/>
      </c>
      <c r="T55" s="35" t="str">
        <f t="shared" si="18"/>
        <v/>
      </c>
      <c r="U55" s="33" t="str">
        <f t="shared" si="19"/>
        <v/>
      </c>
      <c r="V55" s="35" t="str">
        <f t="shared" si="8"/>
        <v/>
      </c>
      <c r="W55" s="36" t="str">
        <f t="shared" si="9"/>
        <v/>
      </c>
      <c r="X55" s="36" t="str">
        <f>IFERROR(VLOOKUP(Info!$B$3&amp;"-"&amp;H55,'Agency Rates'!A:D,4,FALSE),"")</f>
        <v/>
      </c>
      <c r="Y55" s="48" t="str">
        <f t="shared" si="10"/>
        <v/>
      </c>
      <c r="Z55" s="22" t="b">
        <f t="shared" si="20"/>
        <v>1</v>
      </c>
      <c r="AA55" s="22" t="b">
        <f t="shared" si="21"/>
        <v>1</v>
      </c>
      <c r="AB55" s="22" t="b">
        <f t="shared" si="22"/>
        <v>1</v>
      </c>
      <c r="AC55" s="22" t="b">
        <f t="shared" si="23"/>
        <v>1</v>
      </c>
      <c r="AD55" s="51" t="b">
        <f t="shared" si="11"/>
        <v>1</v>
      </c>
      <c r="AE55" s="51" t="str">
        <f t="shared" si="12"/>
        <v>-44549</v>
      </c>
      <c r="AF55" s="267"/>
      <c r="AG55" s="267"/>
      <c r="AH55" s="267"/>
    </row>
    <row r="56" spans="1:34" x14ac:dyDescent="0.25">
      <c r="A56" s="30" t="str">
        <f ca="1">IF(ISBLANK(INDIRECT("'Sunday REQ'!A50")),"",INDIRECT("'Sunday REQ'!A50"))</f>
        <v/>
      </c>
      <c r="B56" s="30" t="str">
        <f ca="1">IF(ISBLANK(INDIRECT("'Sunday REQ'!B50")),"",INDIRECT("'Sunday REQ'!B50"))</f>
        <v/>
      </c>
      <c r="C56" s="31" t="str">
        <f ca="1">IF(ISBLANK(INDIRECT("'Sunday REQ'!C50")),"",INDIRECT("'Sunday REQ'!C50"))</f>
        <v/>
      </c>
      <c r="D56" s="31" t="str">
        <f ca="1">IF(ISBLANK(INDIRECT("'Sunday REQ'!D50")),"",INDIRECT("'Sunday REQ'!D50"))</f>
        <v/>
      </c>
      <c r="E56" s="160" t="str">
        <f ca="1">IF(ISBLANK(INDIRECT("'Sunday REQ'!E50")),"",INDIRECT("'Sunday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3"/>
        <v/>
      </c>
      <c r="N56" s="34" t="str">
        <f t="shared" si="14"/>
        <v/>
      </c>
      <c r="O56" s="34" t="str">
        <f t="shared" si="15"/>
        <v/>
      </c>
      <c r="P56" s="34" t="str">
        <f t="shared" si="16"/>
        <v/>
      </c>
      <c r="Q56" s="214"/>
      <c r="R56" s="215"/>
      <c r="S56" s="35" t="str">
        <f t="shared" si="17"/>
        <v/>
      </c>
      <c r="T56" s="35" t="str">
        <f t="shared" si="18"/>
        <v/>
      </c>
      <c r="U56" s="33" t="str">
        <f t="shared" si="19"/>
        <v/>
      </c>
      <c r="V56" s="35" t="str">
        <f t="shared" si="8"/>
        <v/>
      </c>
      <c r="W56" s="36" t="str">
        <f t="shared" si="9"/>
        <v/>
      </c>
      <c r="X56" s="36" t="str">
        <f>IFERROR(VLOOKUP(Info!$B$3&amp;"-"&amp;H56,'Agency Rates'!A:D,4,FALSE),"")</f>
        <v/>
      </c>
      <c r="Y56" s="48" t="str">
        <f t="shared" si="10"/>
        <v/>
      </c>
      <c r="Z56" s="22" t="b">
        <f t="shared" si="20"/>
        <v>1</v>
      </c>
      <c r="AA56" s="22" t="b">
        <f t="shared" si="21"/>
        <v>1</v>
      </c>
      <c r="AB56" s="22" t="b">
        <f t="shared" si="22"/>
        <v>1</v>
      </c>
      <c r="AC56" s="22" t="b">
        <f t="shared" si="23"/>
        <v>1</v>
      </c>
      <c r="AD56" s="51" t="b">
        <f t="shared" si="11"/>
        <v>1</v>
      </c>
      <c r="AE56" s="51" t="str">
        <f t="shared" si="12"/>
        <v>-44549</v>
      </c>
      <c r="AF56" s="267"/>
      <c r="AG56" s="267"/>
      <c r="AH56" s="267"/>
    </row>
    <row r="57" spans="1:34" x14ac:dyDescent="0.25">
      <c r="A57" s="30" t="str">
        <f ca="1">IF(ISBLANK(INDIRECT("'Sunday REQ'!A51")),"",INDIRECT("'Sunday REQ'!A51"))</f>
        <v/>
      </c>
      <c r="B57" s="30" t="str">
        <f ca="1">IF(ISBLANK(INDIRECT("'Sunday REQ'!B51")),"",INDIRECT("'Sunday REQ'!B51"))</f>
        <v/>
      </c>
      <c r="C57" s="31" t="str">
        <f ca="1">IF(ISBLANK(INDIRECT("'Sunday REQ'!C51")),"",INDIRECT("'Sunday REQ'!C51"))</f>
        <v/>
      </c>
      <c r="D57" s="31" t="str">
        <f ca="1">IF(ISBLANK(INDIRECT("'Sunday REQ'!D51")),"",INDIRECT("'Sunday REQ'!D51"))</f>
        <v/>
      </c>
      <c r="E57" s="160" t="str">
        <f ca="1">IF(ISBLANK(INDIRECT("'Sunday REQ'!E51")),"",INDIRECT("'Sunday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3"/>
        <v/>
      </c>
      <c r="N57" s="34" t="str">
        <f t="shared" si="14"/>
        <v/>
      </c>
      <c r="O57" s="34" t="str">
        <f t="shared" si="15"/>
        <v/>
      </c>
      <c r="P57" s="34" t="str">
        <f t="shared" si="16"/>
        <v/>
      </c>
      <c r="Q57" s="214"/>
      <c r="R57" s="215"/>
      <c r="S57" s="35" t="str">
        <f t="shared" si="17"/>
        <v/>
      </c>
      <c r="T57" s="35" t="str">
        <f t="shared" si="18"/>
        <v/>
      </c>
      <c r="U57" s="33" t="str">
        <f t="shared" si="19"/>
        <v/>
      </c>
      <c r="V57" s="35" t="str">
        <f t="shared" si="8"/>
        <v/>
      </c>
      <c r="W57" s="36" t="str">
        <f t="shared" si="9"/>
        <v/>
      </c>
      <c r="X57" s="36" t="str">
        <f>IFERROR(VLOOKUP(Info!$B$3&amp;"-"&amp;H57,'Agency Rates'!A:D,4,FALSE),"")</f>
        <v/>
      </c>
      <c r="Y57" s="48" t="str">
        <f t="shared" si="10"/>
        <v/>
      </c>
      <c r="Z57" s="22" t="b">
        <f t="shared" si="20"/>
        <v>1</v>
      </c>
      <c r="AA57" s="22" t="b">
        <f t="shared" si="21"/>
        <v>1</v>
      </c>
      <c r="AB57" s="22" t="b">
        <f t="shared" si="22"/>
        <v>1</v>
      </c>
      <c r="AC57" s="22" t="b">
        <f t="shared" si="23"/>
        <v>1</v>
      </c>
      <c r="AD57" s="51" t="b">
        <f t="shared" si="11"/>
        <v>1</v>
      </c>
      <c r="AE57" s="51" t="str">
        <f t="shared" si="12"/>
        <v>-44549</v>
      </c>
      <c r="AF57" s="267"/>
      <c r="AG57" s="267"/>
      <c r="AH57" s="267"/>
    </row>
    <row r="58" spans="1:34" x14ac:dyDescent="0.25">
      <c r="A58" s="30" t="str">
        <f ca="1">IF(ISBLANK(INDIRECT("'Sunday REQ'!A52")),"",INDIRECT("'Sunday REQ'!A52"))</f>
        <v/>
      </c>
      <c r="B58" s="30" t="str">
        <f ca="1">IF(ISBLANK(INDIRECT("'Sunday REQ'!B52")),"",INDIRECT("'Sunday REQ'!B52"))</f>
        <v/>
      </c>
      <c r="C58" s="31" t="str">
        <f ca="1">IF(ISBLANK(INDIRECT("'Sunday REQ'!C52")),"",INDIRECT("'Sunday REQ'!C52"))</f>
        <v/>
      </c>
      <c r="D58" s="31" t="str">
        <f ca="1">IF(ISBLANK(INDIRECT("'Sunday REQ'!D52")),"",INDIRECT("'Sunday REQ'!D52"))</f>
        <v/>
      </c>
      <c r="E58" s="160" t="str">
        <f ca="1">IF(ISBLANK(INDIRECT("'Sunday REQ'!E52")),"",INDIRECT("'Sunday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3"/>
        <v/>
      </c>
      <c r="N58" s="34" t="str">
        <f t="shared" si="14"/>
        <v/>
      </c>
      <c r="O58" s="34" t="str">
        <f t="shared" si="15"/>
        <v/>
      </c>
      <c r="P58" s="34" t="str">
        <f t="shared" si="16"/>
        <v/>
      </c>
      <c r="Q58" s="214"/>
      <c r="R58" s="215"/>
      <c r="S58" s="35" t="str">
        <f t="shared" si="17"/>
        <v/>
      </c>
      <c r="T58" s="35" t="str">
        <f t="shared" si="18"/>
        <v/>
      </c>
      <c r="U58" s="33" t="str">
        <f t="shared" si="19"/>
        <v/>
      </c>
      <c r="V58" s="35" t="str">
        <f t="shared" si="8"/>
        <v/>
      </c>
      <c r="W58" s="36" t="str">
        <f t="shared" si="9"/>
        <v/>
      </c>
      <c r="X58" s="36" t="str">
        <f>IFERROR(VLOOKUP(Info!$B$3&amp;"-"&amp;H58,'Agency Rates'!A:D,4,FALSE),"")</f>
        <v/>
      </c>
      <c r="Y58" s="48" t="str">
        <f t="shared" si="10"/>
        <v/>
      </c>
      <c r="Z58" s="22" t="b">
        <f t="shared" si="20"/>
        <v>1</v>
      </c>
      <c r="AA58" s="22" t="b">
        <f t="shared" si="21"/>
        <v>1</v>
      </c>
      <c r="AB58" s="22" t="b">
        <f t="shared" si="22"/>
        <v>1</v>
      </c>
      <c r="AC58" s="22" t="b">
        <f t="shared" si="23"/>
        <v>1</v>
      </c>
      <c r="AD58" s="51" t="b">
        <f t="shared" si="11"/>
        <v>1</v>
      </c>
      <c r="AE58" s="51" t="str">
        <f t="shared" si="12"/>
        <v>-44549</v>
      </c>
      <c r="AF58" s="267"/>
      <c r="AG58" s="267"/>
      <c r="AH58" s="267"/>
    </row>
    <row r="59" spans="1:34" x14ac:dyDescent="0.25">
      <c r="A59" s="30" t="str">
        <f ca="1">IF(ISBLANK(INDIRECT("'Sunday REQ'!A53")),"",INDIRECT("'Sunday REQ'!A53"))</f>
        <v/>
      </c>
      <c r="B59" s="30" t="str">
        <f ca="1">IF(ISBLANK(INDIRECT("'Sunday REQ'!B53")),"",INDIRECT("'Sunday REQ'!B53"))</f>
        <v/>
      </c>
      <c r="C59" s="31" t="str">
        <f ca="1">IF(ISBLANK(INDIRECT("'Sunday REQ'!C53")),"",INDIRECT("'Sunday REQ'!C53"))</f>
        <v/>
      </c>
      <c r="D59" s="31" t="str">
        <f ca="1">IF(ISBLANK(INDIRECT("'Sunday REQ'!D53")),"",INDIRECT("'Sunday REQ'!D53"))</f>
        <v/>
      </c>
      <c r="E59" s="160" t="str">
        <f ca="1">IF(ISBLANK(INDIRECT("'Sunday REQ'!E53")),"",INDIRECT("'Sunday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3"/>
        <v/>
      </c>
      <c r="N59" s="34" t="str">
        <f t="shared" si="14"/>
        <v/>
      </c>
      <c r="O59" s="34" t="str">
        <f t="shared" si="15"/>
        <v/>
      </c>
      <c r="P59" s="34" t="str">
        <f t="shared" si="16"/>
        <v/>
      </c>
      <c r="Q59" s="214"/>
      <c r="R59" s="215"/>
      <c r="S59" s="35" t="str">
        <f t="shared" si="17"/>
        <v/>
      </c>
      <c r="T59" s="35" t="str">
        <f t="shared" si="18"/>
        <v/>
      </c>
      <c r="U59" s="33" t="str">
        <f t="shared" si="19"/>
        <v/>
      </c>
      <c r="V59" s="35" t="str">
        <f t="shared" si="8"/>
        <v/>
      </c>
      <c r="W59" s="36" t="str">
        <f t="shared" si="9"/>
        <v/>
      </c>
      <c r="X59" s="36" t="str">
        <f>IFERROR(VLOOKUP(Info!$B$3&amp;"-"&amp;H59,'Agency Rates'!A:D,4,FALSE),"")</f>
        <v/>
      </c>
      <c r="Y59" s="48" t="str">
        <f t="shared" si="10"/>
        <v/>
      </c>
      <c r="Z59" s="22" t="b">
        <f t="shared" si="20"/>
        <v>1</v>
      </c>
      <c r="AA59" s="22" t="b">
        <f t="shared" si="21"/>
        <v>1</v>
      </c>
      <c r="AB59" s="22" t="b">
        <f t="shared" si="22"/>
        <v>1</v>
      </c>
      <c r="AC59" s="22" t="b">
        <f t="shared" si="23"/>
        <v>1</v>
      </c>
      <c r="AD59" s="51" t="b">
        <f t="shared" si="11"/>
        <v>1</v>
      </c>
      <c r="AE59" s="51" t="str">
        <f t="shared" si="12"/>
        <v>-44549</v>
      </c>
      <c r="AF59" s="267"/>
      <c r="AG59" s="267"/>
      <c r="AH59" s="267"/>
    </row>
    <row r="60" spans="1:34" x14ac:dyDescent="0.25">
      <c r="A60" s="30" t="str">
        <f ca="1">IF(ISBLANK(INDIRECT("'Sunday REQ'!A54")),"",INDIRECT("'Sunday REQ'!A54"))</f>
        <v/>
      </c>
      <c r="B60" s="30" t="str">
        <f ca="1">IF(ISBLANK(INDIRECT("'Sunday REQ'!B54")),"",INDIRECT("'Sunday REQ'!B54"))</f>
        <v/>
      </c>
      <c r="C60" s="31" t="str">
        <f ca="1">IF(ISBLANK(INDIRECT("'Sunday REQ'!C54")),"",INDIRECT("'Sunday REQ'!C54"))</f>
        <v/>
      </c>
      <c r="D60" s="31" t="str">
        <f ca="1">IF(ISBLANK(INDIRECT("'Sunday REQ'!D54")),"",INDIRECT("'Sunday REQ'!D54"))</f>
        <v/>
      </c>
      <c r="E60" s="160" t="str">
        <f ca="1">IF(ISBLANK(INDIRECT("'Sunday REQ'!E54")),"",INDIRECT("'Sunday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3"/>
        <v/>
      </c>
      <c r="N60" s="34" t="str">
        <f t="shared" si="14"/>
        <v/>
      </c>
      <c r="O60" s="34" t="str">
        <f t="shared" si="15"/>
        <v/>
      </c>
      <c r="P60" s="34" t="str">
        <f t="shared" si="16"/>
        <v/>
      </c>
      <c r="Q60" s="214"/>
      <c r="R60" s="215"/>
      <c r="S60" s="35" t="str">
        <f t="shared" si="17"/>
        <v/>
      </c>
      <c r="T60" s="35" t="str">
        <f t="shared" si="18"/>
        <v/>
      </c>
      <c r="U60" s="33" t="str">
        <f t="shared" si="19"/>
        <v/>
      </c>
      <c r="V60" s="35" t="str">
        <f t="shared" si="8"/>
        <v/>
      </c>
      <c r="W60" s="36" t="str">
        <f t="shared" si="9"/>
        <v/>
      </c>
      <c r="X60" s="36" t="str">
        <f>IFERROR(VLOOKUP(Info!$B$3&amp;"-"&amp;H60,'Agency Rates'!A:D,4,FALSE),"")</f>
        <v/>
      </c>
      <c r="Y60" s="48" t="str">
        <f t="shared" si="10"/>
        <v/>
      </c>
      <c r="Z60" s="22" t="b">
        <f t="shared" si="20"/>
        <v>1</v>
      </c>
      <c r="AA60" s="22" t="b">
        <f t="shared" si="21"/>
        <v>1</v>
      </c>
      <c r="AB60" s="22" t="b">
        <f t="shared" si="22"/>
        <v>1</v>
      </c>
      <c r="AC60" s="22" t="b">
        <f t="shared" si="23"/>
        <v>1</v>
      </c>
      <c r="AD60" s="51" t="b">
        <f t="shared" si="11"/>
        <v>1</v>
      </c>
      <c r="AE60" s="51" t="str">
        <f t="shared" si="12"/>
        <v>-44549</v>
      </c>
      <c r="AF60" s="267"/>
      <c r="AG60" s="267"/>
      <c r="AH60" s="267"/>
    </row>
  </sheetData>
  <sheetProtection algorithmName="SHA-512" hashValue="6GZHy/Uz78CZf84vdyE83qhacMVHxOzmkl8lKvNLbu3NCrl2kC3gFLEby6aKiyOtEh7HXGfDYjHgo+pDm/XZ0Q==" saltValue="GlVSpx1Qsj7/J3BX0EbZ9Q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I4:L4"/>
    <mergeCell ref="I7:L7"/>
    <mergeCell ref="A1:W3"/>
    <mergeCell ref="M8:P8"/>
    <mergeCell ref="F7:H7"/>
    <mergeCell ref="A7:E7"/>
    <mergeCell ref="S7:Y7"/>
  </mergeCells>
  <conditionalFormatting sqref="I9:L59">
    <cfRule type="expression" dxfId="28" priority="6">
      <formula>IF(Z9=FALSE,1,0)</formula>
    </cfRule>
  </conditionalFormatting>
  <conditionalFormatting sqref="A1:W3">
    <cfRule type="cellIs" dxfId="27" priority="4" operator="equal">
      <formula>"SAFE TO SEND, SHEETS PROTECTED"</formula>
    </cfRule>
  </conditionalFormatting>
  <conditionalFormatting sqref="G9:G14 G16:G60">
    <cfRule type="duplicateValues" dxfId="26" priority="3"/>
  </conditionalFormatting>
  <conditionalFormatting sqref="G15">
    <cfRule type="duplicateValues" dxfId="25" priority="1"/>
  </conditionalFormatting>
  <dataValidations count="1">
    <dataValidation type="list" allowBlank="1" showInputMessage="1" showErrorMessage="1" sqref="R9:R60">
      <formula1>"Yes"</formula1>
    </dataValidation>
  </dataValidations>
  <pageMargins left="0.7" right="0.7" top="0.75" bottom="0.75" header="0.3" footer="0.3"/>
  <pageSetup paperSize="9" orientation="portrait" verticalDpi="0" r:id="rId1"/>
  <headerFooter>
    <oddHeader>&amp;C&amp;A&amp;RPage &amp;P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'Agency Rates'!$I$1:$I$10</xm:f>
          </x14:formula1>
          <xm:sqref>H12:H15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allowBlank="1" showInputMessage="1" showErrorMessage="1">
          <x14:formula1>
            <xm:f>'Agency Rates'!$I$1:$I$4</xm:f>
          </x14:formula1>
          <xm:sqref>H9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onday">
    <tabColor theme="7" tint="0.79998168889431442"/>
  </sheetPr>
  <dimension ref="A1:AH60"/>
  <sheetViews>
    <sheetView zoomScale="80" zoomScaleNormal="80" workbookViewId="0">
      <pane ySplit="8" topLeftCell="A39" activePane="bottomLeft" state="frozen"/>
      <selection pane="bottomLeft" activeCell="Q45" sqref="Q45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Info!B5-5</f>
        <v>44550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2" customHeight="1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8" t="s">
        <v>44</v>
      </c>
      <c r="N8" s="268"/>
      <c r="O8" s="268"/>
      <c r="P8" s="268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208" t="str">
        <f ca="1">IF(ISBLANK(INDIRECT("'Monday REQ'!A3")),"",INDIRECT("'Monday REQ'!A3"))</f>
        <v/>
      </c>
      <c r="B9" s="30" t="str">
        <f ca="1">IF(ISBLANK(INDIRECT("'Monday REQ'!B3")),"",INDIRECT("'Monday REQ'!B3"))</f>
        <v/>
      </c>
      <c r="C9" s="31" t="str">
        <f ca="1">IF(ISBLANK(INDIRECT("'Monday REQ'!C3")),"",INDIRECT("'Monday REQ'!C3"))</f>
        <v/>
      </c>
      <c r="D9" s="31" t="str">
        <f ca="1">IF(ISBLANK(INDIRECT("'Monday REQ'!D3")),"",INDIRECT("'Monday REQ'!D3"))</f>
        <v/>
      </c>
      <c r="E9" s="160" t="str">
        <f ca="1">IF(ISBLANK(INDIRECT("'Monday REQ'!E3")),"",INDIRECT("'Monday REQ'!E3"))</f>
        <v/>
      </c>
      <c r="F9" s="213"/>
      <c r="G9" s="210"/>
      <c r="H9" s="210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-44550</v>
      </c>
      <c r="AF9" s="267"/>
      <c r="AG9" s="267"/>
      <c r="AH9" s="267"/>
    </row>
    <row r="10" spans="1:34" x14ac:dyDescent="0.25">
      <c r="A10" s="208" t="str">
        <f ca="1">IF(ISBLANK(INDIRECT("'Monday REQ'!A4")),"",INDIRECT("'Monday REQ'!A4"))</f>
        <v/>
      </c>
      <c r="B10" s="194" t="str">
        <f ca="1">IF(ISBLANK(INDIRECT("'Monday REQ'!B4")),"",INDIRECT("'Monday REQ'!B4"))</f>
        <v/>
      </c>
      <c r="C10" s="31" t="str">
        <f ca="1">IF(ISBLANK(INDIRECT("'Monday REQ'!C4")),"",INDIRECT("'Monday REQ'!C4"))</f>
        <v/>
      </c>
      <c r="D10" s="31" t="str">
        <f ca="1">IF(ISBLANK(INDIRECT("'Monday REQ'!D4")),"",INDIRECT("'Monday REQ'!D4"))</f>
        <v/>
      </c>
      <c r="E10" s="212" t="str">
        <f ca="1">IF(ISBLANK(INDIRECT("'Monday REQ'!E4")),"",INDIRECT("'Monday REQ'!E4"))</f>
        <v/>
      </c>
      <c r="F10" s="197"/>
      <c r="G10" s="195"/>
      <c r="H10" s="195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-44550</v>
      </c>
      <c r="AF10" s="267"/>
      <c r="AG10" s="267"/>
      <c r="AH10" s="267"/>
    </row>
    <row r="11" spans="1:34" x14ac:dyDescent="0.25">
      <c r="A11" s="208" t="str">
        <f ca="1">IF(ISBLANK(INDIRECT("'Monday REQ'!A5")),"",INDIRECT("'Monday REQ'!A5"))</f>
        <v/>
      </c>
      <c r="B11" s="194" t="str">
        <f ca="1">IF(ISBLANK(INDIRECT("'Monday REQ'!B5")),"",INDIRECT("'Monday REQ'!B5"))</f>
        <v/>
      </c>
      <c r="C11" s="31" t="str">
        <f ca="1">IF(ISBLANK(INDIRECT("'Monday REQ'!C5")),"",INDIRECT("'Monday REQ'!C5"))</f>
        <v/>
      </c>
      <c r="D11" s="31" t="str">
        <f ca="1">IF(ISBLANK(INDIRECT("'Monday REQ'!D5")),"",INDIRECT("'Monday REQ'!D5"))</f>
        <v/>
      </c>
      <c r="E11" s="212" t="str">
        <f ca="1">IF(ISBLANK(INDIRECT("'Monday REQ'!E5")),"",INDIRECT("'Monday REQ'!E5"))</f>
        <v/>
      </c>
      <c r="F11" s="197"/>
      <c r="G11" s="195"/>
      <c r="H11" s="195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-44550</v>
      </c>
      <c r="AF11" s="267"/>
      <c r="AG11" s="267"/>
      <c r="AH11" s="267"/>
    </row>
    <row r="12" spans="1:34" x14ac:dyDescent="0.25">
      <c r="A12" s="208" t="str">
        <f ca="1">IF(ISBLANK(INDIRECT("'Monday REQ'!A6")),"",INDIRECT("'Monday REQ'!A6"))</f>
        <v/>
      </c>
      <c r="B12" s="194" t="str">
        <f ca="1">IF(ISBLANK(INDIRECT("'Monday REQ'!B6")),"",INDIRECT("'Monday REQ'!B6"))</f>
        <v/>
      </c>
      <c r="C12" s="31" t="str">
        <f ca="1">IF(ISBLANK(INDIRECT("'Monday REQ'!C6")),"",INDIRECT("'Monday REQ'!C6"))</f>
        <v/>
      </c>
      <c r="D12" s="31" t="str">
        <f ca="1">IF(ISBLANK(INDIRECT("'Monday REQ'!D6")),"",INDIRECT("'Monday REQ'!D6"))</f>
        <v/>
      </c>
      <c r="E12" s="212" t="str">
        <f ca="1">IF(ISBLANK(INDIRECT("'Monday REQ'!E6")),"",INDIRECT("'Monday REQ'!E6"))</f>
        <v/>
      </c>
      <c r="F12" s="197"/>
      <c r="G12" s="195"/>
      <c r="H12" s="195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-44550</v>
      </c>
      <c r="AF12" s="267"/>
      <c r="AG12" s="267"/>
      <c r="AH12" s="267"/>
    </row>
    <row r="13" spans="1:34" x14ac:dyDescent="0.25">
      <c r="A13" s="208" t="str">
        <f ca="1">IF(ISBLANK(INDIRECT("'Monday REQ'!A7")),"",INDIRECT("'Monday REQ'!A7"))</f>
        <v/>
      </c>
      <c r="B13" s="194" t="str">
        <f ca="1">IF(ISBLANK(INDIRECT("'Monday REQ'!B7")),"",INDIRECT("'Monday REQ'!B7"))</f>
        <v/>
      </c>
      <c r="C13" s="31" t="str">
        <f ca="1">IF(ISBLANK(INDIRECT("'Monday REQ'!C7")),"",INDIRECT("'Monday REQ'!C7"))</f>
        <v/>
      </c>
      <c r="D13" s="31" t="str">
        <f ca="1">IF(ISBLANK(INDIRECT("'Monday REQ'!D7")),"",INDIRECT("'Monday REQ'!D7"))</f>
        <v/>
      </c>
      <c r="E13" s="212" t="str">
        <f ca="1">IF(ISBLANK(INDIRECT("'Monday REQ'!E7")),"",INDIRECT("'Monday REQ'!E7"))</f>
        <v/>
      </c>
      <c r="F13" s="197"/>
      <c r="G13" s="195"/>
      <c r="H13" s="195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-44550</v>
      </c>
      <c r="AF13" s="267"/>
      <c r="AG13" s="267"/>
      <c r="AH13" s="267"/>
    </row>
    <row r="14" spans="1:34" x14ac:dyDescent="0.25">
      <c r="A14" s="208" t="str">
        <f ca="1">IF(ISBLANK(INDIRECT("'Monday REQ'!A8")),"",INDIRECT("'Monday REQ'!A8"))</f>
        <v/>
      </c>
      <c r="B14" s="194" t="str">
        <f ca="1">IF(ISBLANK(INDIRECT("'Monday REQ'!B8")),"",INDIRECT("'Monday REQ'!B8"))</f>
        <v/>
      </c>
      <c r="C14" s="31" t="str">
        <f ca="1">IF(ISBLANK(INDIRECT("'Monday REQ'!C8")),"",INDIRECT("'Monday REQ'!C8"))</f>
        <v/>
      </c>
      <c r="D14" s="31" t="str">
        <f ca="1">IF(ISBLANK(INDIRECT("'Monday REQ'!D8")),"",INDIRECT("'Monday REQ'!D8"))</f>
        <v/>
      </c>
      <c r="E14" s="212" t="str">
        <f ca="1">IF(ISBLANK(INDIRECT("'Monday REQ'!E8")),"",INDIRECT("'Monday REQ'!E8"))</f>
        <v/>
      </c>
      <c r="F14" s="197"/>
      <c r="G14" s="195"/>
      <c r="H14" s="195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-44550</v>
      </c>
      <c r="AF14" s="267"/>
      <c r="AG14" s="267"/>
      <c r="AH14" s="267"/>
    </row>
    <row r="15" spans="1:34" x14ac:dyDescent="0.25">
      <c r="A15" s="208" t="str">
        <f ca="1">IF(ISBLANK(INDIRECT("'Monday REQ'!A9")),"",INDIRECT("'Monday REQ'!A9"))</f>
        <v/>
      </c>
      <c r="B15" s="194" t="str">
        <f ca="1">IF(ISBLANK(INDIRECT("'Monday REQ'!B9")),"",INDIRECT("'Monday REQ'!B9"))</f>
        <v/>
      </c>
      <c r="C15" s="31" t="str">
        <f ca="1">IF(ISBLANK(INDIRECT("'Monday REQ'!C9")),"",INDIRECT("'Monday REQ'!C9"))</f>
        <v/>
      </c>
      <c r="D15" s="31" t="str">
        <f ca="1">IF(ISBLANK(INDIRECT("'Monday REQ'!D9")),"",INDIRECT("'Monday REQ'!D9"))</f>
        <v/>
      </c>
      <c r="E15" s="212" t="str">
        <f ca="1">IF(ISBLANK(INDIRECT("'Monday REQ'!E9")),"",INDIRECT("'Monday REQ'!E9"))</f>
        <v/>
      </c>
      <c r="F15" s="197"/>
      <c r="G15" s="196"/>
      <c r="H15" s="195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-44550</v>
      </c>
      <c r="AF15" s="267"/>
      <c r="AG15" s="267"/>
      <c r="AH15" s="267"/>
    </row>
    <row r="16" spans="1:34" x14ac:dyDescent="0.25">
      <c r="A16" s="30" t="str">
        <f ca="1">IF(ISBLANK(INDIRECT("'Monday REQ'!A10")),"",INDIRECT("'Monday REQ'!A10"))</f>
        <v/>
      </c>
      <c r="B16" s="30" t="str">
        <f ca="1">IF(ISBLANK(INDIRECT("'Monday REQ'!B10")),"",INDIRECT("'Monday REQ'!B10"))</f>
        <v/>
      </c>
      <c r="C16" s="31" t="str">
        <f ca="1">IF(ISBLANK(INDIRECT("'Monday REQ'!C10")),"",INDIRECT("'Monday REQ'!C10"))</f>
        <v/>
      </c>
      <c r="D16" s="31" t="str">
        <f ca="1">IF(ISBLANK(INDIRECT("'Monday REQ'!D10")),"",INDIRECT("'Monday REQ'!D10"))</f>
        <v/>
      </c>
      <c r="E16" s="160" t="str">
        <f ca="1">IF(ISBLANK(INDIRECT("'Monday REQ'!E10")),"",INDIRECT("'Monday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-44550</v>
      </c>
      <c r="AF16" s="267"/>
      <c r="AG16" s="267"/>
      <c r="AH16" s="267"/>
    </row>
    <row r="17" spans="1:34" x14ac:dyDescent="0.25">
      <c r="A17" s="30" t="str">
        <f ca="1">IF(ISBLANK(INDIRECT("'Monday REQ'!A11")),"",INDIRECT("'Monday REQ'!A11"))</f>
        <v/>
      </c>
      <c r="B17" s="30" t="str">
        <f ca="1">IF(ISBLANK(INDIRECT("'Monday REQ'!B11")),"",INDIRECT("'Monday REQ'!B11"))</f>
        <v/>
      </c>
      <c r="C17" s="31" t="str">
        <f ca="1">IF(ISBLANK(INDIRECT("'Monday REQ'!C11")),"",INDIRECT("'Monday REQ'!C11"))</f>
        <v/>
      </c>
      <c r="D17" s="31" t="str">
        <f ca="1">IF(ISBLANK(INDIRECT("'Monday REQ'!D11")),"",INDIRECT("'Monday REQ'!D11"))</f>
        <v/>
      </c>
      <c r="E17" s="160" t="str">
        <f ca="1">IF(ISBLANK(INDIRECT("'Monday REQ'!E11")),"",INDIRECT("'Monday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-44550</v>
      </c>
      <c r="AF17" s="267"/>
      <c r="AG17" s="267"/>
      <c r="AH17" s="267"/>
    </row>
    <row r="18" spans="1:34" x14ac:dyDescent="0.25">
      <c r="A18" s="30" t="str">
        <f ca="1">IF(ISBLANK(INDIRECT("'Monday REQ'!A12")),"",INDIRECT("'Monday REQ'!A12"))</f>
        <v/>
      </c>
      <c r="B18" s="30" t="str">
        <f ca="1">IF(ISBLANK(INDIRECT("'Monday REQ'!B12")),"",INDIRECT("'Monday REQ'!B12"))</f>
        <v/>
      </c>
      <c r="C18" s="31" t="str">
        <f ca="1">IF(ISBLANK(INDIRECT("'Monday REQ'!C12")),"",INDIRECT("'Monday REQ'!C12"))</f>
        <v/>
      </c>
      <c r="D18" s="31" t="str">
        <f ca="1">IF(ISBLANK(INDIRECT("'Monday REQ'!D12")),"",INDIRECT("'Monday REQ'!D12"))</f>
        <v/>
      </c>
      <c r="E18" s="160" t="str">
        <f ca="1">IF(ISBLANK(INDIRECT("'Monday REQ'!E12")),"",INDIRECT("'Monday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-44550</v>
      </c>
      <c r="AF18" s="267"/>
      <c r="AG18" s="267"/>
      <c r="AH18" s="267"/>
    </row>
    <row r="19" spans="1:34" x14ac:dyDescent="0.25">
      <c r="A19" s="30" t="str">
        <f ca="1">IF(ISBLANK(INDIRECT("'Monday REQ'!A13")),"",INDIRECT("'Monday REQ'!A13"))</f>
        <v/>
      </c>
      <c r="B19" s="30" t="str">
        <f ca="1">IF(ISBLANK(INDIRECT("'Monday REQ'!B13")),"",INDIRECT("'Monday REQ'!B13"))</f>
        <v/>
      </c>
      <c r="C19" s="31" t="str">
        <f ca="1">IF(ISBLANK(INDIRECT("'Monday REQ'!C13")),"",INDIRECT("'Monday REQ'!C13"))</f>
        <v/>
      </c>
      <c r="D19" s="31" t="str">
        <f ca="1">IF(ISBLANK(INDIRECT("'Monday REQ'!D13")),"",INDIRECT("'Monday REQ'!D13"))</f>
        <v/>
      </c>
      <c r="E19" s="160" t="str">
        <f ca="1">IF(ISBLANK(INDIRECT("'Monday REQ'!E13")),"",INDIRECT("'Monday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-44550</v>
      </c>
      <c r="AF19" s="267"/>
      <c r="AG19" s="267"/>
      <c r="AH19" s="267"/>
    </row>
    <row r="20" spans="1:34" x14ac:dyDescent="0.25">
      <c r="A20" s="30" t="str">
        <f ca="1">IF(ISBLANK(INDIRECT("'Monday REQ'!A14")),"",INDIRECT("'Monday REQ'!A14"))</f>
        <v/>
      </c>
      <c r="B20" s="30" t="str">
        <f ca="1">IF(ISBLANK(INDIRECT("'Monday REQ'!B14")),"",INDIRECT("'Monday REQ'!B14"))</f>
        <v/>
      </c>
      <c r="C20" s="31" t="str">
        <f ca="1">IF(ISBLANK(INDIRECT("'Monday REQ'!C14")),"",INDIRECT("'Monday REQ'!C14"))</f>
        <v/>
      </c>
      <c r="D20" s="31" t="str">
        <f ca="1">IF(ISBLANK(INDIRECT("'Monday REQ'!D14")),"",INDIRECT("'Monday REQ'!D14"))</f>
        <v/>
      </c>
      <c r="E20" s="160" t="str">
        <f ca="1">IF(ISBLANK(INDIRECT("'Monday REQ'!E14")),"",INDIRECT("'Monday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-44550</v>
      </c>
      <c r="AF20" s="267"/>
      <c r="AG20" s="267"/>
      <c r="AH20" s="267"/>
    </row>
    <row r="21" spans="1:34" x14ac:dyDescent="0.25">
      <c r="A21" s="30" t="str">
        <f ca="1">IF(ISBLANK(INDIRECT("'Monday REQ'!A15")),"",INDIRECT("'Monday REQ'!A15"))</f>
        <v/>
      </c>
      <c r="B21" s="30" t="str">
        <f ca="1">IF(ISBLANK(INDIRECT("'Monday REQ'!B15")),"",INDIRECT("'Monday REQ'!B15"))</f>
        <v/>
      </c>
      <c r="C21" s="31" t="str">
        <f ca="1">IF(ISBLANK(INDIRECT("'Monday REQ'!C15")),"",INDIRECT("'Monday REQ'!C15"))</f>
        <v/>
      </c>
      <c r="D21" s="31" t="str">
        <f ca="1">IF(ISBLANK(INDIRECT("'Monday REQ'!D15")),"",INDIRECT("'Monday REQ'!D15"))</f>
        <v/>
      </c>
      <c r="E21" s="160" t="str">
        <f ca="1">IF(ISBLANK(INDIRECT("'Monday REQ'!E15")),"",INDIRECT("'Monday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-44550</v>
      </c>
      <c r="AF21" s="267"/>
      <c r="AG21" s="267"/>
      <c r="AH21" s="267"/>
    </row>
    <row r="22" spans="1:34" x14ac:dyDescent="0.25">
      <c r="A22" s="30" t="str">
        <f ca="1">IF(ISBLANK(INDIRECT("'Monday REQ'!A16")),"",INDIRECT("'Monday REQ'!A16"))</f>
        <v/>
      </c>
      <c r="B22" s="30" t="str">
        <f ca="1">IF(ISBLANK(INDIRECT("'Monday REQ'!B16")),"",INDIRECT("'Monday REQ'!B16"))</f>
        <v/>
      </c>
      <c r="C22" s="31" t="str">
        <f ca="1">IF(ISBLANK(INDIRECT("'Monday REQ'!C16")),"",INDIRECT("'Monday REQ'!C16"))</f>
        <v/>
      </c>
      <c r="D22" s="31" t="str">
        <f ca="1">IF(ISBLANK(INDIRECT("'Monday REQ'!D16")),"",INDIRECT("'Monday REQ'!D16"))</f>
        <v/>
      </c>
      <c r="E22" s="160" t="str">
        <f ca="1">IF(ISBLANK(INDIRECT("'Monday REQ'!E16")),"",INDIRECT("'Monday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-44550</v>
      </c>
      <c r="AF22" s="267"/>
      <c r="AG22" s="267"/>
      <c r="AH22" s="267"/>
    </row>
    <row r="23" spans="1:34" x14ac:dyDescent="0.25">
      <c r="A23" s="30" t="str">
        <f ca="1">IF(ISBLANK(INDIRECT("'Monday REQ'!A17")),"",INDIRECT("'Monday REQ'!A17"))</f>
        <v/>
      </c>
      <c r="B23" s="30" t="str">
        <f ca="1">IF(ISBLANK(INDIRECT("'Monday REQ'!B17")),"",INDIRECT("'Monday REQ'!B17"))</f>
        <v/>
      </c>
      <c r="C23" s="31" t="str">
        <f ca="1">IF(ISBLANK(INDIRECT("'Monday REQ'!C17")),"",INDIRECT("'Monday REQ'!C17"))</f>
        <v/>
      </c>
      <c r="D23" s="31" t="str">
        <f ca="1">IF(ISBLANK(INDIRECT("'Monday REQ'!D17")),"",INDIRECT("'Monday REQ'!D17"))</f>
        <v/>
      </c>
      <c r="E23" s="160" t="str">
        <f ca="1">IF(ISBLANK(INDIRECT("'Monday REQ'!E17")),"",INDIRECT("'Monday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-44550</v>
      </c>
      <c r="AF23" s="267"/>
      <c r="AG23" s="267"/>
      <c r="AH23" s="267"/>
    </row>
    <row r="24" spans="1:34" x14ac:dyDescent="0.25">
      <c r="A24" s="30" t="str">
        <f ca="1">IF(ISBLANK(INDIRECT("'Monday REQ'!A18")),"",INDIRECT("'Monday REQ'!A18"))</f>
        <v/>
      </c>
      <c r="B24" s="30" t="str">
        <f ca="1">IF(ISBLANK(INDIRECT("'Monday REQ'!B18")),"",INDIRECT("'Monday REQ'!B18"))</f>
        <v/>
      </c>
      <c r="C24" s="31" t="str">
        <f ca="1">IF(ISBLANK(INDIRECT("'Monday REQ'!C18")),"",INDIRECT("'Monday REQ'!C18"))</f>
        <v/>
      </c>
      <c r="D24" s="31" t="str">
        <f ca="1">IF(ISBLANK(INDIRECT("'Monday REQ'!D18")),"",INDIRECT("'Monday REQ'!D18"))</f>
        <v/>
      </c>
      <c r="E24" s="160" t="str">
        <f ca="1">IF(ISBLANK(INDIRECT("'Monday REQ'!E18")),"",INDIRECT("'Monday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-44550</v>
      </c>
      <c r="AF24" s="267"/>
      <c r="AG24" s="267"/>
      <c r="AH24" s="267"/>
    </row>
    <row r="25" spans="1:34" x14ac:dyDescent="0.25">
      <c r="A25" s="30" t="str">
        <f ca="1">IF(ISBLANK(INDIRECT("'Monday REQ'!A19")),"",INDIRECT("'Monday REQ'!A19"))</f>
        <v/>
      </c>
      <c r="B25" s="30" t="str">
        <f ca="1">IF(ISBLANK(INDIRECT("'Monday REQ'!B19")),"",INDIRECT("'Monday REQ'!B19"))</f>
        <v/>
      </c>
      <c r="C25" s="31" t="str">
        <f ca="1">IF(ISBLANK(INDIRECT("'Monday REQ'!C19")),"",INDIRECT("'Monday REQ'!C19"))</f>
        <v/>
      </c>
      <c r="D25" s="31" t="str">
        <f ca="1">IF(ISBLANK(INDIRECT("'Monday REQ'!D19")),"",INDIRECT("'Monday REQ'!D19"))</f>
        <v/>
      </c>
      <c r="E25" s="160" t="str">
        <f ca="1">IF(ISBLANK(INDIRECT("'Monday REQ'!E19")),"",INDIRECT("'Monday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-44550</v>
      </c>
      <c r="AF25" s="267"/>
      <c r="AG25" s="267"/>
      <c r="AH25" s="267"/>
    </row>
    <row r="26" spans="1:34" x14ac:dyDescent="0.25">
      <c r="A26" s="30" t="str">
        <f ca="1">IF(ISBLANK(INDIRECT("'Monday REQ'!A20")),"",INDIRECT("'Monday REQ'!A20"))</f>
        <v/>
      </c>
      <c r="B26" s="30" t="str">
        <f ca="1">IF(ISBLANK(INDIRECT("'Monday REQ'!B20")),"",INDIRECT("'Monday REQ'!B20"))</f>
        <v/>
      </c>
      <c r="C26" s="31" t="str">
        <f ca="1">IF(ISBLANK(INDIRECT("'Monday REQ'!C20")),"",INDIRECT("'Monday REQ'!C20"))</f>
        <v/>
      </c>
      <c r="D26" s="31" t="str">
        <f ca="1">IF(ISBLANK(INDIRECT("'Monday REQ'!D20")),"",INDIRECT("'Monday REQ'!D20"))</f>
        <v/>
      </c>
      <c r="E26" s="160" t="str">
        <f ca="1">IF(ISBLANK(INDIRECT("'Monday REQ'!E20")),"",INDIRECT("'Monday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-44550</v>
      </c>
      <c r="AF26" s="267"/>
      <c r="AG26" s="267"/>
      <c r="AH26" s="267"/>
    </row>
    <row r="27" spans="1:34" x14ac:dyDescent="0.25">
      <c r="A27" s="30" t="str">
        <f ca="1">IF(ISBLANK(INDIRECT("'Monday REQ'!A21")),"",INDIRECT("'Monday REQ'!A21"))</f>
        <v/>
      </c>
      <c r="B27" s="30" t="str">
        <f ca="1">IF(ISBLANK(INDIRECT("'Monday REQ'!B21")),"",INDIRECT("'Monday REQ'!B21"))</f>
        <v/>
      </c>
      <c r="C27" s="31" t="str">
        <f ca="1">IF(ISBLANK(INDIRECT("'Monday REQ'!C21")),"",INDIRECT("'Monday REQ'!C21"))</f>
        <v/>
      </c>
      <c r="D27" s="31" t="str">
        <f ca="1">IF(ISBLANK(INDIRECT("'Monday REQ'!D21")),"",INDIRECT("'Monday REQ'!D21"))</f>
        <v/>
      </c>
      <c r="E27" s="160" t="str">
        <f ca="1">IF(ISBLANK(INDIRECT("'Monday REQ'!E21")),"",INDIRECT("'Monday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-44550</v>
      </c>
      <c r="AF27" s="267"/>
      <c r="AG27" s="267"/>
      <c r="AH27" s="267"/>
    </row>
    <row r="28" spans="1:34" x14ac:dyDescent="0.25">
      <c r="A28" s="30" t="str">
        <f ca="1">IF(ISBLANK(INDIRECT("'Monday REQ'!A22")),"",INDIRECT("'Monday REQ'!A22"))</f>
        <v/>
      </c>
      <c r="B28" s="30" t="str">
        <f ca="1">IF(ISBLANK(INDIRECT("'Monday REQ'!B22")),"",INDIRECT("'Monday REQ'!B22"))</f>
        <v/>
      </c>
      <c r="C28" s="31" t="str">
        <f ca="1">IF(ISBLANK(INDIRECT("'Monday REQ'!C22")),"",INDIRECT("'Monday REQ'!C22"))</f>
        <v/>
      </c>
      <c r="D28" s="31" t="str">
        <f ca="1">IF(ISBLANK(INDIRECT("'Monday REQ'!D22")),"",INDIRECT("'Monday REQ'!D22"))</f>
        <v/>
      </c>
      <c r="E28" s="160" t="str">
        <f ca="1">IF(ISBLANK(INDIRECT("'Monday REQ'!E22")),"",INDIRECT("'Monday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-44550</v>
      </c>
      <c r="AF28" s="267"/>
      <c r="AG28" s="267"/>
      <c r="AH28" s="267"/>
    </row>
    <row r="29" spans="1:34" x14ac:dyDescent="0.25">
      <c r="A29" s="30" t="str">
        <f ca="1">IF(ISBLANK(INDIRECT("'Monday REQ'!A23")),"",INDIRECT("'Monday REQ'!A23"))</f>
        <v/>
      </c>
      <c r="B29" s="30" t="str">
        <f ca="1">IF(ISBLANK(INDIRECT("'Monday REQ'!B23")),"",INDIRECT("'Monday REQ'!B23"))</f>
        <v/>
      </c>
      <c r="C29" s="31" t="str">
        <f ca="1">IF(ISBLANK(INDIRECT("'Monday REQ'!C23")),"",INDIRECT("'Monday REQ'!C23"))</f>
        <v/>
      </c>
      <c r="D29" s="31" t="str">
        <f ca="1">IF(ISBLANK(INDIRECT("'Monday REQ'!D23")),"",INDIRECT("'Monday REQ'!D23"))</f>
        <v/>
      </c>
      <c r="E29" s="160" t="str">
        <f ca="1">IF(ISBLANK(INDIRECT("'Monday REQ'!E23")),"",INDIRECT("'Monday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-44550</v>
      </c>
      <c r="AF29" s="267"/>
      <c r="AG29" s="267"/>
      <c r="AH29" s="267"/>
    </row>
    <row r="30" spans="1:34" x14ac:dyDescent="0.25">
      <c r="A30" s="30" t="str">
        <f ca="1">IF(ISBLANK(INDIRECT("'Monday REQ'!A24")),"",INDIRECT("'Monday REQ'!A24"))</f>
        <v/>
      </c>
      <c r="B30" s="30" t="str">
        <f ca="1">IF(ISBLANK(INDIRECT("'Monday REQ'!B24")),"",INDIRECT("'Monday REQ'!B24"))</f>
        <v/>
      </c>
      <c r="C30" s="31" t="str">
        <f ca="1">IF(ISBLANK(INDIRECT("'Monday REQ'!C24")),"",INDIRECT("'Monday REQ'!C24"))</f>
        <v/>
      </c>
      <c r="D30" s="31" t="str">
        <f ca="1">IF(ISBLANK(INDIRECT("'Monday REQ'!D24")),"",INDIRECT("'Monday REQ'!D24"))</f>
        <v/>
      </c>
      <c r="E30" s="160" t="str">
        <f ca="1">IF(ISBLANK(INDIRECT("'Monday REQ'!E24")),"",INDIRECT("'Monday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-44550</v>
      </c>
      <c r="AF30" s="267"/>
      <c r="AG30" s="267"/>
      <c r="AH30" s="267"/>
    </row>
    <row r="31" spans="1:34" x14ac:dyDescent="0.25">
      <c r="A31" s="30" t="str">
        <f ca="1">IF(ISBLANK(INDIRECT("'Monday REQ'!A25")),"",INDIRECT("'Monday REQ'!A25"))</f>
        <v/>
      </c>
      <c r="B31" s="30" t="str">
        <f ca="1">IF(ISBLANK(INDIRECT("'Monday REQ'!B25")),"",INDIRECT("'Monday REQ'!B25"))</f>
        <v/>
      </c>
      <c r="C31" s="31" t="str">
        <f ca="1">IF(ISBLANK(INDIRECT("'Monday REQ'!C25")),"",INDIRECT("'Monday REQ'!C25"))</f>
        <v/>
      </c>
      <c r="D31" s="31" t="str">
        <f ca="1">IF(ISBLANK(INDIRECT("'Monday REQ'!D25")),"",INDIRECT("'Monday REQ'!D25"))</f>
        <v/>
      </c>
      <c r="E31" s="160" t="str">
        <f ca="1">IF(ISBLANK(INDIRECT("'Monday REQ'!E25")),"",INDIRECT("'Monday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-44550</v>
      </c>
      <c r="AF31" s="267"/>
      <c r="AG31" s="267"/>
      <c r="AH31" s="267"/>
    </row>
    <row r="32" spans="1:34" x14ac:dyDescent="0.25">
      <c r="A32" s="30" t="str">
        <f ca="1">IF(ISBLANK(INDIRECT("'Monday REQ'!A26")),"",INDIRECT("'Monday REQ'!A26"))</f>
        <v/>
      </c>
      <c r="B32" s="30" t="str">
        <f ca="1">IF(ISBLANK(INDIRECT("'Monday REQ'!B26")),"",INDIRECT("'Monday REQ'!B26"))</f>
        <v/>
      </c>
      <c r="C32" s="31" t="str">
        <f ca="1">IF(ISBLANK(INDIRECT("'Monday REQ'!C26")),"",INDIRECT("'Monday REQ'!C26"))</f>
        <v/>
      </c>
      <c r="D32" s="31" t="str">
        <f ca="1">IF(ISBLANK(INDIRECT("'Monday REQ'!D26")),"",INDIRECT("'Monday REQ'!D26"))</f>
        <v/>
      </c>
      <c r="E32" s="160" t="str">
        <f ca="1">IF(ISBLANK(INDIRECT("'Monday REQ'!E26")),"",INDIRECT("'Monday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-44550</v>
      </c>
      <c r="AF32" s="267"/>
      <c r="AG32" s="267"/>
      <c r="AH32" s="267"/>
    </row>
    <row r="33" spans="1:34" x14ac:dyDescent="0.25">
      <c r="A33" s="30" t="str">
        <f ca="1">IF(ISBLANK(INDIRECT("'Monday REQ'!A27")),"",INDIRECT("'Monday REQ'!A27"))</f>
        <v/>
      </c>
      <c r="B33" s="30" t="str">
        <f ca="1">IF(ISBLANK(INDIRECT("'Monday REQ'!B27")),"",INDIRECT("'Monday REQ'!B27"))</f>
        <v/>
      </c>
      <c r="C33" s="31" t="str">
        <f ca="1">IF(ISBLANK(INDIRECT("'Monday REQ'!C27")),"",INDIRECT("'Monday REQ'!C27"))</f>
        <v/>
      </c>
      <c r="D33" s="31" t="str">
        <f ca="1">IF(ISBLANK(INDIRECT("'Monday REQ'!D27")),"",INDIRECT("'Monday REQ'!D27"))</f>
        <v/>
      </c>
      <c r="E33" s="160" t="str">
        <f ca="1">IF(ISBLANK(INDIRECT("'Monday REQ'!E27")),"",INDIRECT("'Monday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-44550</v>
      </c>
      <c r="AF33" s="267"/>
      <c r="AG33" s="267"/>
      <c r="AH33" s="267"/>
    </row>
    <row r="34" spans="1:34" x14ac:dyDescent="0.25">
      <c r="A34" s="30" t="str">
        <f ca="1">IF(ISBLANK(INDIRECT("'Monday REQ'!A28")),"",INDIRECT("'Monday REQ'!A28"))</f>
        <v/>
      </c>
      <c r="B34" s="30" t="str">
        <f ca="1">IF(ISBLANK(INDIRECT("'Monday REQ'!B28")),"",INDIRECT("'Monday REQ'!B28"))</f>
        <v/>
      </c>
      <c r="C34" s="31" t="str">
        <f ca="1">IF(ISBLANK(INDIRECT("'Monday REQ'!C28")),"",INDIRECT("'Monday REQ'!C28"))</f>
        <v/>
      </c>
      <c r="D34" s="31" t="str">
        <f ca="1">IF(ISBLANK(INDIRECT("'Monday REQ'!D28")),"",INDIRECT("'Monday REQ'!D28"))</f>
        <v/>
      </c>
      <c r="E34" s="160" t="str">
        <f ca="1">IF(ISBLANK(INDIRECT("'Monday REQ'!E28")),"",INDIRECT("'Monday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-44550</v>
      </c>
      <c r="AF34" s="267"/>
      <c r="AG34" s="267"/>
      <c r="AH34" s="267"/>
    </row>
    <row r="35" spans="1:34" x14ac:dyDescent="0.25">
      <c r="A35" s="30" t="str">
        <f ca="1">IF(ISBLANK(INDIRECT("'Monday REQ'!A29")),"",INDIRECT("'Monday REQ'!A29"))</f>
        <v/>
      </c>
      <c r="B35" s="30" t="str">
        <f ca="1">IF(ISBLANK(INDIRECT("'Monday REQ'!B29")),"",INDIRECT("'Monday REQ'!B29"))</f>
        <v/>
      </c>
      <c r="C35" s="31" t="str">
        <f ca="1">IF(ISBLANK(INDIRECT("'Monday REQ'!C29")),"",INDIRECT("'Monday REQ'!C29"))</f>
        <v/>
      </c>
      <c r="D35" s="31" t="str">
        <f ca="1">IF(ISBLANK(INDIRECT("'Monday REQ'!D29")),"",INDIRECT("'Monday REQ'!D29"))</f>
        <v/>
      </c>
      <c r="E35" s="160" t="str">
        <f ca="1">IF(ISBLANK(INDIRECT("'Monday REQ'!E29")),"",INDIRECT("'Monday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-44550</v>
      </c>
      <c r="AF35" s="267"/>
      <c r="AG35" s="267"/>
      <c r="AH35" s="267"/>
    </row>
    <row r="36" spans="1:34" x14ac:dyDescent="0.25">
      <c r="A36" s="30" t="str">
        <f ca="1">IF(ISBLANK(INDIRECT("'Monday REQ'!A30")),"",INDIRECT("'Monday REQ'!A30"))</f>
        <v/>
      </c>
      <c r="B36" s="30" t="str">
        <f ca="1">IF(ISBLANK(INDIRECT("'Monday REQ'!B30")),"",INDIRECT("'Monday REQ'!B30"))</f>
        <v/>
      </c>
      <c r="C36" s="31" t="str">
        <f ca="1">IF(ISBLANK(INDIRECT("'Monday REQ'!C30")),"",INDIRECT("'Monday REQ'!C30"))</f>
        <v/>
      </c>
      <c r="D36" s="31" t="str">
        <f ca="1">IF(ISBLANK(INDIRECT("'Monday REQ'!D30")),"",INDIRECT("'Monday REQ'!D30"))</f>
        <v/>
      </c>
      <c r="E36" s="160" t="str">
        <f ca="1">IF(ISBLANK(INDIRECT("'Monday REQ'!E30")),"",INDIRECT("'Monday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-44550</v>
      </c>
      <c r="AF36" s="267"/>
      <c r="AG36" s="267"/>
      <c r="AH36" s="267"/>
    </row>
    <row r="37" spans="1:34" x14ac:dyDescent="0.25">
      <c r="A37" s="30" t="str">
        <f ca="1">IF(ISBLANK(INDIRECT("'Monday REQ'!A31")),"",INDIRECT("'Monday REQ'!A31"))</f>
        <v/>
      </c>
      <c r="B37" s="30" t="str">
        <f ca="1">IF(ISBLANK(INDIRECT("'Monday REQ'!B31")),"",INDIRECT("'Monday REQ'!B31"))</f>
        <v/>
      </c>
      <c r="C37" s="31" t="str">
        <f ca="1">IF(ISBLANK(INDIRECT("'Monday REQ'!C31")),"",INDIRECT("'Monday REQ'!C31"))</f>
        <v/>
      </c>
      <c r="D37" s="31" t="str">
        <f ca="1">IF(ISBLANK(INDIRECT("'Monday REQ'!D31")),"",INDIRECT("'Monday REQ'!D31"))</f>
        <v/>
      </c>
      <c r="E37" s="160" t="str">
        <f ca="1">IF(ISBLANK(INDIRECT("'Monday REQ'!E31")),"",INDIRECT("'Monday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-44550</v>
      </c>
      <c r="AF37" s="267"/>
      <c r="AG37" s="267"/>
      <c r="AH37" s="267"/>
    </row>
    <row r="38" spans="1:34" x14ac:dyDescent="0.25">
      <c r="A38" s="30" t="str">
        <f ca="1">IF(ISBLANK(INDIRECT("'Monday REQ'!A32")),"",INDIRECT("'Monday REQ'!A32"))</f>
        <v/>
      </c>
      <c r="B38" s="30" t="str">
        <f ca="1">IF(ISBLANK(INDIRECT("'Monday REQ'!B32")),"",INDIRECT("'Monday REQ'!B32"))</f>
        <v/>
      </c>
      <c r="C38" s="31" t="str">
        <f ca="1">IF(ISBLANK(INDIRECT("'Monday REQ'!C32")),"",INDIRECT("'Monday REQ'!C32"))</f>
        <v/>
      </c>
      <c r="D38" s="31" t="str">
        <f ca="1">IF(ISBLANK(INDIRECT("'Monday REQ'!D32")),"",INDIRECT("'Monday REQ'!D32"))</f>
        <v/>
      </c>
      <c r="E38" s="160" t="str">
        <f ca="1">IF(ISBLANK(INDIRECT("'Monday REQ'!E32")),"",INDIRECT("'Monday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-44550</v>
      </c>
      <c r="AF38" s="267"/>
      <c r="AG38" s="267"/>
      <c r="AH38" s="267"/>
    </row>
    <row r="39" spans="1:34" x14ac:dyDescent="0.25">
      <c r="A39" s="30" t="str">
        <f ca="1">IF(ISBLANK(INDIRECT("'Monday REQ'!A33")),"",INDIRECT("'Monday REQ'!A33"))</f>
        <v/>
      </c>
      <c r="B39" s="30" t="str">
        <f ca="1">IF(ISBLANK(INDIRECT("'Monday REQ'!B33")),"",INDIRECT("'Monday REQ'!B33"))</f>
        <v/>
      </c>
      <c r="C39" s="31" t="str">
        <f ca="1">IF(ISBLANK(INDIRECT("'Monday REQ'!C33")),"",INDIRECT("'Monday REQ'!C33"))</f>
        <v/>
      </c>
      <c r="D39" s="31" t="str">
        <f ca="1">IF(ISBLANK(INDIRECT("'Monday REQ'!D33")),"",INDIRECT("'Monday REQ'!D33"))</f>
        <v/>
      </c>
      <c r="E39" s="160" t="str">
        <f ca="1">IF(ISBLANK(INDIRECT("'Monday REQ'!E33")),"",INDIRECT("'Monday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-44550</v>
      </c>
      <c r="AF39" s="267"/>
      <c r="AG39" s="267"/>
      <c r="AH39" s="267"/>
    </row>
    <row r="40" spans="1:34" x14ac:dyDescent="0.25">
      <c r="A40" s="30" t="str">
        <f ca="1">IF(ISBLANK(INDIRECT("'Monday REQ'!A34")),"",INDIRECT("'Monday REQ'!A34"))</f>
        <v/>
      </c>
      <c r="B40" s="30" t="str">
        <f ca="1">IF(ISBLANK(INDIRECT("'Monday REQ'!B34")),"",INDIRECT("'Monday REQ'!B34"))</f>
        <v/>
      </c>
      <c r="C40" s="31" t="str">
        <f ca="1">IF(ISBLANK(INDIRECT("'Monday REQ'!C34")),"",INDIRECT("'Monday REQ'!C34"))</f>
        <v/>
      </c>
      <c r="D40" s="31" t="str">
        <f ca="1">IF(ISBLANK(INDIRECT("'Monday REQ'!D34")),"",INDIRECT("'Monday REQ'!D34"))</f>
        <v/>
      </c>
      <c r="E40" s="160" t="str">
        <f ca="1">IF(ISBLANK(INDIRECT("'Monday REQ'!E34")),"",INDIRECT("'Monday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-44550</v>
      </c>
      <c r="AF40" s="267"/>
      <c r="AG40" s="267"/>
      <c r="AH40" s="267"/>
    </row>
    <row r="41" spans="1:34" x14ac:dyDescent="0.25">
      <c r="A41" s="30" t="str">
        <f ca="1">IF(ISBLANK(INDIRECT("'Monday REQ'!A35")),"",INDIRECT("'Monday REQ'!A35"))</f>
        <v/>
      </c>
      <c r="B41" s="30" t="str">
        <f ca="1">IF(ISBLANK(INDIRECT("'Monday REQ'!B35")),"",INDIRECT("'Monday REQ'!B35"))</f>
        <v/>
      </c>
      <c r="C41" s="31" t="str">
        <f ca="1">IF(ISBLANK(INDIRECT("'Monday REQ'!C35")),"",INDIRECT("'Monday REQ'!C35"))</f>
        <v/>
      </c>
      <c r="D41" s="31" t="str">
        <f ca="1">IF(ISBLANK(INDIRECT("'Monday REQ'!D35")),"",INDIRECT("'Monday REQ'!D35"))</f>
        <v/>
      </c>
      <c r="E41" s="160" t="str">
        <f ca="1">IF(ISBLANK(INDIRECT("'Monday REQ'!E35")),"",INDIRECT("'Monday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-44550</v>
      </c>
      <c r="AF41" s="267"/>
      <c r="AG41" s="267"/>
      <c r="AH41" s="267"/>
    </row>
    <row r="42" spans="1:34" x14ac:dyDescent="0.25">
      <c r="A42" s="30" t="str">
        <f ca="1">IF(ISBLANK(INDIRECT("'Monday REQ'!A36")),"",INDIRECT("'Monday REQ'!A36"))</f>
        <v/>
      </c>
      <c r="B42" s="30" t="str">
        <f ca="1">IF(ISBLANK(INDIRECT("'Monday REQ'!B36")),"",INDIRECT("'Monday REQ'!B36"))</f>
        <v/>
      </c>
      <c r="C42" s="31" t="str">
        <f ca="1">IF(ISBLANK(INDIRECT("'Monday REQ'!C36")),"",INDIRECT("'Monday REQ'!C36"))</f>
        <v/>
      </c>
      <c r="D42" s="31" t="str">
        <f ca="1">IF(ISBLANK(INDIRECT("'Monday REQ'!D36")),"",INDIRECT("'Monday REQ'!D36"))</f>
        <v/>
      </c>
      <c r="E42" s="160" t="str">
        <f ca="1">IF(ISBLANK(INDIRECT("'Monday REQ'!E36")),"",INDIRECT("'Monday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-44550</v>
      </c>
      <c r="AF42" s="267"/>
      <c r="AG42" s="267"/>
      <c r="AH42" s="267"/>
    </row>
    <row r="43" spans="1:34" x14ac:dyDescent="0.25">
      <c r="A43" s="30" t="str">
        <f ca="1">IF(ISBLANK(INDIRECT("'Monday REQ'!A37")),"",INDIRECT("'Monday REQ'!A37"))</f>
        <v/>
      </c>
      <c r="B43" s="30" t="str">
        <f ca="1">IF(ISBLANK(INDIRECT("'Monday REQ'!B37")),"",INDIRECT("'Monday REQ'!B37"))</f>
        <v/>
      </c>
      <c r="C43" s="31" t="str">
        <f ca="1">IF(ISBLANK(INDIRECT("'Monday REQ'!C37")),"",INDIRECT("'Monday REQ'!C37"))</f>
        <v/>
      </c>
      <c r="D43" s="31" t="str">
        <f ca="1">IF(ISBLANK(INDIRECT("'Monday REQ'!D37")),"",INDIRECT("'Monday REQ'!D37"))</f>
        <v/>
      </c>
      <c r="E43" s="160" t="str">
        <f ca="1">IF(ISBLANK(INDIRECT("'Monday REQ'!E37")),"",INDIRECT("'Monday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-44550</v>
      </c>
      <c r="AF43" s="267"/>
      <c r="AG43" s="267"/>
      <c r="AH43" s="267"/>
    </row>
    <row r="44" spans="1:34" x14ac:dyDescent="0.25">
      <c r="A44" s="30" t="str">
        <f ca="1">IF(ISBLANK(INDIRECT("'Monday REQ'!A38")),"",INDIRECT("'Monday REQ'!A38"))</f>
        <v/>
      </c>
      <c r="B44" s="30" t="str">
        <f ca="1">IF(ISBLANK(INDIRECT("'Monday REQ'!B38")),"",INDIRECT("'Monday REQ'!B38"))</f>
        <v/>
      </c>
      <c r="C44" s="31" t="str">
        <f ca="1">IF(ISBLANK(INDIRECT("'Monday REQ'!C38")),"",INDIRECT("'Monday REQ'!C38"))</f>
        <v/>
      </c>
      <c r="D44" s="31" t="str">
        <f ca="1">IF(ISBLANK(INDIRECT("'Monday REQ'!D38")),"",INDIRECT("'Monday REQ'!D38"))</f>
        <v/>
      </c>
      <c r="E44" s="160" t="str">
        <f ca="1">IF(ISBLANK(INDIRECT("'Monday REQ'!E38")),"",INDIRECT("'Monday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-44550</v>
      </c>
      <c r="AF44" s="267"/>
      <c r="AG44" s="267"/>
      <c r="AH44" s="267"/>
    </row>
    <row r="45" spans="1:34" x14ac:dyDescent="0.25">
      <c r="A45" s="30" t="str">
        <f ca="1">IF(ISBLANK(INDIRECT("'Monday REQ'!A39")),"",INDIRECT("'Monday REQ'!A39"))</f>
        <v/>
      </c>
      <c r="B45" s="30" t="str">
        <f ca="1">IF(ISBLANK(INDIRECT("'Monday REQ'!B39")),"",INDIRECT("'Monday REQ'!B39"))</f>
        <v/>
      </c>
      <c r="C45" s="31" t="str">
        <f ca="1">IF(ISBLANK(INDIRECT("'Monday REQ'!C39")),"",INDIRECT("'Monday REQ'!C39"))</f>
        <v/>
      </c>
      <c r="D45" s="31" t="str">
        <f ca="1">IF(ISBLANK(INDIRECT("'Monday REQ'!D39")),"",INDIRECT("'Monday REQ'!D39"))</f>
        <v/>
      </c>
      <c r="E45" s="160" t="str">
        <f ca="1">IF(ISBLANK(INDIRECT("'Monday REQ'!E39")),"",INDIRECT("'Monday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-44550</v>
      </c>
      <c r="AF45" s="267"/>
      <c r="AG45" s="267"/>
      <c r="AH45" s="267"/>
    </row>
    <row r="46" spans="1:34" x14ac:dyDescent="0.25">
      <c r="A46" s="30" t="str">
        <f ca="1">IF(ISBLANK(INDIRECT("'Monday REQ'!A40")),"",INDIRECT("'Monday REQ'!A40"))</f>
        <v/>
      </c>
      <c r="B46" s="30" t="str">
        <f ca="1">IF(ISBLANK(INDIRECT("'Monday REQ'!B40")),"",INDIRECT("'Monday REQ'!B40"))</f>
        <v/>
      </c>
      <c r="C46" s="31" t="str">
        <f ca="1">IF(ISBLANK(INDIRECT("'Monday REQ'!C40")),"",INDIRECT("'Monday REQ'!C40"))</f>
        <v/>
      </c>
      <c r="D46" s="31" t="str">
        <f ca="1">IF(ISBLANK(INDIRECT("'Monday REQ'!D40")),"",INDIRECT("'Monday REQ'!D40"))</f>
        <v/>
      </c>
      <c r="E46" s="160" t="str">
        <f ca="1">IF(ISBLANK(INDIRECT("'Monday REQ'!E40")),"",INDIRECT("'Monday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-44550</v>
      </c>
      <c r="AF46" s="267"/>
      <c r="AG46" s="267"/>
      <c r="AH46" s="267"/>
    </row>
    <row r="47" spans="1:34" x14ac:dyDescent="0.25">
      <c r="A47" s="30" t="str">
        <f ca="1">IF(ISBLANK(INDIRECT("'Monday REQ'!A41")),"",INDIRECT("'Monday REQ'!A41"))</f>
        <v/>
      </c>
      <c r="B47" s="30" t="str">
        <f ca="1">IF(ISBLANK(INDIRECT("'Monday REQ'!B41")),"",INDIRECT("'Monday REQ'!B41"))</f>
        <v/>
      </c>
      <c r="C47" s="31" t="str">
        <f ca="1">IF(ISBLANK(INDIRECT("'Monday REQ'!C41")),"",INDIRECT("'Monday REQ'!C41"))</f>
        <v/>
      </c>
      <c r="D47" s="31" t="str">
        <f ca="1">IF(ISBLANK(INDIRECT("'Monday REQ'!D41")),"",INDIRECT("'Monday REQ'!D41"))</f>
        <v/>
      </c>
      <c r="E47" s="160" t="str">
        <f ca="1">IF(ISBLANK(INDIRECT("'Monday REQ'!E41")),"",INDIRECT("'Monday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-44550</v>
      </c>
      <c r="AF47" s="267"/>
      <c r="AG47" s="267"/>
      <c r="AH47" s="267"/>
    </row>
    <row r="48" spans="1:34" x14ac:dyDescent="0.25">
      <c r="A48" s="30" t="str">
        <f ca="1">IF(ISBLANK(INDIRECT("'Monday REQ'!A42")),"",INDIRECT("'Monday REQ'!A42"))</f>
        <v/>
      </c>
      <c r="B48" s="30" t="str">
        <f ca="1">IF(ISBLANK(INDIRECT("'Monday REQ'!B42")),"",INDIRECT("'Monday REQ'!B42"))</f>
        <v/>
      </c>
      <c r="C48" s="31" t="str">
        <f ca="1">IF(ISBLANK(INDIRECT("'Monday REQ'!C42")),"",INDIRECT("'Monday REQ'!C42"))</f>
        <v/>
      </c>
      <c r="D48" s="31" t="str">
        <f ca="1">IF(ISBLANK(INDIRECT("'Monday REQ'!D42")),"",INDIRECT("'Monday REQ'!D42"))</f>
        <v/>
      </c>
      <c r="E48" s="160" t="str">
        <f ca="1">IF(ISBLANK(INDIRECT("'Monday REQ'!E42")),"",INDIRECT("'Monday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-44550</v>
      </c>
      <c r="AF48" s="267"/>
      <c r="AG48" s="267"/>
      <c r="AH48" s="267"/>
    </row>
    <row r="49" spans="1:34" x14ac:dyDescent="0.25">
      <c r="A49" s="30" t="str">
        <f ca="1">IF(ISBLANK(INDIRECT("'Monday REQ'!A43")),"",INDIRECT("'Monday REQ'!A43"))</f>
        <v/>
      </c>
      <c r="B49" s="30" t="str">
        <f ca="1">IF(ISBLANK(INDIRECT("'Monday REQ'!B43")),"",INDIRECT("'Monday REQ'!B43"))</f>
        <v/>
      </c>
      <c r="C49" s="31" t="str">
        <f ca="1">IF(ISBLANK(INDIRECT("'Monday REQ'!C43")),"",INDIRECT("'Monday REQ'!C43"))</f>
        <v/>
      </c>
      <c r="D49" s="31" t="str">
        <f ca="1">IF(ISBLANK(INDIRECT("'Monday REQ'!D43")),"",INDIRECT("'Monday REQ'!D43"))</f>
        <v/>
      </c>
      <c r="E49" s="160" t="str">
        <f ca="1">IF(ISBLANK(INDIRECT("'Monday REQ'!E43")),"",INDIRECT("'Monday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-44550</v>
      </c>
      <c r="AF49" s="267"/>
      <c r="AG49" s="267"/>
      <c r="AH49" s="267"/>
    </row>
    <row r="50" spans="1:34" x14ac:dyDescent="0.25">
      <c r="A50" s="30" t="str">
        <f ca="1">IF(ISBLANK(INDIRECT("'Monday REQ'!A44")),"",INDIRECT("'Monday REQ'!A44"))</f>
        <v/>
      </c>
      <c r="B50" s="30" t="str">
        <f ca="1">IF(ISBLANK(INDIRECT("'Monday REQ'!B44")),"",INDIRECT("'Monday REQ'!B44"))</f>
        <v/>
      </c>
      <c r="C50" s="31" t="str">
        <f ca="1">IF(ISBLANK(INDIRECT("'Monday REQ'!C44")),"",INDIRECT("'Monday REQ'!C44"))</f>
        <v/>
      </c>
      <c r="D50" s="31" t="str">
        <f ca="1">IF(ISBLANK(INDIRECT("'Monday REQ'!D44")),"",INDIRECT("'Monday REQ'!D44"))</f>
        <v/>
      </c>
      <c r="E50" s="160" t="str">
        <f ca="1">IF(ISBLANK(INDIRECT("'Monday REQ'!E44")),"",INDIRECT("'Monday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-44550</v>
      </c>
      <c r="AF50" s="267"/>
      <c r="AG50" s="267"/>
      <c r="AH50" s="267"/>
    </row>
    <row r="51" spans="1:34" x14ac:dyDescent="0.25">
      <c r="A51" s="30" t="str">
        <f ca="1">IF(ISBLANK(INDIRECT("'Monday REQ'!A45")),"",INDIRECT("'Monday REQ'!A45"))</f>
        <v/>
      </c>
      <c r="B51" s="30" t="str">
        <f ca="1">IF(ISBLANK(INDIRECT("'Monday REQ'!B45")),"",INDIRECT("'Monday REQ'!B45"))</f>
        <v/>
      </c>
      <c r="C51" s="31" t="str">
        <f ca="1">IF(ISBLANK(INDIRECT("'Monday REQ'!C45")),"",INDIRECT("'Monday REQ'!C45"))</f>
        <v/>
      </c>
      <c r="D51" s="31" t="str">
        <f ca="1">IF(ISBLANK(INDIRECT("'Monday REQ'!D45")),"",INDIRECT("'Monday REQ'!D45"))</f>
        <v/>
      </c>
      <c r="E51" s="160" t="str">
        <f ca="1">IF(ISBLANK(INDIRECT("'Monday REQ'!E45")),"",INDIRECT("'Monday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-44550</v>
      </c>
      <c r="AF51" s="267"/>
      <c r="AG51" s="267"/>
      <c r="AH51" s="267"/>
    </row>
    <row r="52" spans="1:34" x14ac:dyDescent="0.25">
      <c r="A52" s="30" t="str">
        <f ca="1">IF(ISBLANK(INDIRECT("'Monday REQ'!A46")),"",INDIRECT("'Monday REQ'!A46"))</f>
        <v/>
      </c>
      <c r="B52" s="30" t="str">
        <f ca="1">IF(ISBLANK(INDIRECT("'Monday REQ'!B46")),"",INDIRECT("'Monday REQ'!B46"))</f>
        <v/>
      </c>
      <c r="C52" s="31" t="str">
        <f ca="1">IF(ISBLANK(INDIRECT("'Monday REQ'!C46")),"",INDIRECT("'Monday REQ'!C46"))</f>
        <v/>
      </c>
      <c r="D52" s="31" t="str">
        <f ca="1">IF(ISBLANK(INDIRECT("'Monday REQ'!D46")),"",INDIRECT("'Monday REQ'!D46"))</f>
        <v/>
      </c>
      <c r="E52" s="160" t="str">
        <f ca="1">IF(ISBLANK(INDIRECT("'Monday REQ'!E46")),"",INDIRECT("'Monday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-44550</v>
      </c>
      <c r="AF52" s="267"/>
      <c r="AG52" s="267"/>
      <c r="AH52" s="267"/>
    </row>
    <row r="53" spans="1:34" x14ac:dyDescent="0.25">
      <c r="A53" s="30" t="str">
        <f ca="1">IF(ISBLANK(INDIRECT("'Monday REQ'!A47")),"",INDIRECT("'Monday REQ'!A47"))</f>
        <v/>
      </c>
      <c r="B53" s="30" t="str">
        <f ca="1">IF(ISBLANK(INDIRECT("'Monday REQ'!B47")),"",INDIRECT("'Monday REQ'!B47"))</f>
        <v/>
      </c>
      <c r="C53" s="31" t="str">
        <f ca="1">IF(ISBLANK(INDIRECT("'Monday REQ'!C47")),"",INDIRECT("'Monday REQ'!C47"))</f>
        <v/>
      </c>
      <c r="D53" s="31" t="str">
        <f ca="1">IF(ISBLANK(INDIRECT("'Monday REQ'!D47")),"",INDIRECT("'Monday REQ'!D47"))</f>
        <v/>
      </c>
      <c r="E53" s="160" t="str">
        <f ca="1">IF(ISBLANK(INDIRECT("'Monday REQ'!E47")),"",INDIRECT("'Monday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-44550</v>
      </c>
      <c r="AF53" s="267"/>
      <c r="AG53" s="267"/>
      <c r="AH53" s="267"/>
    </row>
    <row r="54" spans="1:34" x14ac:dyDescent="0.25">
      <c r="A54" s="30" t="str">
        <f ca="1">IF(ISBLANK(INDIRECT("'Monday REQ'!A48")),"",INDIRECT("'Monday REQ'!A48"))</f>
        <v/>
      </c>
      <c r="B54" s="30" t="str">
        <f ca="1">IF(ISBLANK(INDIRECT("'Monday REQ'!B48")),"",INDIRECT("'Monday REQ'!B48"))</f>
        <v/>
      </c>
      <c r="C54" s="31" t="str">
        <f ca="1">IF(ISBLANK(INDIRECT("'Monday REQ'!C48")),"",INDIRECT("'Monday REQ'!C48"))</f>
        <v/>
      </c>
      <c r="D54" s="31" t="str">
        <f ca="1">IF(ISBLANK(INDIRECT("'Monday REQ'!D48")),"",INDIRECT("'Monday REQ'!D48"))</f>
        <v/>
      </c>
      <c r="E54" s="160" t="str">
        <f ca="1">IF(ISBLANK(INDIRECT("'Monday REQ'!E48")),"",INDIRECT("'Monday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-44550</v>
      </c>
      <c r="AF54" s="267"/>
      <c r="AG54" s="267"/>
      <c r="AH54" s="267"/>
    </row>
    <row r="55" spans="1:34" x14ac:dyDescent="0.25">
      <c r="A55" s="30" t="str">
        <f ca="1">IF(ISBLANK(INDIRECT("'Monday REQ'!A49")),"",INDIRECT("'Monday REQ'!A49"))</f>
        <v/>
      </c>
      <c r="B55" s="30" t="str">
        <f ca="1">IF(ISBLANK(INDIRECT("'Monday REQ'!B49")),"",INDIRECT("'Monday REQ'!B49"))</f>
        <v/>
      </c>
      <c r="C55" s="31" t="str">
        <f ca="1">IF(ISBLANK(INDIRECT("'Monday REQ'!C49")),"",INDIRECT("'Monday REQ'!C49"))</f>
        <v/>
      </c>
      <c r="D55" s="31" t="str">
        <f ca="1">IF(ISBLANK(INDIRECT("'Monday REQ'!D49")),"",INDIRECT("'Monday REQ'!D49"))</f>
        <v/>
      </c>
      <c r="E55" s="160" t="str">
        <f ca="1">IF(ISBLANK(INDIRECT("'Monday REQ'!E49")),"",INDIRECT("'Monday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-44550</v>
      </c>
      <c r="AF55" s="267"/>
      <c r="AG55" s="267"/>
      <c r="AH55" s="267"/>
    </row>
    <row r="56" spans="1:34" x14ac:dyDescent="0.25">
      <c r="A56" s="30" t="str">
        <f ca="1">IF(ISBLANK(INDIRECT("'Monday REQ'!A50")),"",INDIRECT("'Monday REQ'!A50"))</f>
        <v/>
      </c>
      <c r="B56" s="30" t="str">
        <f ca="1">IF(ISBLANK(INDIRECT("'Monday REQ'!B50")),"",INDIRECT("'Monday REQ'!B50"))</f>
        <v/>
      </c>
      <c r="C56" s="31" t="str">
        <f ca="1">IF(ISBLANK(INDIRECT("'Monday REQ'!C50")),"",INDIRECT("'Monday REQ'!C50"))</f>
        <v/>
      </c>
      <c r="D56" s="31" t="str">
        <f ca="1">IF(ISBLANK(INDIRECT("'Monday REQ'!D50")),"",INDIRECT("'Monday REQ'!D50"))</f>
        <v/>
      </c>
      <c r="E56" s="160" t="str">
        <f ca="1">IF(ISBLANK(INDIRECT("'Monday REQ'!E50")),"",INDIRECT("'Monday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1"/>
        <v/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1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-44550</v>
      </c>
      <c r="AF56" s="267"/>
      <c r="AG56" s="267"/>
      <c r="AH56" s="267"/>
    </row>
    <row r="57" spans="1:34" x14ac:dyDescent="0.25">
      <c r="A57" s="30" t="str">
        <f ca="1">IF(ISBLANK(INDIRECT("'Monday REQ'!A51")),"",INDIRECT("'Monday REQ'!A51"))</f>
        <v/>
      </c>
      <c r="B57" s="30" t="str">
        <f ca="1">IF(ISBLANK(INDIRECT("'Monday REQ'!B51")),"",INDIRECT("'Monday REQ'!B51"))</f>
        <v/>
      </c>
      <c r="C57" s="31" t="str">
        <f ca="1">IF(ISBLANK(INDIRECT("'Monday REQ'!C51")),"",INDIRECT("'Monday REQ'!C51"))</f>
        <v/>
      </c>
      <c r="D57" s="31" t="str">
        <f ca="1">IF(ISBLANK(INDIRECT("'Monday REQ'!D51")),"",INDIRECT("'Monday REQ'!D51"))</f>
        <v/>
      </c>
      <c r="E57" s="160" t="str">
        <f ca="1">IF(ISBLANK(INDIRECT("'Monday REQ'!E51")),"",INDIRECT("'Monday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-44550</v>
      </c>
      <c r="AF57" s="267"/>
      <c r="AG57" s="267"/>
      <c r="AH57" s="267"/>
    </row>
    <row r="58" spans="1:34" x14ac:dyDescent="0.25">
      <c r="A58" s="30" t="str">
        <f ca="1">IF(ISBLANK(INDIRECT("'Monday REQ'!A52")),"",INDIRECT("'Monday REQ'!A52"))</f>
        <v/>
      </c>
      <c r="B58" s="30" t="str">
        <f ca="1">IF(ISBLANK(INDIRECT("'Monday REQ'!B52")),"",INDIRECT("'Monday REQ'!B52"))</f>
        <v/>
      </c>
      <c r="C58" s="31" t="str">
        <f ca="1">IF(ISBLANK(INDIRECT("'Monday REQ'!C52")),"",INDIRECT("'Monday REQ'!C52"))</f>
        <v/>
      </c>
      <c r="D58" s="31" t="str">
        <f ca="1">IF(ISBLANK(INDIRECT("'Monday REQ'!D52")),"",INDIRECT("'Monday REQ'!D52"))</f>
        <v/>
      </c>
      <c r="E58" s="160" t="str">
        <f ca="1">IF(ISBLANK(INDIRECT("'Monday REQ'!E52")),"",INDIRECT("'Monday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-44550</v>
      </c>
      <c r="AF58" s="267"/>
      <c r="AG58" s="267"/>
      <c r="AH58" s="267"/>
    </row>
    <row r="59" spans="1:34" x14ac:dyDescent="0.25">
      <c r="A59" s="30" t="str">
        <f ca="1">IF(ISBLANK(INDIRECT("'Monday REQ'!A53")),"",INDIRECT("'Monday REQ'!A53"))</f>
        <v/>
      </c>
      <c r="B59" s="30" t="str">
        <f ca="1">IF(ISBLANK(INDIRECT("'Monday REQ'!B53")),"",INDIRECT("'Monday REQ'!B53"))</f>
        <v/>
      </c>
      <c r="C59" s="31" t="str">
        <f ca="1">IF(ISBLANK(INDIRECT("'Monday REQ'!C53")),"",INDIRECT("'Monday REQ'!C53"))</f>
        <v/>
      </c>
      <c r="D59" s="31" t="str">
        <f ca="1">IF(ISBLANK(INDIRECT("'Monday REQ'!D53")),"",INDIRECT("'Monday REQ'!D53"))</f>
        <v/>
      </c>
      <c r="E59" s="160" t="str">
        <f ca="1">IF(ISBLANK(INDIRECT("'Monday REQ'!E53")),"",INDIRECT("'Monday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-44550</v>
      </c>
      <c r="AF59" s="267"/>
      <c r="AG59" s="267"/>
      <c r="AH59" s="267"/>
    </row>
    <row r="60" spans="1:34" x14ac:dyDescent="0.25">
      <c r="A60" s="30" t="str">
        <f ca="1">IF(ISBLANK(INDIRECT("'Monday REQ'!A54")),"",INDIRECT("'Monday REQ'!A54"))</f>
        <v/>
      </c>
      <c r="B60" s="30" t="str">
        <f ca="1">IF(ISBLANK(INDIRECT("'Monday REQ'!B54")),"",INDIRECT("'Monday REQ'!B54"))</f>
        <v/>
      </c>
      <c r="C60" s="31" t="str">
        <f ca="1">IF(ISBLANK(INDIRECT("'Monday REQ'!C54")),"",INDIRECT("'Monday REQ'!C54"))</f>
        <v/>
      </c>
      <c r="D60" s="31" t="str">
        <f ca="1">IF(ISBLANK(INDIRECT("'Monday REQ'!D54")),"",INDIRECT("'Monday REQ'!D54"))</f>
        <v/>
      </c>
      <c r="E60" s="160" t="str">
        <f ca="1">IF(ISBLANK(INDIRECT("'Monday REQ'!E54")),"",INDIRECT("'Monday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-44550</v>
      </c>
      <c r="AF60" s="267"/>
      <c r="AG60" s="267"/>
      <c r="AH60" s="267"/>
    </row>
  </sheetData>
  <sheetProtection algorithmName="SHA-512" hashValue="zVl13wyhSByLO3pIvicNDsXpyxmDDqNspcZxtO3rJlyzFNgsLJS+y2TXfD32UIjNaUnFaNtZ+O7fvqU86jA45A==" saltValue="YAivS3PSG+hjfxvFBGetIw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6:AH56"/>
    <mergeCell ref="AF57:AH57"/>
    <mergeCell ref="AF58:AH58"/>
    <mergeCell ref="AF59:AH59"/>
    <mergeCell ref="AF60:AH60"/>
    <mergeCell ref="AF51:AH51"/>
    <mergeCell ref="AF52:AH52"/>
    <mergeCell ref="AF53:AH53"/>
    <mergeCell ref="AF54:AH54"/>
    <mergeCell ref="AF55:AH55"/>
    <mergeCell ref="AF46:AH46"/>
    <mergeCell ref="AF47:AH47"/>
    <mergeCell ref="AF48:AH48"/>
    <mergeCell ref="AF49:AH49"/>
    <mergeCell ref="AF50:AH50"/>
    <mergeCell ref="AF41:AH41"/>
    <mergeCell ref="AF42:AH42"/>
    <mergeCell ref="AF43:AH43"/>
    <mergeCell ref="AF44:AH44"/>
    <mergeCell ref="AF45:AH45"/>
    <mergeCell ref="AF36:AH36"/>
    <mergeCell ref="AF37:AH37"/>
    <mergeCell ref="AF38:AH38"/>
    <mergeCell ref="AF39:AH39"/>
    <mergeCell ref="AF40:AH40"/>
    <mergeCell ref="AF31:AH31"/>
    <mergeCell ref="AF32:AH32"/>
    <mergeCell ref="AF33:AH33"/>
    <mergeCell ref="AF34:AH34"/>
    <mergeCell ref="AF35:AH35"/>
    <mergeCell ref="AF26:AH26"/>
    <mergeCell ref="AF27:AH27"/>
    <mergeCell ref="AF28:AH28"/>
    <mergeCell ref="AF29:AH29"/>
    <mergeCell ref="AF30:AH30"/>
    <mergeCell ref="AF21:AH21"/>
    <mergeCell ref="AF22:AH22"/>
    <mergeCell ref="AF23:AH23"/>
    <mergeCell ref="AF24:AH24"/>
    <mergeCell ref="AF25:AH25"/>
    <mergeCell ref="AF16:AH16"/>
    <mergeCell ref="AF17:AH17"/>
    <mergeCell ref="AF18:AH18"/>
    <mergeCell ref="AF19:AH19"/>
    <mergeCell ref="AF20:AH20"/>
    <mergeCell ref="AF11:AH11"/>
    <mergeCell ref="AF12:AH12"/>
    <mergeCell ref="AF13:AH13"/>
    <mergeCell ref="AF14:AH14"/>
    <mergeCell ref="AF15:AH15"/>
    <mergeCell ref="AF7:AH8"/>
    <mergeCell ref="AF9:AH9"/>
    <mergeCell ref="AF10:AH10"/>
    <mergeCell ref="M8:P8"/>
    <mergeCell ref="A1:W3"/>
    <mergeCell ref="I4:L4"/>
    <mergeCell ref="A7:E7"/>
    <mergeCell ref="F7:H7"/>
    <mergeCell ref="I7:L7"/>
    <mergeCell ref="S7:Y7"/>
  </mergeCells>
  <conditionalFormatting sqref="I9:L59">
    <cfRule type="expression" dxfId="24" priority="6">
      <formula>IF(Z9=FALSE,1,0)</formula>
    </cfRule>
  </conditionalFormatting>
  <conditionalFormatting sqref="A1:W3">
    <cfRule type="cellIs" dxfId="23" priority="4" operator="equal">
      <formula>"SAFE TO SEND, SHEETS PROTECTED"</formula>
    </cfRule>
  </conditionalFormatting>
  <conditionalFormatting sqref="G10:G60">
    <cfRule type="duplicateValues" dxfId="22" priority="3"/>
  </conditionalFormatting>
  <conditionalFormatting sqref="G9">
    <cfRule type="duplicateValues" dxfId="21" priority="1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'Agency Rates'!$I$1:$I$4</xm:f>
          </x14:formula1>
          <xm:sqref>H9:H11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ues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S9" sqref="S9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Info!B5-4</f>
        <v>44551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208" t="str">
        <f ca="1">IF(ISBLANK(INDIRECT("'Tuesday REQ'!A3")),"",INDIRECT("'Tuesday REQ'!A3"))</f>
        <v/>
      </c>
      <c r="B9" s="208" t="str">
        <f ca="1">IF(ISBLANK(INDIRECT("'Tuesday REQ'!B3")),"",INDIRECT("'Tuesday REQ'!B3"))</f>
        <v/>
      </c>
      <c r="C9" s="209" t="str">
        <f ca="1">IF(ISBLANK(INDIRECT("'Tuesday REQ'!C3")),"",INDIRECT("'Tuesday REQ'!C3"))</f>
        <v/>
      </c>
      <c r="D9" s="209" t="str">
        <f ca="1">IF(ISBLANK(INDIRECT("'Tuesday REQ'!D3")),"",INDIRECT("'Tuesday REQ'!D3"))</f>
        <v/>
      </c>
      <c r="E9" s="212" t="str">
        <f ca="1">IF(ISBLANK(INDIRECT("'Tuesday REQ'!E3")),"",INDIRECT("'Tuesday REQ'!E3"))</f>
        <v/>
      </c>
      <c r="F9" s="193"/>
      <c r="G9" s="191"/>
      <c r="H9" s="191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-44551</v>
      </c>
      <c r="AF9" s="267"/>
      <c r="AG9" s="267"/>
      <c r="AH9" s="267"/>
    </row>
    <row r="10" spans="1:34" x14ac:dyDescent="0.25">
      <c r="A10" s="208" t="str">
        <f ca="1">IF(ISBLANK(INDIRECT("'Tuesday REQ'!A4")),"",INDIRECT("'Tuesday REQ'!A4"))</f>
        <v/>
      </c>
      <c r="B10" s="208" t="str">
        <f ca="1">IF(ISBLANK(INDIRECT("'Tuesday REQ'!B4")),"",INDIRECT("'Tuesday REQ'!B4"))</f>
        <v/>
      </c>
      <c r="C10" s="209" t="str">
        <f ca="1">IF(ISBLANK(INDIRECT("'Tuesday REQ'!C4")),"",INDIRECT("'Tuesday REQ'!C4"))</f>
        <v/>
      </c>
      <c r="D10" s="209" t="str">
        <f ca="1">IF(ISBLANK(INDIRECT("'Tuesday REQ'!D4")),"",INDIRECT("'Tuesday REQ'!D4"))</f>
        <v/>
      </c>
      <c r="E10" s="212" t="str">
        <f ca="1">IF(ISBLANK(INDIRECT("'Tuesday REQ'!E4")),"",INDIRECT("'Tuesday REQ'!E4"))</f>
        <v/>
      </c>
      <c r="F10" s="193"/>
      <c r="G10" s="191"/>
      <c r="H10" s="191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-44551</v>
      </c>
      <c r="AF10" s="267"/>
      <c r="AG10" s="267"/>
      <c r="AH10" s="267"/>
    </row>
    <row r="11" spans="1:34" x14ac:dyDescent="0.25">
      <c r="A11" s="208" t="str">
        <f ca="1">IF(ISBLANK(INDIRECT("'Tuesday REQ'!A5")),"",INDIRECT("'Tuesday REQ'!A5"))</f>
        <v/>
      </c>
      <c r="B11" s="208" t="str">
        <f ca="1">IF(ISBLANK(INDIRECT("'Tuesday REQ'!B5")),"",INDIRECT("'Tuesday REQ'!B5"))</f>
        <v/>
      </c>
      <c r="C11" s="209" t="str">
        <f ca="1">IF(ISBLANK(INDIRECT("'Tuesday REQ'!C5")),"",INDIRECT("'Tuesday REQ'!C5"))</f>
        <v/>
      </c>
      <c r="D11" s="209" t="str">
        <f ca="1">IF(ISBLANK(INDIRECT("'Tuesday REQ'!D5")),"",INDIRECT("'Tuesday REQ'!D5"))</f>
        <v/>
      </c>
      <c r="E11" s="212" t="str">
        <f ca="1">IF(ISBLANK(INDIRECT("'Tuesday REQ'!E5")),"",INDIRECT("'Tuesday REQ'!E5"))</f>
        <v/>
      </c>
      <c r="F11" s="193"/>
      <c r="G11" s="191"/>
      <c r="H11" s="191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-44551</v>
      </c>
      <c r="AF11" s="267"/>
      <c r="AG11" s="267"/>
      <c r="AH11" s="267"/>
    </row>
    <row r="12" spans="1:34" x14ac:dyDescent="0.25">
      <c r="A12" s="208" t="str">
        <f ca="1">IF(ISBLANK(INDIRECT("'Tuesday REQ'!A6")),"",INDIRECT("'Tuesday REQ'!A6"))</f>
        <v/>
      </c>
      <c r="B12" s="208" t="str">
        <f ca="1">IF(ISBLANK(INDIRECT("'Tuesday REQ'!B6")),"",INDIRECT("'Tuesday REQ'!B6"))</f>
        <v/>
      </c>
      <c r="C12" s="209" t="str">
        <f ca="1">IF(ISBLANK(INDIRECT("'Tuesday REQ'!C6")),"",INDIRECT("'Tuesday REQ'!C6"))</f>
        <v/>
      </c>
      <c r="D12" s="209" t="str">
        <f ca="1">IF(ISBLANK(INDIRECT("'Tuesday REQ'!D6")),"",INDIRECT("'Tuesday REQ'!D6"))</f>
        <v/>
      </c>
      <c r="E12" s="212" t="str">
        <f ca="1">IF(ISBLANK(INDIRECT("'Tuesday REQ'!E6")),"",INDIRECT("'Tuesday REQ'!E6"))</f>
        <v/>
      </c>
      <c r="F12" s="193"/>
      <c r="G12" s="191"/>
      <c r="H12" s="191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-44551</v>
      </c>
      <c r="AF12" s="267"/>
      <c r="AG12" s="267"/>
      <c r="AH12" s="267"/>
    </row>
    <row r="13" spans="1:34" x14ac:dyDescent="0.25">
      <c r="A13" s="208" t="str">
        <f ca="1">IF(ISBLANK(INDIRECT("'Tuesday REQ'!A7")),"",INDIRECT("'Tuesday REQ'!A7"))</f>
        <v/>
      </c>
      <c r="B13" s="208" t="str">
        <f ca="1">IF(ISBLANK(INDIRECT("'Tuesday REQ'!B7")),"",INDIRECT("'Tuesday REQ'!B7"))</f>
        <v/>
      </c>
      <c r="C13" s="209" t="str">
        <f ca="1">IF(ISBLANK(INDIRECT("'Tuesday REQ'!C7")),"",INDIRECT("'Tuesday REQ'!C7"))</f>
        <v/>
      </c>
      <c r="D13" s="209" t="str">
        <f ca="1">IF(ISBLANK(INDIRECT("'Tuesday REQ'!D7")),"",INDIRECT("'Tuesday REQ'!D7"))</f>
        <v/>
      </c>
      <c r="E13" s="212" t="str">
        <f ca="1">IF(ISBLANK(INDIRECT("'Tuesday REQ'!E7")),"",INDIRECT("'Tuesday REQ'!E7"))</f>
        <v/>
      </c>
      <c r="F13" s="193"/>
      <c r="G13" s="192"/>
      <c r="H13" s="191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-44551</v>
      </c>
      <c r="AF13" s="267"/>
      <c r="AG13" s="267"/>
      <c r="AH13" s="267"/>
    </row>
    <row r="14" spans="1:34" x14ac:dyDescent="0.25">
      <c r="A14" s="208" t="str">
        <f ca="1">IF(ISBLANK(INDIRECT("'Tuesday REQ'!A8")),"",INDIRECT("'Tuesday REQ'!A8"))</f>
        <v/>
      </c>
      <c r="B14" s="208" t="str">
        <f ca="1">IF(ISBLANK(INDIRECT("'Tuesday REQ'!B8")),"",INDIRECT("'Tuesday REQ'!B8"))</f>
        <v/>
      </c>
      <c r="C14" s="209" t="str">
        <f ca="1">IF(ISBLANK(INDIRECT("'Tuesday REQ'!C8")),"",INDIRECT("'Tuesday REQ'!C8"))</f>
        <v/>
      </c>
      <c r="D14" s="209" t="str">
        <f ca="1">IF(ISBLANK(INDIRECT("'Tuesday REQ'!D8")),"",INDIRECT("'Tuesday REQ'!D8"))</f>
        <v/>
      </c>
      <c r="E14" s="212" t="str">
        <f ca="1">IF(ISBLANK(INDIRECT("'Tuesday REQ'!E8")),"",INDIRECT("'Tuesday REQ'!E8"))</f>
        <v/>
      </c>
      <c r="F14" s="193"/>
      <c r="G14" s="191"/>
      <c r="H14" s="191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-44551</v>
      </c>
      <c r="AF14" s="267"/>
      <c r="AG14" s="267"/>
      <c r="AH14" s="267"/>
    </row>
    <row r="15" spans="1:34" x14ac:dyDescent="0.25">
      <c r="A15" s="208" t="str">
        <f ca="1">IF(ISBLANK(INDIRECT("'Tuesday REQ'!A9")),"",INDIRECT("'Tuesday REQ'!A9"))</f>
        <v/>
      </c>
      <c r="B15" s="208" t="str">
        <f ca="1">IF(ISBLANK(INDIRECT("'Tuesday REQ'!B9")),"",INDIRECT("'Tuesday REQ'!B9"))</f>
        <v/>
      </c>
      <c r="C15" s="209" t="str">
        <f ca="1">IF(ISBLANK(INDIRECT("'Tuesday REQ'!C9")),"",INDIRECT("'Tuesday REQ'!C9"))</f>
        <v/>
      </c>
      <c r="D15" s="209" t="str">
        <f ca="1">IF(ISBLANK(INDIRECT("'Tuesday REQ'!D9")),"",INDIRECT("'Tuesday REQ'!D9"))</f>
        <v/>
      </c>
      <c r="E15" s="212" t="str">
        <f ca="1">IF(ISBLANK(INDIRECT("'Tuesday REQ'!E9")),"",INDIRECT("'Tuesday REQ'!E9"))</f>
        <v/>
      </c>
      <c r="F15" s="193"/>
      <c r="G15" s="191"/>
      <c r="H15" s="191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-44551</v>
      </c>
      <c r="AF15" s="267"/>
      <c r="AG15" s="267"/>
      <c r="AH15" s="267"/>
    </row>
    <row r="16" spans="1:34" x14ac:dyDescent="0.25">
      <c r="A16" s="208" t="str">
        <f ca="1">IF(ISBLANK(INDIRECT("'Tuesday REQ'!A10")),"",INDIRECT("'Tuesday REQ'!A10"))</f>
        <v/>
      </c>
      <c r="B16" s="208" t="str">
        <f ca="1">IF(ISBLANK(INDIRECT("'Tuesday REQ'!B10")),"",INDIRECT("'Tuesday REQ'!B10"))</f>
        <v/>
      </c>
      <c r="C16" s="209" t="str">
        <f ca="1">IF(ISBLANK(INDIRECT("'Tuesday REQ'!C10")),"",INDIRECT("'Tuesday REQ'!C10"))</f>
        <v/>
      </c>
      <c r="D16" s="209" t="str">
        <f ca="1">IF(ISBLANK(INDIRECT("'Tuesday REQ'!D10")),"",INDIRECT("'Tuesday REQ'!D10"))</f>
        <v/>
      </c>
      <c r="E16" s="212" t="str">
        <f ca="1">IF(ISBLANK(INDIRECT("'Tuesday REQ'!E10")),"",INDIRECT("'Tuesday REQ'!E10"))</f>
        <v/>
      </c>
      <c r="F16" s="193"/>
      <c r="G16" s="192"/>
      <c r="H16" s="191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-44551</v>
      </c>
      <c r="AF16" s="267"/>
      <c r="AG16" s="267"/>
      <c r="AH16" s="267"/>
    </row>
    <row r="17" spans="1:34" x14ac:dyDescent="0.25">
      <c r="A17" s="208" t="str">
        <f ca="1">IF(ISBLANK(INDIRECT("'Tuesday REQ'!A11")),"",INDIRECT("'Tuesday REQ'!A11"))</f>
        <v/>
      </c>
      <c r="B17" s="208" t="str">
        <f ca="1">IF(ISBLANK(INDIRECT("'Tuesday REQ'!B11")),"",INDIRECT("'Tuesday REQ'!B11"))</f>
        <v/>
      </c>
      <c r="C17" s="209" t="str">
        <f ca="1">IF(ISBLANK(INDIRECT("'Tuesday REQ'!C11")),"",INDIRECT("'Tuesday REQ'!C11"))</f>
        <v/>
      </c>
      <c r="D17" s="209" t="str">
        <f ca="1">IF(ISBLANK(INDIRECT("'Tuesday REQ'!D11")),"",INDIRECT("'Tuesday REQ'!D11"))</f>
        <v/>
      </c>
      <c r="E17" s="212" t="str">
        <f ca="1">IF(ISBLANK(INDIRECT("'Tuesday REQ'!E11")),"",INDIRECT("'Tuesday REQ'!E11"))</f>
        <v/>
      </c>
      <c r="F17" s="161"/>
      <c r="G17" s="32"/>
      <c r="H17" s="210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-44551</v>
      </c>
      <c r="AF17" s="267"/>
      <c r="AG17" s="267"/>
      <c r="AH17" s="267"/>
    </row>
    <row r="18" spans="1:34" x14ac:dyDescent="0.25">
      <c r="A18" s="208" t="str">
        <f ca="1">IF(ISBLANK(INDIRECT("'Tuesday REQ'!A12")),"",INDIRECT("'Tuesday REQ'!A12"))</f>
        <v/>
      </c>
      <c r="B18" s="208" t="str">
        <f ca="1">IF(ISBLANK(INDIRECT("'Tuesday REQ'!B12")),"",INDIRECT("'Tuesday REQ'!B12"))</f>
        <v/>
      </c>
      <c r="C18" s="209" t="str">
        <f ca="1">IF(ISBLANK(INDIRECT("'Tuesday REQ'!C12")),"",INDIRECT("'Tuesday REQ'!C12"))</f>
        <v/>
      </c>
      <c r="D18" s="209" t="str">
        <f ca="1">IF(ISBLANK(INDIRECT("'Tuesday REQ'!D12")),"",INDIRECT("'Tuesday REQ'!D12"))</f>
        <v/>
      </c>
      <c r="E18" s="212" t="str">
        <f ca="1">IF(ISBLANK(INDIRECT("'Tuesday REQ'!E12")),"",INDIRECT("'Tuesday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-44551</v>
      </c>
      <c r="AF18" s="267"/>
      <c r="AG18" s="267"/>
      <c r="AH18" s="267"/>
    </row>
    <row r="19" spans="1:34" x14ac:dyDescent="0.25">
      <c r="A19" s="208" t="str">
        <f ca="1">IF(ISBLANK(INDIRECT("'Tuesday REQ'!A13")),"",INDIRECT("'Tuesday REQ'!A13"))</f>
        <v/>
      </c>
      <c r="B19" s="208" t="str">
        <f ca="1">IF(ISBLANK(INDIRECT("'Tuesday REQ'!B13")),"",INDIRECT("'Tuesday REQ'!B13"))</f>
        <v/>
      </c>
      <c r="C19" s="209" t="str">
        <f ca="1">IF(ISBLANK(INDIRECT("'Tuesday REQ'!C13")),"",INDIRECT("'Tuesday REQ'!C13"))</f>
        <v/>
      </c>
      <c r="D19" s="209" t="str">
        <f ca="1">IF(ISBLANK(INDIRECT("'Tuesday REQ'!D13")),"",INDIRECT("'Tuesday REQ'!D13"))</f>
        <v/>
      </c>
      <c r="E19" s="212" t="str">
        <f ca="1">IF(ISBLANK(INDIRECT("'Tuesday REQ'!E13")),"",INDIRECT("'Tuesday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-44551</v>
      </c>
      <c r="AF19" s="267"/>
      <c r="AG19" s="267"/>
      <c r="AH19" s="267"/>
    </row>
    <row r="20" spans="1:34" x14ac:dyDescent="0.25">
      <c r="A20" s="208" t="str">
        <f ca="1">IF(ISBLANK(INDIRECT("'Tuesday REQ'!A14")),"",INDIRECT("'Tuesday REQ'!A14"))</f>
        <v/>
      </c>
      <c r="B20" s="208" t="str">
        <f ca="1">IF(ISBLANK(INDIRECT("'Tuesday REQ'!B14")),"",INDIRECT("'Tuesday REQ'!B14"))</f>
        <v/>
      </c>
      <c r="C20" s="209" t="str">
        <f ca="1">IF(ISBLANK(INDIRECT("'Tuesday REQ'!C14")),"",INDIRECT("'Tuesday REQ'!C14"))</f>
        <v/>
      </c>
      <c r="D20" s="209" t="str">
        <f ca="1">IF(ISBLANK(INDIRECT("'Tuesday REQ'!D14")),"",INDIRECT("'Tuesday REQ'!D14"))</f>
        <v/>
      </c>
      <c r="E20" s="212" t="str">
        <f ca="1">IF(ISBLANK(INDIRECT("'Tuesday REQ'!E14")),"",INDIRECT("'Tuesday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-44551</v>
      </c>
      <c r="AF20" s="267"/>
      <c r="AG20" s="267"/>
      <c r="AH20" s="267"/>
    </row>
    <row r="21" spans="1:34" x14ac:dyDescent="0.25">
      <c r="A21" s="208" t="str">
        <f ca="1">IF(ISBLANK(INDIRECT("'Tuesday REQ'!A15")),"",INDIRECT("'Tuesday REQ'!A15"))</f>
        <v/>
      </c>
      <c r="B21" s="208" t="str">
        <f ca="1">IF(ISBLANK(INDIRECT("'Tuesday REQ'!B15")),"",INDIRECT("'Tuesday REQ'!B15"))</f>
        <v/>
      </c>
      <c r="C21" s="209" t="str">
        <f ca="1">IF(ISBLANK(INDIRECT("'Tuesday REQ'!C15")),"",INDIRECT("'Tuesday REQ'!C15"))</f>
        <v/>
      </c>
      <c r="D21" s="209" t="str">
        <f ca="1">IF(ISBLANK(INDIRECT("'Tuesday REQ'!D15")),"",INDIRECT("'Tuesday REQ'!D15"))</f>
        <v/>
      </c>
      <c r="E21" s="212" t="str">
        <f ca="1">IF(ISBLANK(INDIRECT("'Tuesday REQ'!E15")),"",INDIRECT("'Tuesday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-44551</v>
      </c>
      <c r="AF21" s="267"/>
      <c r="AG21" s="267"/>
      <c r="AH21" s="267"/>
    </row>
    <row r="22" spans="1:34" x14ac:dyDescent="0.25">
      <c r="A22" s="208" t="str">
        <f ca="1">IF(ISBLANK(INDIRECT("'Tuesday REQ'!A16")),"",INDIRECT("'Tuesday REQ'!A16"))</f>
        <v/>
      </c>
      <c r="B22" s="208" t="str">
        <f ca="1">IF(ISBLANK(INDIRECT("'Tuesday REQ'!B16")),"",INDIRECT("'Tuesday REQ'!B16"))</f>
        <v/>
      </c>
      <c r="C22" s="209" t="str">
        <f ca="1">IF(ISBLANK(INDIRECT("'Tuesday REQ'!C16")),"",INDIRECT("'Tuesday REQ'!C16"))</f>
        <v/>
      </c>
      <c r="D22" s="209" t="str">
        <f ca="1">IF(ISBLANK(INDIRECT("'Tuesday REQ'!D16")),"",INDIRECT("'Tuesday REQ'!D16"))</f>
        <v/>
      </c>
      <c r="E22" s="212" t="str">
        <f ca="1">IF(ISBLANK(INDIRECT("'Tuesday REQ'!E16")),"",INDIRECT("'Tuesday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-44551</v>
      </c>
      <c r="AF22" s="267"/>
      <c r="AG22" s="267"/>
      <c r="AH22" s="267"/>
    </row>
    <row r="23" spans="1:34" x14ac:dyDescent="0.25">
      <c r="A23" s="208" t="str">
        <f ca="1">IF(ISBLANK(INDIRECT("'Tuesday REQ'!A17")),"",INDIRECT("'Tuesday REQ'!A17"))</f>
        <v/>
      </c>
      <c r="B23" s="208" t="str">
        <f ca="1">IF(ISBLANK(INDIRECT("'Tuesday REQ'!B17")),"",INDIRECT("'Tuesday REQ'!B17"))</f>
        <v/>
      </c>
      <c r="C23" s="209" t="str">
        <f ca="1">IF(ISBLANK(INDIRECT("'Tuesday REQ'!C17")),"",INDIRECT("'Tuesday REQ'!C17"))</f>
        <v/>
      </c>
      <c r="D23" s="209" t="str">
        <f ca="1">IF(ISBLANK(INDIRECT("'Tuesday REQ'!D17")),"",INDIRECT("'Tuesday REQ'!D17"))</f>
        <v/>
      </c>
      <c r="E23" s="212" t="str">
        <f ca="1">IF(ISBLANK(INDIRECT("'Tuesday REQ'!E17")),"",INDIRECT("'Tuesday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-44551</v>
      </c>
      <c r="AF23" s="267"/>
      <c r="AG23" s="267"/>
      <c r="AH23" s="267"/>
    </row>
    <row r="24" spans="1:34" x14ac:dyDescent="0.25">
      <c r="A24" s="208" t="str">
        <f ca="1">IF(ISBLANK(INDIRECT("'Tuesday REQ'!A18")),"",INDIRECT("'Tuesday REQ'!A18"))</f>
        <v/>
      </c>
      <c r="B24" s="208" t="str">
        <f ca="1">IF(ISBLANK(INDIRECT("'Tuesday REQ'!B18")),"",INDIRECT("'Tuesday REQ'!B18"))</f>
        <v/>
      </c>
      <c r="C24" s="209" t="str">
        <f ca="1">IF(ISBLANK(INDIRECT("'Tuesday REQ'!C18")),"",INDIRECT("'Tuesday REQ'!C18"))</f>
        <v/>
      </c>
      <c r="D24" s="209" t="str">
        <f ca="1">IF(ISBLANK(INDIRECT("'Tuesday REQ'!D18")),"",INDIRECT("'Tuesday REQ'!D18"))</f>
        <v/>
      </c>
      <c r="E24" s="212" t="str">
        <f ca="1">IF(ISBLANK(INDIRECT("'Tuesday REQ'!E18")),"",INDIRECT("'Tuesday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-44551</v>
      </c>
      <c r="AF24" s="267"/>
      <c r="AG24" s="267"/>
      <c r="AH24" s="267"/>
    </row>
    <row r="25" spans="1:34" x14ac:dyDescent="0.25">
      <c r="A25" s="208" t="str">
        <f ca="1">IF(ISBLANK(INDIRECT("'Tuesday REQ'!A19")),"",INDIRECT("'Tuesday REQ'!A19"))</f>
        <v/>
      </c>
      <c r="B25" s="208" t="str">
        <f ca="1">IF(ISBLANK(INDIRECT("'Tuesday REQ'!B19")),"",INDIRECT("'Tuesday REQ'!B19"))</f>
        <v/>
      </c>
      <c r="C25" s="209" t="str">
        <f ca="1">IF(ISBLANK(INDIRECT("'Tuesday REQ'!C19")),"",INDIRECT("'Tuesday REQ'!C19"))</f>
        <v/>
      </c>
      <c r="D25" s="209" t="str">
        <f ca="1">IF(ISBLANK(INDIRECT("'Tuesday REQ'!D19")),"",INDIRECT("'Tuesday REQ'!D19"))</f>
        <v/>
      </c>
      <c r="E25" s="212" t="str">
        <f ca="1">IF(ISBLANK(INDIRECT("'Tuesday REQ'!E19")),"",INDIRECT("'Tuesday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-44551</v>
      </c>
      <c r="AF25" s="267"/>
      <c r="AG25" s="267"/>
      <c r="AH25" s="267"/>
    </row>
    <row r="26" spans="1:34" x14ac:dyDescent="0.25">
      <c r="A26" s="30" t="str">
        <f ca="1">IF(ISBLANK(INDIRECT("'Tuesday REQ'!A20")),"",INDIRECT("'Tuesday REQ'!A20"))</f>
        <v/>
      </c>
      <c r="B26" s="30" t="str">
        <f ca="1">IF(ISBLANK(INDIRECT("'Tuesday REQ'!B20")),"",INDIRECT("'Tuesday REQ'!B20"))</f>
        <v/>
      </c>
      <c r="C26" s="31" t="str">
        <f ca="1">IF(ISBLANK(INDIRECT("'Tuesday REQ'!C20")),"",INDIRECT("'Tuesday REQ'!C20"))</f>
        <v/>
      </c>
      <c r="D26" s="31" t="str">
        <f ca="1">IF(ISBLANK(INDIRECT("'Tuesday REQ'!D20")),"",INDIRECT("'Tuesday REQ'!D20"))</f>
        <v/>
      </c>
      <c r="E26" s="160" t="str">
        <f ca="1">IF(ISBLANK(INDIRECT("'Tuesday REQ'!E20")),"",INDIRECT("'Tuesday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-44551</v>
      </c>
      <c r="AF26" s="267"/>
      <c r="AG26" s="267"/>
      <c r="AH26" s="267"/>
    </row>
    <row r="27" spans="1:34" x14ac:dyDescent="0.25">
      <c r="A27" s="30" t="str">
        <f ca="1">IF(ISBLANK(INDIRECT("'Tuesday REQ'!A21")),"",INDIRECT("'Tuesday REQ'!A21"))</f>
        <v/>
      </c>
      <c r="B27" s="30" t="str">
        <f ca="1">IF(ISBLANK(INDIRECT("'Tuesday REQ'!B21")),"",INDIRECT("'Tuesday REQ'!B21"))</f>
        <v/>
      </c>
      <c r="C27" s="31" t="str">
        <f ca="1">IF(ISBLANK(INDIRECT("'Tuesday REQ'!C21")),"",INDIRECT("'Tuesday REQ'!C21"))</f>
        <v/>
      </c>
      <c r="D27" s="31" t="str">
        <f ca="1">IF(ISBLANK(INDIRECT("'Tuesday REQ'!D21")),"",INDIRECT("'Tuesday REQ'!D21"))</f>
        <v/>
      </c>
      <c r="E27" s="160" t="str">
        <f ca="1">IF(ISBLANK(INDIRECT("'Tuesday REQ'!E21")),"",INDIRECT("'Tuesday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-44551</v>
      </c>
      <c r="AF27" s="267"/>
      <c r="AG27" s="267"/>
      <c r="AH27" s="267"/>
    </row>
    <row r="28" spans="1:34" x14ac:dyDescent="0.25">
      <c r="A28" s="30" t="str">
        <f ca="1">IF(ISBLANK(INDIRECT("'Tuesday REQ'!A22")),"",INDIRECT("'Tuesday REQ'!A22"))</f>
        <v/>
      </c>
      <c r="B28" s="30" t="str">
        <f ca="1">IF(ISBLANK(INDIRECT("'Tuesday REQ'!B22")),"",INDIRECT("'Tuesday REQ'!B22"))</f>
        <v/>
      </c>
      <c r="C28" s="31" t="str">
        <f ca="1">IF(ISBLANK(INDIRECT("'Tuesday REQ'!C22")),"",INDIRECT("'Tuesday REQ'!C22"))</f>
        <v/>
      </c>
      <c r="D28" s="31" t="str">
        <f ca="1">IF(ISBLANK(INDIRECT("'Tuesday REQ'!D22")),"",INDIRECT("'Tuesday REQ'!D22"))</f>
        <v/>
      </c>
      <c r="E28" s="160" t="str">
        <f ca="1">IF(ISBLANK(INDIRECT("'Tuesday REQ'!E22")),"",INDIRECT("'Tuesday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-44551</v>
      </c>
      <c r="AF28" s="267"/>
      <c r="AG28" s="267"/>
      <c r="AH28" s="267"/>
    </row>
    <row r="29" spans="1:34" x14ac:dyDescent="0.25">
      <c r="A29" s="30" t="str">
        <f ca="1">IF(ISBLANK(INDIRECT("'Tuesday REQ'!A23")),"",INDIRECT("'Tuesday REQ'!A23"))</f>
        <v/>
      </c>
      <c r="B29" s="30" t="str">
        <f ca="1">IF(ISBLANK(INDIRECT("'Tuesday REQ'!B23")),"",INDIRECT("'Tuesday REQ'!B23"))</f>
        <v/>
      </c>
      <c r="C29" s="31" t="str">
        <f ca="1">IF(ISBLANK(INDIRECT("'Tuesday REQ'!C23")),"",INDIRECT("'Tuesday REQ'!C23"))</f>
        <v/>
      </c>
      <c r="D29" s="31" t="str">
        <f ca="1">IF(ISBLANK(INDIRECT("'Tuesday REQ'!D23")),"",INDIRECT("'Tuesday REQ'!D23"))</f>
        <v/>
      </c>
      <c r="E29" s="160" t="str">
        <f ca="1">IF(ISBLANK(INDIRECT("'Tuesday REQ'!E23")),"",INDIRECT("'Tuesday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-44551</v>
      </c>
      <c r="AF29" s="267"/>
      <c r="AG29" s="267"/>
      <c r="AH29" s="267"/>
    </row>
    <row r="30" spans="1:34" x14ac:dyDescent="0.25">
      <c r="A30" s="30" t="str">
        <f ca="1">IF(ISBLANK(INDIRECT("'Tuesday REQ'!A24")),"",INDIRECT("'Tuesday REQ'!A24"))</f>
        <v/>
      </c>
      <c r="B30" s="30" t="str">
        <f ca="1">IF(ISBLANK(INDIRECT("'Tuesday REQ'!B24")),"",INDIRECT("'Tuesday REQ'!B24"))</f>
        <v/>
      </c>
      <c r="C30" s="31" t="str">
        <f ca="1">IF(ISBLANK(INDIRECT("'Tuesday REQ'!C24")),"",INDIRECT("'Tuesday REQ'!C24"))</f>
        <v/>
      </c>
      <c r="D30" s="31" t="str">
        <f ca="1">IF(ISBLANK(INDIRECT("'Tuesday REQ'!D24")),"",INDIRECT("'Tuesday REQ'!D24"))</f>
        <v/>
      </c>
      <c r="E30" s="160" t="str">
        <f ca="1">IF(ISBLANK(INDIRECT("'Tuesday REQ'!E24")),"",INDIRECT("'Tuesday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-44551</v>
      </c>
      <c r="AF30" s="267"/>
      <c r="AG30" s="267"/>
      <c r="AH30" s="267"/>
    </row>
    <row r="31" spans="1:34" x14ac:dyDescent="0.25">
      <c r="A31" s="30" t="str">
        <f ca="1">IF(ISBLANK(INDIRECT("'Tuesday REQ'!A25")),"",INDIRECT("'Tuesday REQ'!A25"))</f>
        <v/>
      </c>
      <c r="B31" s="30" t="str">
        <f ca="1">IF(ISBLANK(INDIRECT("'Tuesday REQ'!B25")),"",INDIRECT("'Tuesday REQ'!B25"))</f>
        <v/>
      </c>
      <c r="C31" s="31" t="str">
        <f ca="1">IF(ISBLANK(INDIRECT("'Tuesday REQ'!C25")),"",INDIRECT("'Tuesday REQ'!C25"))</f>
        <v/>
      </c>
      <c r="D31" s="31" t="str">
        <f ca="1">IF(ISBLANK(INDIRECT("'Tuesday REQ'!D25")),"",INDIRECT("'Tuesday REQ'!D25"))</f>
        <v/>
      </c>
      <c r="E31" s="160" t="str">
        <f ca="1">IF(ISBLANK(INDIRECT("'Tuesday REQ'!E25")),"",INDIRECT("'Tuesday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-44551</v>
      </c>
      <c r="AF31" s="267"/>
      <c r="AG31" s="267"/>
      <c r="AH31" s="267"/>
    </row>
    <row r="32" spans="1:34" x14ac:dyDescent="0.25">
      <c r="A32" s="30" t="str">
        <f ca="1">IF(ISBLANK(INDIRECT("'Tuesday REQ'!A26")),"",INDIRECT("'Tuesday REQ'!A26"))</f>
        <v/>
      </c>
      <c r="B32" s="30" t="str">
        <f ca="1">IF(ISBLANK(INDIRECT("'Tuesday REQ'!B26")),"",INDIRECT("'Tuesday REQ'!B26"))</f>
        <v/>
      </c>
      <c r="C32" s="31" t="str">
        <f ca="1">IF(ISBLANK(INDIRECT("'Tuesday REQ'!C26")),"",INDIRECT("'Tuesday REQ'!C26"))</f>
        <v/>
      </c>
      <c r="D32" s="31" t="str">
        <f ca="1">IF(ISBLANK(INDIRECT("'Tuesday REQ'!D26")),"",INDIRECT("'Tuesday REQ'!D26"))</f>
        <v/>
      </c>
      <c r="E32" s="160" t="str">
        <f ca="1">IF(ISBLANK(INDIRECT("'Tuesday REQ'!E26")),"",INDIRECT("'Tuesday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-44551</v>
      </c>
      <c r="AF32" s="267"/>
      <c r="AG32" s="267"/>
      <c r="AH32" s="267"/>
    </row>
    <row r="33" spans="1:34" x14ac:dyDescent="0.25">
      <c r="A33" s="30" t="str">
        <f ca="1">IF(ISBLANK(INDIRECT("'Tuesday REQ'!A27")),"",INDIRECT("'Tuesday REQ'!A27"))</f>
        <v/>
      </c>
      <c r="B33" s="30" t="str">
        <f ca="1">IF(ISBLANK(INDIRECT("'Tuesday REQ'!B27")),"",INDIRECT("'Tuesday REQ'!B27"))</f>
        <v/>
      </c>
      <c r="C33" s="31" t="str">
        <f ca="1">IF(ISBLANK(INDIRECT("'Tuesday REQ'!C27")),"",INDIRECT("'Tuesday REQ'!C27"))</f>
        <v/>
      </c>
      <c r="D33" s="31" t="str">
        <f ca="1">IF(ISBLANK(INDIRECT("'Tuesday REQ'!D27")),"",INDIRECT("'Tuesday REQ'!D27"))</f>
        <v/>
      </c>
      <c r="E33" s="160" t="str">
        <f ca="1">IF(ISBLANK(INDIRECT("'Tuesday REQ'!E27")),"",INDIRECT("'Tuesday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-44551</v>
      </c>
      <c r="AF33" s="267"/>
      <c r="AG33" s="267"/>
      <c r="AH33" s="267"/>
    </row>
    <row r="34" spans="1:34" x14ac:dyDescent="0.25">
      <c r="A34" s="30" t="str">
        <f ca="1">IF(ISBLANK(INDIRECT("'Tuesday REQ'!A28")),"",INDIRECT("'Tuesday REQ'!A28"))</f>
        <v/>
      </c>
      <c r="B34" s="30" t="str">
        <f ca="1">IF(ISBLANK(INDIRECT("'Tuesday REQ'!B28")),"",INDIRECT("'Tuesday REQ'!B28"))</f>
        <v/>
      </c>
      <c r="C34" s="31" t="str">
        <f ca="1">IF(ISBLANK(INDIRECT("'Tuesday REQ'!C28")),"",INDIRECT("'Tuesday REQ'!C28"))</f>
        <v/>
      </c>
      <c r="D34" s="31" t="str">
        <f ca="1">IF(ISBLANK(INDIRECT("'Tuesday REQ'!D28")),"",INDIRECT("'Tuesday REQ'!D28"))</f>
        <v/>
      </c>
      <c r="E34" s="160" t="str">
        <f ca="1">IF(ISBLANK(INDIRECT("'Tuesday REQ'!E28")),"",INDIRECT("'Tuesday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-44551</v>
      </c>
      <c r="AF34" s="267"/>
      <c r="AG34" s="267"/>
      <c r="AH34" s="267"/>
    </row>
    <row r="35" spans="1:34" x14ac:dyDescent="0.25">
      <c r="A35" s="30" t="str">
        <f ca="1">IF(ISBLANK(INDIRECT("'Tuesday REQ'!A29")),"",INDIRECT("'Tuesday REQ'!A29"))</f>
        <v/>
      </c>
      <c r="B35" s="30" t="str">
        <f ca="1">IF(ISBLANK(INDIRECT("'Tuesday REQ'!B29")),"",INDIRECT("'Tuesday REQ'!B29"))</f>
        <v/>
      </c>
      <c r="C35" s="31" t="str">
        <f ca="1">IF(ISBLANK(INDIRECT("'Tuesday REQ'!C29")),"",INDIRECT("'Tuesday REQ'!C29"))</f>
        <v/>
      </c>
      <c r="D35" s="31" t="str">
        <f ca="1">IF(ISBLANK(INDIRECT("'Tuesday REQ'!D29")),"",INDIRECT("'Tuesday REQ'!D29"))</f>
        <v/>
      </c>
      <c r="E35" s="160" t="str">
        <f ca="1">IF(ISBLANK(INDIRECT("'Tuesday REQ'!E29")),"",INDIRECT("'Tuesday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-44551</v>
      </c>
      <c r="AF35" s="267"/>
      <c r="AG35" s="267"/>
      <c r="AH35" s="267"/>
    </row>
    <row r="36" spans="1:34" x14ac:dyDescent="0.25">
      <c r="A36" s="30" t="str">
        <f ca="1">IF(ISBLANK(INDIRECT("'Tuesday REQ'!A30")),"",INDIRECT("'Tuesday REQ'!A30"))</f>
        <v/>
      </c>
      <c r="B36" s="30" t="str">
        <f ca="1">IF(ISBLANK(INDIRECT("'Tuesday REQ'!B30")),"",INDIRECT("'Tuesday REQ'!B30"))</f>
        <v/>
      </c>
      <c r="C36" s="31" t="str">
        <f ca="1">IF(ISBLANK(INDIRECT("'Tuesday REQ'!C30")),"",INDIRECT("'Tuesday REQ'!C30"))</f>
        <v/>
      </c>
      <c r="D36" s="31" t="str">
        <f ca="1">IF(ISBLANK(INDIRECT("'Tuesday REQ'!D30")),"",INDIRECT("'Tuesday REQ'!D30"))</f>
        <v/>
      </c>
      <c r="E36" s="160" t="str">
        <f ca="1">IF(ISBLANK(INDIRECT("'Tuesday REQ'!E30")),"",INDIRECT("'Tuesday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-44551</v>
      </c>
      <c r="AF36" s="267"/>
      <c r="AG36" s="267"/>
      <c r="AH36" s="267"/>
    </row>
    <row r="37" spans="1:34" x14ac:dyDescent="0.25">
      <c r="A37" s="30" t="str">
        <f ca="1">IF(ISBLANK(INDIRECT("'Tuesday REQ'!A31")),"",INDIRECT("'Tuesday REQ'!A31"))</f>
        <v/>
      </c>
      <c r="B37" s="30" t="str">
        <f ca="1">IF(ISBLANK(INDIRECT("'Tuesday REQ'!B31")),"",INDIRECT("'Tuesday REQ'!B31"))</f>
        <v/>
      </c>
      <c r="C37" s="31" t="str">
        <f ca="1">IF(ISBLANK(INDIRECT("'Tuesday REQ'!C31")),"",INDIRECT("'Tuesday REQ'!C31"))</f>
        <v/>
      </c>
      <c r="D37" s="31" t="str">
        <f ca="1">IF(ISBLANK(INDIRECT("'Tuesday REQ'!D31")),"",INDIRECT("'Tuesday REQ'!D31"))</f>
        <v/>
      </c>
      <c r="E37" s="160" t="str">
        <f ca="1">IF(ISBLANK(INDIRECT("'Tuesday REQ'!E31")),"",INDIRECT("'Tuesday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-44551</v>
      </c>
      <c r="AF37" s="267"/>
      <c r="AG37" s="267"/>
      <c r="AH37" s="267"/>
    </row>
    <row r="38" spans="1:34" x14ac:dyDescent="0.25">
      <c r="A38" s="30" t="str">
        <f ca="1">IF(ISBLANK(INDIRECT("'Tuesday REQ'!A32")),"",INDIRECT("'Tuesday REQ'!A32"))</f>
        <v/>
      </c>
      <c r="B38" s="30" t="str">
        <f ca="1">IF(ISBLANK(INDIRECT("'Tuesday REQ'!B32")),"",INDIRECT("'Tuesday REQ'!B32"))</f>
        <v/>
      </c>
      <c r="C38" s="31" t="str">
        <f ca="1">IF(ISBLANK(INDIRECT("'Tuesday REQ'!C32")),"",INDIRECT("'Tuesday REQ'!C32"))</f>
        <v/>
      </c>
      <c r="D38" s="31" t="str">
        <f ca="1">IF(ISBLANK(INDIRECT("'Tuesday REQ'!D32")),"",INDIRECT("'Tuesday REQ'!D32"))</f>
        <v/>
      </c>
      <c r="E38" s="160" t="str">
        <f ca="1">IF(ISBLANK(INDIRECT("'Tuesday REQ'!E32")),"",INDIRECT("'Tuesday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-44551</v>
      </c>
      <c r="AF38" s="267"/>
      <c r="AG38" s="267"/>
      <c r="AH38" s="267"/>
    </row>
    <row r="39" spans="1:34" x14ac:dyDescent="0.25">
      <c r="A39" s="30" t="str">
        <f ca="1">IF(ISBLANK(INDIRECT("'Tuesday REQ'!A33")),"",INDIRECT("'Tuesday REQ'!A33"))</f>
        <v/>
      </c>
      <c r="B39" s="30" t="str">
        <f ca="1">IF(ISBLANK(INDIRECT("'Tuesday REQ'!B33")),"",INDIRECT("'Tuesday REQ'!B33"))</f>
        <v/>
      </c>
      <c r="C39" s="31" t="str">
        <f ca="1">IF(ISBLANK(INDIRECT("'Tuesday REQ'!C33")),"",INDIRECT("'Tuesday REQ'!C33"))</f>
        <v/>
      </c>
      <c r="D39" s="31" t="str">
        <f ca="1">IF(ISBLANK(INDIRECT("'Tuesday REQ'!D33")),"",INDIRECT("'Tuesday REQ'!D33"))</f>
        <v/>
      </c>
      <c r="E39" s="160" t="str">
        <f ca="1">IF(ISBLANK(INDIRECT("'Tuesday REQ'!E33")),"",INDIRECT("'Tuesday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-44551</v>
      </c>
      <c r="AF39" s="267"/>
      <c r="AG39" s="267"/>
      <c r="AH39" s="267"/>
    </row>
    <row r="40" spans="1:34" x14ac:dyDescent="0.25">
      <c r="A40" s="30" t="str">
        <f ca="1">IF(ISBLANK(INDIRECT("'Tuesday REQ'!A34")),"",INDIRECT("'Tuesday REQ'!A34"))</f>
        <v/>
      </c>
      <c r="B40" s="30" t="str">
        <f ca="1">IF(ISBLANK(INDIRECT("'Tuesday REQ'!B34")),"",INDIRECT("'Tuesday REQ'!B34"))</f>
        <v/>
      </c>
      <c r="C40" s="31" t="str">
        <f ca="1">IF(ISBLANK(INDIRECT("'Tuesday REQ'!C34")),"",INDIRECT("'Tuesday REQ'!C34"))</f>
        <v/>
      </c>
      <c r="D40" s="31" t="str">
        <f ca="1">IF(ISBLANK(INDIRECT("'Tuesday REQ'!D34")),"",INDIRECT("'Tuesday REQ'!D34"))</f>
        <v/>
      </c>
      <c r="E40" s="160" t="str">
        <f ca="1">IF(ISBLANK(INDIRECT("'Tuesday REQ'!E34")),"",INDIRECT("'Tuesday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-44551</v>
      </c>
      <c r="AF40" s="267"/>
      <c r="AG40" s="267"/>
      <c r="AH40" s="267"/>
    </row>
    <row r="41" spans="1:34" x14ac:dyDescent="0.25">
      <c r="A41" s="30" t="str">
        <f ca="1">IF(ISBLANK(INDIRECT("'Tuesday REQ'!A35")),"",INDIRECT("'Tuesday REQ'!A35"))</f>
        <v/>
      </c>
      <c r="B41" s="30" t="str">
        <f ca="1">IF(ISBLANK(INDIRECT("'Tuesday REQ'!B35")),"",INDIRECT("'Tuesday REQ'!B35"))</f>
        <v/>
      </c>
      <c r="C41" s="31" t="str">
        <f ca="1">IF(ISBLANK(INDIRECT("'Tuesday REQ'!C35")),"",INDIRECT("'Tuesday REQ'!C35"))</f>
        <v/>
      </c>
      <c r="D41" s="31" t="str">
        <f ca="1">IF(ISBLANK(INDIRECT("'Tuesday REQ'!D35")),"",INDIRECT("'Tuesday REQ'!D35"))</f>
        <v/>
      </c>
      <c r="E41" s="160" t="str">
        <f ca="1">IF(ISBLANK(INDIRECT("'Tuesday REQ'!E35")),"",INDIRECT("'Tuesday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-44551</v>
      </c>
      <c r="AF41" s="267"/>
      <c r="AG41" s="267"/>
      <c r="AH41" s="267"/>
    </row>
    <row r="42" spans="1:34" x14ac:dyDescent="0.25">
      <c r="A42" s="30" t="str">
        <f ca="1">IF(ISBLANK(INDIRECT("'Tuesday REQ'!A36")),"",INDIRECT("'Tuesday REQ'!A36"))</f>
        <v/>
      </c>
      <c r="B42" s="30" t="str">
        <f ca="1">IF(ISBLANK(INDIRECT("'Tuesday REQ'!B36")),"",INDIRECT("'Tuesday REQ'!B36"))</f>
        <v/>
      </c>
      <c r="C42" s="31" t="str">
        <f ca="1">IF(ISBLANK(INDIRECT("'Tuesday REQ'!C36")),"",INDIRECT("'Tuesday REQ'!C36"))</f>
        <v/>
      </c>
      <c r="D42" s="31" t="str">
        <f ca="1">IF(ISBLANK(INDIRECT("'Tuesday REQ'!D36")),"",INDIRECT("'Tuesday REQ'!D36"))</f>
        <v/>
      </c>
      <c r="E42" s="160" t="str">
        <f ca="1">IF(ISBLANK(INDIRECT("'Tuesday REQ'!E36")),"",INDIRECT("'Tuesday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-44551</v>
      </c>
      <c r="AF42" s="267"/>
      <c r="AG42" s="267"/>
      <c r="AH42" s="267"/>
    </row>
    <row r="43" spans="1:34" x14ac:dyDescent="0.25">
      <c r="A43" s="30" t="str">
        <f ca="1">IF(ISBLANK(INDIRECT("'Tuesday REQ'!A37")),"",INDIRECT("'Tuesday REQ'!A37"))</f>
        <v/>
      </c>
      <c r="B43" s="30" t="str">
        <f ca="1">IF(ISBLANK(INDIRECT("'Tuesday REQ'!B37")),"",INDIRECT("'Tuesday REQ'!B37"))</f>
        <v/>
      </c>
      <c r="C43" s="31" t="str">
        <f ca="1">IF(ISBLANK(INDIRECT("'Tuesday REQ'!C37")),"",INDIRECT("'Tuesday REQ'!C37"))</f>
        <v/>
      </c>
      <c r="D43" s="31" t="str">
        <f ca="1">IF(ISBLANK(INDIRECT("'Tuesday REQ'!D37")),"",INDIRECT("'Tuesday REQ'!D37"))</f>
        <v/>
      </c>
      <c r="E43" s="160" t="str">
        <f ca="1">IF(ISBLANK(INDIRECT("'Tuesday REQ'!E37")),"",INDIRECT("'Tuesday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-44551</v>
      </c>
      <c r="AF43" s="267"/>
      <c r="AG43" s="267"/>
      <c r="AH43" s="267"/>
    </row>
    <row r="44" spans="1:34" x14ac:dyDescent="0.25">
      <c r="A44" s="30" t="str">
        <f ca="1">IF(ISBLANK(INDIRECT("'Tuesday REQ'!A38")),"",INDIRECT("'Tuesday REQ'!A38"))</f>
        <v/>
      </c>
      <c r="B44" s="30" t="str">
        <f ca="1">IF(ISBLANK(INDIRECT("'Tuesday REQ'!B38")),"",INDIRECT("'Tuesday REQ'!B38"))</f>
        <v/>
      </c>
      <c r="C44" s="31" t="str">
        <f ca="1">IF(ISBLANK(INDIRECT("'Tuesday REQ'!C38")),"",INDIRECT("'Tuesday REQ'!C38"))</f>
        <v/>
      </c>
      <c r="D44" s="31" t="str">
        <f ca="1">IF(ISBLANK(INDIRECT("'Tuesday REQ'!D38")),"",INDIRECT("'Tuesday REQ'!D38"))</f>
        <v/>
      </c>
      <c r="E44" s="160" t="str">
        <f ca="1">IF(ISBLANK(INDIRECT("'Tuesday REQ'!E38")),"",INDIRECT("'Tuesday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-44551</v>
      </c>
      <c r="AF44" s="267"/>
      <c r="AG44" s="267"/>
      <c r="AH44" s="267"/>
    </row>
    <row r="45" spans="1:34" x14ac:dyDescent="0.25">
      <c r="A45" s="30" t="str">
        <f ca="1">IF(ISBLANK(INDIRECT("'Tuesday REQ'!A39")),"",INDIRECT("'Tuesday REQ'!A39"))</f>
        <v/>
      </c>
      <c r="B45" s="30" t="str">
        <f ca="1">IF(ISBLANK(INDIRECT("'Tuesday REQ'!B39")),"",INDIRECT("'Tuesday REQ'!B39"))</f>
        <v/>
      </c>
      <c r="C45" s="31" t="str">
        <f ca="1">IF(ISBLANK(INDIRECT("'Tuesday REQ'!C39")),"",INDIRECT("'Tuesday REQ'!C39"))</f>
        <v/>
      </c>
      <c r="D45" s="31" t="str">
        <f ca="1">IF(ISBLANK(INDIRECT("'Tuesday REQ'!D39")),"",INDIRECT("'Tuesday REQ'!D39"))</f>
        <v/>
      </c>
      <c r="E45" s="160" t="str">
        <f ca="1">IF(ISBLANK(INDIRECT("'Tuesday REQ'!E39")),"",INDIRECT("'Tuesday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-44551</v>
      </c>
      <c r="AF45" s="267"/>
      <c r="AG45" s="267"/>
      <c r="AH45" s="267"/>
    </row>
    <row r="46" spans="1:34" x14ac:dyDescent="0.25">
      <c r="A46" s="30" t="str">
        <f ca="1">IF(ISBLANK(INDIRECT("'Tuesday REQ'!A40")),"",INDIRECT("'Tuesday REQ'!A40"))</f>
        <v/>
      </c>
      <c r="B46" s="30" t="str">
        <f ca="1">IF(ISBLANK(INDIRECT("'Tuesday REQ'!B40")),"",INDIRECT("'Tuesday REQ'!B40"))</f>
        <v/>
      </c>
      <c r="C46" s="31" t="str">
        <f ca="1">IF(ISBLANK(INDIRECT("'Tuesday REQ'!C40")),"",INDIRECT("'Tuesday REQ'!C40"))</f>
        <v/>
      </c>
      <c r="D46" s="31" t="str">
        <f ca="1">IF(ISBLANK(INDIRECT("'Tuesday REQ'!D40")),"",INDIRECT("'Tuesday REQ'!D40"))</f>
        <v/>
      </c>
      <c r="E46" s="160" t="str">
        <f ca="1">IF(ISBLANK(INDIRECT("'Tuesday REQ'!E40")),"",INDIRECT("'Tuesday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-44551</v>
      </c>
      <c r="AF46" s="267"/>
      <c r="AG46" s="267"/>
      <c r="AH46" s="267"/>
    </row>
    <row r="47" spans="1:34" x14ac:dyDescent="0.25">
      <c r="A47" s="30" t="str">
        <f ca="1">IF(ISBLANK(INDIRECT("'Tuesday REQ'!A41")),"",INDIRECT("'Tuesday REQ'!A41"))</f>
        <v/>
      </c>
      <c r="B47" s="30" t="str">
        <f ca="1">IF(ISBLANK(INDIRECT("'Tuesday REQ'!B41")),"",INDIRECT("'Tuesday REQ'!B41"))</f>
        <v/>
      </c>
      <c r="C47" s="31" t="str">
        <f ca="1">IF(ISBLANK(INDIRECT("'Tuesday REQ'!C41")),"",INDIRECT("'Tuesday REQ'!C41"))</f>
        <v/>
      </c>
      <c r="D47" s="31" t="str">
        <f ca="1">IF(ISBLANK(INDIRECT("'Tuesday REQ'!D41")),"",INDIRECT("'Tuesday REQ'!D41"))</f>
        <v/>
      </c>
      <c r="E47" s="160" t="str">
        <f ca="1">IF(ISBLANK(INDIRECT("'Tuesday REQ'!E41")),"",INDIRECT("'Tuesday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-44551</v>
      </c>
      <c r="AF47" s="267"/>
      <c r="AG47" s="267"/>
      <c r="AH47" s="267"/>
    </row>
    <row r="48" spans="1:34" x14ac:dyDescent="0.25">
      <c r="A48" s="30" t="str">
        <f ca="1">IF(ISBLANK(INDIRECT("'Tuesday REQ'!A42")),"",INDIRECT("'Tuesday REQ'!A42"))</f>
        <v/>
      </c>
      <c r="B48" s="30" t="str">
        <f ca="1">IF(ISBLANK(INDIRECT("'Tuesday REQ'!B42")),"",INDIRECT("'Tuesday REQ'!B42"))</f>
        <v/>
      </c>
      <c r="C48" s="31" t="str">
        <f ca="1">IF(ISBLANK(INDIRECT("'Tuesday REQ'!C42")),"",INDIRECT("'Tuesday REQ'!C42"))</f>
        <v/>
      </c>
      <c r="D48" s="31" t="str">
        <f ca="1">IF(ISBLANK(INDIRECT("'Tuesday REQ'!D42")),"",INDIRECT("'Tuesday REQ'!D42"))</f>
        <v/>
      </c>
      <c r="E48" s="160" t="str">
        <f ca="1">IF(ISBLANK(INDIRECT("'Tuesday REQ'!E42")),"",INDIRECT("'Tuesday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-44551</v>
      </c>
      <c r="AF48" s="267"/>
      <c r="AG48" s="267"/>
      <c r="AH48" s="267"/>
    </row>
    <row r="49" spans="1:34" x14ac:dyDescent="0.25">
      <c r="A49" s="30" t="str">
        <f ca="1">IF(ISBLANK(INDIRECT("'Tuesday REQ'!A43")),"",INDIRECT("'Tuesday REQ'!A43"))</f>
        <v/>
      </c>
      <c r="B49" s="30" t="str">
        <f ca="1">IF(ISBLANK(INDIRECT("'Tuesday REQ'!B43")),"",INDIRECT("'Tuesday REQ'!B43"))</f>
        <v/>
      </c>
      <c r="C49" s="31" t="str">
        <f ca="1">IF(ISBLANK(INDIRECT("'Tuesday REQ'!C43")),"",INDIRECT("'Tuesday REQ'!C43"))</f>
        <v/>
      </c>
      <c r="D49" s="31" t="str">
        <f ca="1">IF(ISBLANK(INDIRECT("'Tuesday REQ'!D43")),"",INDIRECT("'Tuesday REQ'!D43"))</f>
        <v/>
      </c>
      <c r="E49" s="160" t="str">
        <f ca="1">IF(ISBLANK(INDIRECT("'Tuesday REQ'!E43")),"",INDIRECT("'Tuesday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-44551</v>
      </c>
      <c r="AF49" s="267"/>
      <c r="AG49" s="267"/>
      <c r="AH49" s="267"/>
    </row>
    <row r="50" spans="1:34" x14ac:dyDescent="0.25">
      <c r="A50" s="30" t="str">
        <f ca="1">IF(ISBLANK(INDIRECT("'Tuesday REQ'!A44")),"",INDIRECT("'Tuesday REQ'!A44"))</f>
        <v/>
      </c>
      <c r="B50" s="30" t="str">
        <f ca="1">IF(ISBLANK(INDIRECT("'Tuesday REQ'!B44")),"",INDIRECT("'Tuesday REQ'!B44"))</f>
        <v/>
      </c>
      <c r="C50" s="31" t="str">
        <f ca="1">IF(ISBLANK(INDIRECT("'Tuesday REQ'!C44")),"",INDIRECT("'Tuesday REQ'!C44"))</f>
        <v/>
      </c>
      <c r="D50" s="31" t="str">
        <f ca="1">IF(ISBLANK(INDIRECT("'Tuesday REQ'!D44")),"",INDIRECT("'Tuesday REQ'!D44"))</f>
        <v/>
      </c>
      <c r="E50" s="160" t="str">
        <f ca="1">IF(ISBLANK(INDIRECT("'Tuesday REQ'!E44")),"",INDIRECT("'Tuesday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-44551</v>
      </c>
      <c r="AF50" s="267"/>
      <c r="AG50" s="267"/>
      <c r="AH50" s="267"/>
    </row>
    <row r="51" spans="1:34" x14ac:dyDescent="0.25">
      <c r="A51" s="30" t="str">
        <f ca="1">IF(ISBLANK(INDIRECT("'Tuesday REQ'!A45")),"",INDIRECT("'Tuesday REQ'!A45"))</f>
        <v/>
      </c>
      <c r="B51" s="30" t="str">
        <f ca="1">IF(ISBLANK(INDIRECT("'Tuesday REQ'!B45")),"",INDIRECT("'Tuesday REQ'!B45"))</f>
        <v/>
      </c>
      <c r="C51" s="31" t="str">
        <f ca="1">IF(ISBLANK(INDIRECT("'Tuesday REQ'!C45")),"",INDIRECT("'Tuesday REQ'!C45"))</f>
        <v/>
      </c>
      <c r="D51" s="31" t="str">
        <f ca="1">IF(ISBLANK(INDIRECT("'Tuesday REQ'!D45")),"",INDIRECT("'Tuesday REQ'!D45"))</f>
        <v/>
      </c>
      <c r="E51" s="160" t="str">
        <f ca="1">IF(ISBLANK(INDIRECT("'Tuesday REQ'!E45")),"",INDIRECT("'Tuesday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-44551</v>
      </c>
      <c r="AF51" s="267"/>
      <c r="AG51" s="267"/>
      <c r="AH51" s="267"/>
    </row>
    <row r="52" spans="1:34" x14ac:dyDescent="0.25">
      <c r="A52" s="30" t="str">
        <f ca="1">IF(ISBLANK(INDIRECT("'Tuesday REQ'!A46")),"",INDIRECT("'Tuesday REQ'!A46"))</f>
        <v/>
      </c>
      <c r="B52" s="30" t="str">
        <f ca="1">IF(ISBLANK(INDIRECT("'Tuesday REQ'!B46")),"",INDIRECT("'Tuesday REQ'!B46"))</f>
        <v/>
      </c>
      <c r="C52" s="31" t="str">
        <f ca="1">IF(ISBLANK(INDIRECT("'Tuesday REQ'!C46")),"",INDIRECT("'Tuesday REQ'!C46"))</f>
        <v/>
      </c>
      <c r="D52" s="31" t="str">
        <f ca="1">IF(ISBLANK(INDIRECT("'Tuesday REQ'!D46")),"",INDIRECT("'Tuesday REQ'!D46"))</f>
        <v/>
      </c>
      <c r="E52" s="160" t="str">
        <f ca="1">IF(ISBLANK(INDIRECT("'Tuesday REQ'!E46")),"",INDIRECT("'Tuesday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-44551</v>
      </c>
      <c r="AF52" s="267"/>
      <c r="AG52" s="267"/>
      <c r="AH52" s="267"/>
    </row>
    <row r="53" spans="1:34" x14ac:dyDescent="0.25">
      <c r="A53" s="30" t="str">
        <f ca="1">IF(ISBLANK(INDIRECT("'Tuesday REQ'!A47")),"",INDIRECT("'Tuesday REQ'!A47"))</f>
        <v/>
      </c>
      <c r="B53" s="30" t="str">
        <f ca="1">IF(ISBLANK(INDIRECT("'Tuesday REQ'!B47")),"",INDIRECT("'Tuesday REQ'!B47"))</f>
        <v/>
      </c>
      <c r="C53" s="31" t="str">
        <f ca="1">IF(ISBLANK(INDIRECT("'Tuesday REQ'!C47")),"",INDIRECT("'Tuesday REQ'!C47"))</f>
        <v/>
      </c>
      <c r="D53" s="31" t="str">
        <f ca="1">IF(ISBLANK(INDIRECT("'Tuesday REQ'!D47")),"",INDIRECT("'Tuesday REQ'!D47"))</f>
        <v/>
      </c>
      <c r="E53" s="160" t="str">
        <f ca="1">IF(ISBLANK(INDIRECT("'Tuesday REQ'!E47")),"",INDIRECT("'Tuesday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-44551</v>
      </c>
      <c r="AF53" s="267"/>
      <c r="AG53" s="267"/>
      <c r="AH53" s="267"/>
    </row>
    <row r="54" spans="1:34" x14ac:dyDescent="0.25">
      <c r="A54" s="30" t="str">
        <f ca="1">IF(ISBLANK(INDIRECT("'Tuesday REQ'!A48")),"",INDIRECT("'Tuesday REQ'!A48"))</f>
        <v/>
      </c>
      <c r="B54" s="30" t="str">
        <f ca="1">IF(ISBLANK(INDIRECT("'Tuesday REQ'!B48")),"",INDIRECT("'Tuesday REQ'!B48"))</f>
        <v/>
      </c>
      <c r="C54" s="31" t="str">
        <f ca="1">IF(ISBLANK(INDIRECT("'Tuesday REQ'!C48")),"",INDIRECT("'Tuesday REQ'!C48"))</f>
        <v/>
      </c>
      <c r="D54" s="31" t="str">
        <f ca="1">IF(ISBLANK(INDIRECT("'Tuesday REQ'!D48")),"",INDIRECT("'Tuesday REQ'!D48"))</f>
        <v/>
      </c>
      <c r="E54" s="160" t="str">
        <f ca="1">IF(ISBLANK(INDIRECT("'Tuesday REQ'!E48")),"",INDIRECT("'Tuesday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-44551</v>
      </c>
      <c r="AF54" s="267"/>
      <c r="AG54" s="267"/>
      <c r="AH54" s="267"/>
    </row>
    <row r="55" spans="1:34" x14ac:dyDescent="0.25">
      <c r="A55" s="30" t="str">
        <f ca="1">IF(ISBLANK(INDIRECT("'Tuesday REQ'!A49")),"",INDIRECT("'Tuesday REQ'!A49"))</f>
        <v/>
      </c>
      <c r="B55" s="30" t="str">
        <f ca="1">IF(ISBLANK(INDIRECT("'Tuesday REQ'!B49")),"",INDIRECT("'Tuesday REQ'!B49"))</f>
        <v/>
      </c>
      <c r="C55" s="31" t="str">
        <f ca="1">IF(ISBLANK(INDIRECT("'Tuesday REQ'!C49")),"",INDIRECT("'Tuesday REQ'!C49"))</f>
        <v/>
      </c>
      <c r="D55" s="31" t="str">
        <f ca="1">IF(ISBLANK(INDIRECT("'Tuesday REQ'!D49")),"",INDIRECT("'Tuesday REQ'!D49"))</f>
        <v/>
      </c>
      <c r="E55" s="160" t="str">
        <f ca="1">IF(ISBLANK(INDIRECT("'Tuesday REQ'!E49")),"",INDIRECT("'Tuesday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-44551</v>
      </c>
      <c r="AF55" s="267"/>
      <c r="AG55" s="267"/>
      <c r="AH55" s="267"/>
    </row>
    <row r="56" spans="1:34" x14ac:dyDescent="0.25">
      <c r="A56" s="30" t="str">
        <f ca="1">IF(ISBLANK(INDIRECT("'Tuesday REQ'!A50")),"",INDIRECT("'Tuesday REQ'!A50"))</f>
        <v/>
      </c>
      <c r="B56" s="30" t="str">
        <f ca="1">IF(ISBLANK(INDIRECT("'Tuesday REQ'!B50")),"",INDIRECT("'Tuesday REQ'!B50"))</f>
        <v/>
      </c>
      <c r="C56" s="31" t="str">
        <f ca="1">IF(ISBLANK(INDIRECT("'Tuesday REQ'!C50")),"",INDIRECT("'Tuesday REQ'!C50"))</f>
        <v/>
      </c>
      <c r="D56" s="31" t="str">
        <f ca="1">IF(ISBLANK(INDIRECT("'Tuesday REQ'!D50")),"",INDIRECT("'Tuesday REQ'!D50"))</f>
        <v/>
      </c>
      <c r="E56" s="160" t="str">
        <f ca="1">IF(ISBLANK(INDIRECT("'Tuesday REQ'!E50")),"",INDIRECT("'Tuesday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1"/>
        <v/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1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-44551</v>
      </c>
      <c r="AF56" s="267"/>
      <c r="AG56" s="267"/>
      <c r="AH56" s="267"/>
    </row>
    <row r="57" spans="1:34" x14ac:dyDescent="0.25">
      <c r="A57" s="30" t="str">
        <f ca="1">IF(ISBLANK(INDIRECT("'Tuesday REQ'!A51")),"",INDIRECT("'Tuesday REQ'!A51"))</f>
        <v/>
      </c>
      <c r="B57" s="30" t="str">
        <f ca="1">IF(ISBLANK(INDIRECT("'Tuesday REQ'!B51")),"",INDIRECT("'Tuesday REQ'!B51"))</f>
        <v/>
      </c>
      <c r="C57" s="31" t="str">
        <f ca="1">IF(ISBLANK(INDIRECT("'Tuesday REQ'!C51")),"",INDIRECT("'Tuesday REQ'!C51"))</f>
        <v/>
      </c>
      <c r="D57" s="31" t="str">
        <f ca="1">IF(ISBLANK(INDIRECT("'Tuesday REQ'!D51")),"",INDIRECT("'Tuesday REQ'!D51"))</f>
        <v/>
      </c>
      <c r="E57" s="160" t="str">
        <f ca="1">IF(ISBLANK(INDIRECT("'Tuesday REQ'!E51")),"",INDIRECT("'Tuesday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-44551</v>
      </c>
      <c r="AF57" s="267"/>
      <c r="AG57" s="267"/>
      <c r="AH57" s="267"/>
    </row>
    <row r="58" spans="1:34" x14ac:dyDescent="0.25">
      <c r="A58" s="30" t="str">
        <f ca="1">IF(ISBLANK(INDIRECT("'Tuesday REQ'!A52")),"",INDIRECT("'Tuesday REQ'!A52"))</f>
        <v/>
      </c>
      <c r="B58" s="30" t="str">
        <f ca="1">IF(ISBLANK(INDIRECT("'Tuesday REQ'!B52")),"",INDIRECT("'Tuesday REQ'!B52"))</f>
        <v/>
      </c>
      <c r="C58" s="31" t="str">
        <f ca="1">IF(ISBLANK(INDIRECT("'Tuesday REQ'!C52")),"",INDIRECT("'Tuesday REQ'!C52"))</f>
        <v/>
      </c>
      <c r="D58" s="31" t="str">
        <f ca="1">IF(ISBLANK(INDIRECT("'Tuesday REQ'!D52")),"",INDIRECT("'Tuesday REQ'!D52"))</f>
        <v/>
      </c>
      <c r="E58" s="160" t="str">
        <f ca="1">IF(ISBLANK(INDIRECT("'Tuesday REQ'!E52")),"",INDIRECT("'Tuesday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-44551</v>
      </c>
      <c r="AF58" s="267"/>
      <c r="AG58" s="267"/>
      <c r="AH58" s="267"/>
    </row>
    <row r="59" spans="1:34" x14ac:dyDescent="0.25">
      <c r="A59" s="30" t="str">
        <f ca="1">IF(ISBLANK(INDIRECT("'Tuesday REQ'!A53")),"",INDIRECT("'Tuesday REQ'!A53"))</f>
        <v/>
      </c>
      <c r="B59" s="30" t="str">
        <f ca="1">IF(ISBLANK(INDIRECT("'Tuesday REQ'!B53")),"",INDIRECT("'Tuesday REQ'!B53"))</f>
        <v/>
      </c>
      <c r="C59" s="31" t="str">
        <f ca="1">IF(ISBLANK(INDIRECT("'Tuesday REQ'!C53")),"",INDIRECT("'Tuesday REQ'!C53"))</f>
        <v/>
      </c>
      <c r="D59" s="31" t="str">
        <f ca="1">IF(ISBLANK(INDIRECT("'Tuesday REQ'!D53")),"",INDIRECT("'Tuesday REQ'!D53"))</f>
        <v/>
      </c>
      <c r="E59" s="160" t="str">
        <f ca="1">IF(ISBLANK(INDIRECT("'Tuesday REQ'!E53")),"",INDIRECT("'Tuesday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-44551</v>
      </c>
      <c r="AF59" s="267"/>
      <c r="AG59" s="267"/>
      <c r="AH59" s="267"/>
    </row>
    <row r="60" spans="1:34" x14ac:dyDescent="0.25">
      <c r="A60" s="30" t="str">
        <f ca="1">IF(ISBLANK(INDIRECT("'Tuesday REQ'!A54")),"",INDIRECT("'Tuesday REQ'!A54"))</f>
        <v/>
      </c>
      <c r="B60" s="30" t="str">
        <f ca="1">IF(ISBLANK(INDIRECT("'Tuesday REQ'!B54")),"",INDIRECT("'Tuesday REQ'!B54"))</f>
        <v/>
      </c>
      <c r="C60" s="31" t="str">
        <f ca="1">IF(ISBLANK(INDIRECT("'Tuesday REQ'!C54")),"",INDIRECT("'Tuesday REQ'!C54"))</f>
        <v/>
      </c>
      <c r="D60" s="31" t="str">
        <f ca="1">IF(ISBLANK(INDIRECT("'Tuesday REQ'!D54")),"",INDIRECT("'Tuesday REQ'!D54"))</f>
        <v/>
      </c>
      <c r="E60" s="160" t="str">
        <f ca="1">IF(ISBLANK(INDIRECT("'Tuesday REQ'!E54")),"",INDIRECT("'Tuesday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-44551</v>
      </c>
      <c r="AF60" s="267"/>
      <c r="AG60" s="267"/>
      <c r="AH60" s="267"/>
    </row>
  </sheetData>
  <sheetProtection algorithmName="SHA-512" hashValue="f7+m8rPCYB7ayKZu+KGs4avKNPyvgSTio4el3BTMlIJa6e2tjiOQXkJPjNrz3de4ytd/sUiwtUWjSc9Q9xQksg==" saltValue="ZVr/Ee3yv8hYegv+CMwEWQ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M8:P8"/>
    <mergeCell ref="A1:W3"/>
    <mergeCell ref="I4:L4"/>
    <mergeCell ref="A7:E7"/>
    <mergeCell ref="F7:H7"/>
    <mergeCell ref="I7:L7"/>
    <mergeCell ref="S7:Y7"/>
  </mergeCells>
  <conditionalFormatting sqref="I9:L59">
    <cfRule type="expression" dxfId="20" priority="5">
      <formula>IF(Z9=FALSE,1,0)</formula>
    </cfRule>
  </conditionalFormatting>
  <conditionalFormatting sqref="A1:W3">
    <cfRule type="cellIs" dxfId="19" priority="3" operator="equal">
      <formula>"SAFE TO SEND, SHEETS PROTECTED"</formula>
    </cfRule>
  </conditionalFormatting>
  <conditionalFormatting sqref="G9:G60">
    <cfRule type="duplicateValues" dxfId="18" priority="2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'Agency Rates'!$I$1:$I$4</xm:f>
          </x14:formula1>
          <xm:sqref>H9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Wednes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W9" sqref="W9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Info!B5-3</f>
        <v>44552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208" t="str">
        <f ca="1">IF(ISBLANK(INDIRECT("'Wednesday REQ'!A3")),"",INDIRECT("'Wednesday REQ'!A3"))</f>
        <v/>
      </c>
      <c r="B9" s="208" t="str">
        <f ca="1">IF(ISBLANK(INDIRECT("'Wednesday REQ'!B3")),"",INDIRECT("'Wednesday REQ'!B3"))</f>
        <v/>
      </c>
      <c r="C9" s="209" t="str">
        <f ca="1">IF(ISBLANK(INDIRECT("'Wednesday REQ'!C3")),"",INDIRECT("'Wednesday REQ'!C3"))</f>
        <v/>
      </c>
      <c r="D9" s="209" t="str">
        <f ca="1">IF(ISBLANK(INDIRECT("'Wednesday REQ'!D3")),"",INDIRECT("'Wednesday REQ'!D3"))</f>
        <v/>
      </c>
      <c r="E9" s="212" t="str">
        <f ca="1">IF(ISBLANK(INDIRECT("'Wednesday REQ'!E3")),"",INDIRECT("'Wednesday REQ'!E3"))</f>
        <v/>
      </c>
      <c r="F9" s="203"/>
      <c r="G9" s="201"/>
      <c r="H9" s="201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-44552</v>
      </c>
      <c r="AF9" s="267"/>
      <c r="AG9" s="267"/>
      <c r="AH9" s="267"/>
    </row>
    <row r="10" spans="1:34" x14ac:dyDescent="0.25">
      <c r="A10" s="208" t="str">
        <f ca="1">IF(ISBLANK(INDIRECT("'Wednesday REQ'!A4")),"",INDIRECT("'Wednesday REQ'!A4"))</f>
        <v/>
      </c>
      <c r="B10" s="208" t="str">
        <f ca="1">IF(ISBLANK(INDIRECT("'Wednesday REQ'!B4")),"",INDIRECT("'Wednesday REQ'!B4"))</f>
        <v/>
      </c>
      <c r="C10" s="209" t="str">
        <f ca="1">IF(ISBLANK(INDIRECT("'Wednesday REQ'!C4")),"",INDIRECT("'Wednesday REQ'!C4"))</f>
        <v/>
      </c>
      <c r="D10" s="209" t="str">
        <f ca="1">IF(ISBLANK(INDIRECT("'Wednesday REQ'!D4")),"",INDIRECT("'Wednesday REQ'!D4"))</f>
        <v/>
      </c>
      <c r="E10" s="212" t="str">
        <f ca="1">IF(ISBLANK(INDIRECT("'Wednesday REQ'!E4")),"",INDIRECT("'Wednesday REQ'!E4"))</f>
        <v/>
      </c>
      <c r="F10" s="203"/>
      <c r="G10" s="201"/>
      <c r="H10" s="201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-44552</v>
      </c>
      <c r="AF10" s="267"/>
      <c r="AG10" s="267"/>
      <c r="AH10" s="267"/>
    </row>
    <row r="11" spans="1:34" x14ac:dyDescent="0.25">
      <c r="A11" s="208" t="str">
        <f ca="1">IF(ISBLANK(INDIRECT("'Wednesday REQ'!A5")),"",INDIRECT("'Wednesday REQ'!A5"))</f>
        <v/>
      </c>
      <c r="B11" s="208" t="str">
        <f ca="1">IF(ISBLANK(INDIRECT("'Wednesday REQ'!B5")),"",INDIRECT("'Wednesday REQ'!B5"))</f>
        <v/>
      </c>
      <c r="C11" s="209" t="str">
        <f ca="1">IF(ISBLANK(INDIRECT("'Wednesday REQ'!C5")),"",INDIRECT("'Wednesday REQ'!C5"))</f>
        <v/>
      </c>
      <c r="D11" s="209" t="str">
        <f ca="1">IF(ISBLANK(INDIRECT("'Wednesday REQ'!D5")),"",INDIRECT("'Wednesday REQ'!D5"))</f>
        <v/>
      </c>
      <c r="E11" s="212" t="str">
        <f ca="1">IF(ISBLANK(INDIRECT("'Wednesday REQ'!E5")),"",INDIRECT("'Wednesday REQ'!E5"))</f>
        <v/>
      </c>
      <c r="F11" s="203"/>
      <c r="G11" s="201"/>
      <c r="H11" s="201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-44552</v>
      </c>
      <c r="AF11" s="267"/>
      <c r="AG11" s="267"/>
      <c r="AH11" s="267"/>
    </row>
    <row r="12" spans="1:34" x14ac:dyDescent="0.25">
      <c r="A12" s="208" t="str">
        <f ca="1">IF(ISBLANK(INDIRECT("'Wednesday REQ'!A6")),"",INDIRECT("'Wednesday REQ'!A6"))</f>
        <v/>
      </c>
      <c r="B12" s="208" t="str">
        <f ca="1">IF(ISBLANK(INDIRECT("'Wednesday REQ'!B6")),"",INDIRECT("'Wednesday REQ'!B6"))</f>
        <v/>
      </c>
      <c r="C12" s="209" t="str">
        <f ca="1">IF(ISBLANK(INDIRECT("'Wednesday REQ'!C6")),"",INDIRECT("'Wednesday REQ'!C6"))</f>
        <v/>
      </c>
      <c r="D12" s="209" t="str">
        <f ca="1">IF(ISBLANK(INDIRECT("'Wednesday REQ'!D6")),"",INDIRECT("'Wednesday REQ'!D6"))</f>
        <v/>
      </c>
      <c r="E12" s="212" t="str">
        <f ca="1">IF(ISBLANK(INDIRECT("'Wednesday REQ'!E6")),"",INDIRECT("'Wednesday REQ'!E6"))</f>
        <v/>
      </c>
      <c r="F12" s="203"/>
      <c r="G12" s="202"/>
      <c r="H12" s="201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-44552</v>
      </c>
      <c r="AF12" s="267"/>
      <c r="AG12" s="267"/>
      <c r="AH12" s="267"/>
    </row>
    <row r="13" spans="1:34" x14ac:dyDescent="0.25">
      <c r="A13" s="208" t="str">
        <f ca="1">IF(ISBLANK(INDIRECT("'Wednesday REQ'!A7")),"",INDIRECT("'Wednesday REQ'!A7"))</f>
        <v/>
      </c>
      <c r="B13" s="208" t="str">
        <f ca="1">IF(ISBLANK(INDIRECT("'Wednesday REQ'!B7")),"",INDIRECT("'Wednesday REQ'!B7"))</f>
        <v/>
      </c>
      <c r="C13" s="209" t="str">
        <f ca="1">IF(ISBLANK(INDIRECT("'Wednesday REQ'!C7")),"",INDIRECT("'Wednesday REQ'!C7"))</f>
        <v/>
      </c>
      <c r="D13" s="209" t="str">
        <f ca="1">IF(ISBLANK(INDIRECT("'Wednesday REQ'!D7")),"",INDIRECT("'Wednesday REQ'!D7"))</f>
        <v/>
      </c>
      <c r="E13" s="212" t="str">
        <f ca="1">IF(ISBLANK(INDIRECT("'Wednesday REQ'!E7")),"",INDIRECT("'Wednesday REQ'!E7"))</f>
        <v/>
      </c>
      <c r="F13" s="161"/>
      <c r="G13" s="32"/>
      <c r="H13" s="32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-44552</v>
      </c>
      <c r="AF13" s="267"/>
      <c r="AG13" s="267"/>
      <c r="AH13" s="267"/>
    </row>
    <row r="14" spans="1:34" x14ac:dyDescent="0.25">
      <c r="A14" s="208" t="str">
        <f ca="1">IF(ISBLANK(INDIRECT("'Wednesday REQ'!A8")),"",INDIRECT("'Wednesday REQ'!A8"))</f>
        <v/>
      </c>
      <c r="B14" s="208" t="str">
        <f ca="1">IF(ISBLANK(INDIRECT("'Wednesday REQ'!B8")),"",INDIRECT("'Wednesday REQ'!B8"))</f>
        <v/>
      </c>
      <c r="C14" s="209" t="str">
        <f ca="1">IF(ISBLANK(INDIRECT("'Wednesday REQ'!C8")),"",INDIRECT("'Wednesday REQ'!C8"))</f>
        <v/>
      </c>
      <c r="D14" s="209" t="str">
        <f ca="1">IF(ISBLANK(INDIRECT("'Wednesday REQ'!D8")),"",INDIRECT("'Wednesday REQ'!D8"))</f>
        <v/>
      </c>
      <c r="E14" s="212" t="str">
        <f ca="1">IF(ISBLANK(INDIRECT("'Wednesday REQ'!E8")),"",INDIRECT("'Wednesday REQ'!E8"))</f>
        <v/>
      </c>
      <c r="F14" s="161"/>
      <c r="G14" s="32"/>
      <c r="H14" s="32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-44552</v>
      </c>
      <c r="AF14" s="267"/>
      <c r="AG14" s="267"/>
      <c r="AH14" s="267"/>
    </row>
    <row r="15" spans="1:34" x14ac:dyDescent="0.25">
      <c r="A15" s="208" t="str">
        <f ca="1">IF(ISBLANK(INDIRECT("'Wednesday REQ'!A9")),"",INDIRECT("'Wednesday REQ'!A9"))</f>
        <v/>
      </c>
      <c r="B15" s="208" t="str">
        <f ca="1">IF(ISBLANK(INDIRECT("'Wednesday REQ'!B9")),"",INDIRECT("'Wednesday REQ'!B9"))</f>
        <v/>
      </c>
      <c r="C15" s="209" t="str">
        <f ca="1">IF(ISBLANK(INDIRECT("'Wednesday REQ'!C9")),"",INDIRECT("'Wednesday REQ'!C9"))</f>
        <v/>
      </c>
      <c r="D15" s="209" t="str">
        <f ca="1">IF(ISBLANK(INDIRECT("'Wednesday REQ'!D9")),"",INDIRECT("'Wednesday REQ'!D9"))</f>
        <v/>
      </c>
      <c r="E15" s="212" t="str">
        <f ca="1">IF(ISBLANK(INDIRECT("'Wednesday REQ'!E9")),"",INDIRECT("'Wednesday REQ'!E9"))</f>
        <v/>
      </c>
      <c r="F15" s="161"/>
      <c r="G15" s="32"/>
      <c r="H15" s="32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-44552</v>
      </c>
      <c r="AF15" s="267"/>
      <c r="AG15" s="267"/>
      <c r="AH15" s="267"/>
    </row>
    <row r="16" spans="1:34" x14ac:dyDescent="0.25">
      <c r="A16" s="208" t="str">
        <f ca="1">IF(ISBLANK(INDIRECT("'Wednesday REQ'!A10")),"",INDIRECT("'Wednesday REQ'!A10"))</f>
        <v/>
      </c>
      <c r="B16" s="208" t="str">
        <f ca="1">IF(ISBLANK(INDIRECT("'Wednesday REQ'!B10")),"",INDIRECT("'Wednesday REQ'!B10"))</f>
        <v/>
      </c>
      <c r="C16" s="209" t="str">
        <f ca="1">IF(ISBLANK(INDIRECT("'Wednesday REQ'!C10")),"",INDIRECT("'Wednesday REQ'!C10"))</f>
        <v/>
      </c>
      <c r="D16" s="209" t="str">
        <f ca="1">IF(ISBLANK(INDIRECT("'Wednesday REQ'!D10")),"",INDIRECT("'Wednesday REQ'!D10"))</f>
        <v/>
      </c>
      <c r="E16" s="212" t="str">
        <f ca="1">IF(ISBLANK(INDIRECT("'Wednesday REQ'!E10")),"",INDIRECT("'Wednesday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-44552</v>
      </c>
      <c r="AF16" s="267"/>
      <c r="AG16" s="267"/>
      <c r="AH16" s="267"/>
    </row>
    <row r="17" spans="1:34" x14ac:dyDescent="0.25">
      <c r="A17" s="208" t="str">
        <f ca="1">IF(ISBLANK(INDIRECT("'Wednesday REQ'!A11")),"",INDIRECT("'Wednesday REQ'!A11"))</f>
        <v/>
      </c>
      <c r="B17" s="208" t="str">
        <f ca="1">IF(ISBLANK(INDIRECT("'Wednesday REQ'!B11")),"",INDIRECT("'Wednesday REQ'!B11"))</f>
        <v/>
      </c>
      <c r="C17" s="209" t="str">
        <f ca="1">IF(ISBLANK(INDIRECT("'Wednesday REQ'!C11")),"",INDIRECT("'Wednesday REQ'!C11"))</f>
        <v/>
      </c>
      <c r="D17" s="209" t="str">
        <f ca="1">IF(ISBLANK(INDIRECT("'Wednesday REQ'!D11")),"",INDIRECT("'Wednesday REQ'!D11"))</f>
        <v/>
      </c>
      <c r="E17" s="212" t="str">
        <f ca="1">IF(ISBLANK(INDIRECT("'Wednesday REQ'!E11")),"",INDIRECT("'Wednesday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-44552</v>
      </c>
      <c r="AF17" s="267"/>
      <c r="AG17" s="267"/>
      <c r="AH17" s="267"/>
    </row>
    <row r="18" spans="1:34" x14ac:dyDescent="0.25">
      <c r="A18" s="208" t="str">
        <f ca="1">IF(ISBLANK(INDIRECT("'Wednesday REQ'!A12")),"",INDIRECT("'Wednesday REQ'!A12"))</f>
        <v/>
      </c>
      <c r="B18" s="208" t="str">
        <f ca="1">IF(ISBLANK(INDIRECT("'Wednesday REQ'!B12")),"",INDIRECT("'Wednesday REQ'!B12"))</f>
        <v/>
      </c>
      <c r="C18" s="209" t="str">
        <f ca="1">IF(ISBLANK(INDIRECT("'Wednesday REQ'!C12")),"",INDIRECT("'Wednesday REQ'!C12"))</f>
        <v/>
      </c>
      <c r="D18" s="209" t="str">
        <f ca="1">IF(ISBLANK(INDIRECT("'Wednesday REQ'!D12")),"",INDIRECT("'Wednesday REQ'!D12"))</f>
        <v/>
      </c>
      <c r="E18" s="212" t="str">
        <f ca="1">IF(ISBLANK(INDIRECT("'Wednesday REQ'!E12")),"",INDIRECT("'Wednesday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-44552</v>
      </c>
      <c r="AF18" s="267"/>
      <c r="AG18" s="267"/>
      <c r="AH18" s="267"/>
    </row>
    <row r="19" spans="1:34" x14ac:dyDescent="0.25">
      <c r="A19" s="208" t="str">
        <f ca="1">IF(ISBLANK(INDIRECT("'Wednesday REQ'!A13")),"",INDIRECT("'Wednesday REQ'!A13"))</f>
        <v/>
      </c>
      <c r="B19" s="208" t="str">
        <f ca="1">IF(ISBLANK(INDIRECT("'Wednesday REQ'!B13")),"",INDIRECT("'Wednesday REQ'!B13"))</f>
        <v/>
      </c>
      <c r="C19" s="209" t="str">
        <f ca="1">IF(ISBLANK(INDIRECT("'Wednesday REQ'!C13")),"",INDIRECT("'Wednesday REQ'!C13"))</f>
        <v/>
      </c>
      <c r="D19" s="209" t="str">
        <f ca="1">IF(ISBLANK(INDIRECT("'Wednesday REQ'!D13")),"",INDIRECT("'Wednesday REQ'!D13"))</f>
        <v/>
      </c>
      <c r="E19" s="212" t="str">
        <f ca="1">IF(ISBLANK(INDIRECT("'Wednesday REQ'!E13")),"",INDIRECT("'Wednesday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-44552</v>
      </c>
      <c r="AF19" s="267"/>
      <c r="AG19" s="267"/>
      <c r="AH19" s="267"/>
    </row>
    <row r="20" spans="1:34" x14ac:dyDescent="0.25">
      <c r="A20" s="208" t="str">
        <f ca="1">IF(ISBLANK(INDIRECT("'Wednesday REQ'!A14")),"",INDIRECT("'Wednesday REQ'!A14"))</f>
        <v/>
      </c>
      <c r="B20" s="208" t="str">
        <f ca="1">IF(ISBLANK(INDIRECT("'Wednesday REQ'!B14")),"",INDIRECT("'Wednesday REQ'!B14"))</f>
        <v/>
      </c>
      <c r="C20" s="209" t="str">
        <f ca="1">IF(ISBLANK(INDIRECT("'Wednesday REQ'!C14")),"",INDIRECT("'Wednesday REQ'!C14"))</f>
        <v/>
      </c>
      <c r="D20" s="209" t="str">
        <f ca="1">IF(ISBLANK(INDIRECT("'Wednesday REQ'!D14")),"",INDIRECT("'Wednesday REQ'!D14"))</f>
        <v/>
      </c>
      <c r="E20" s="212" t="str">
        <f ca="1">IF(ISBLANK(INDIRECT("'Wednesday REQ'!E14")),"",INDIRECT("'Wednesday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-44552</v>
      </c>
      <c r="AF20" s="267"/>
      <c r="AG20" s="267"/>
      <c r="AH20" s="267"/>
    </row>
    <row r="21" spans="1:34" x14ac:dyDescent="0.25">
      <c r="A21" s="208" t="str">
        <f ca="1">IF(ISBLANK(INDIRECT("'Wednesday REQ'!A15")),"",INDIRECT("'Wednesday REQ'!A15"))</f>
        <v/>
      </c>
      <c r="B21" s="208" t="str">
        <f ca="1">IF(ISBLANK(INDIRECT("'Wednesday REQ'!B15")),"",INDIRECT("'Wednesday REQ'!B15"))</f>
        <v/>
      </c>
      <c r="C21" s="209" t="str">
        <f ca="1">IF(ISBLANK(INDIRECT("'Wednesday REQ'!C15")),"",INDIRECT("'Wednesday REQ'!C15"))</f>
        <v/>
      </c>
      <c r="D21" s="209" t="str">
        <f ca="1">IF(ISBLANK(INDIRECT("'Wednesday REQ'!D15")),"",INDIRECT("'Wednesday REQ'!D15"))</f>
        <v/>
      </c>
      <c r="E21" s="212" t="str">
        <f ca="1">IF(ISBLANK(INDIRECT("'Wednesday REQ'!E15")),"",INDIRECT("'Wednesday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-44552</v>
      </c>
      <c r="AF21" s="267"/>
      <c r="AG21" s="267"/>
      <c r="AH21" s="267"/>
    </row>
    <row r="22" spans="1:34" x14ac:dyDescent="0.25">
      <c r="A22" s="208" t="str">
        <f ca="1">IF(ISBLANK(INDIRECT("'Wednesday REQ'!A16")),"",INDIRECT("'Wednesday REQ'!A16"))</f>
        <v/>
      </c>
      <c r="B22" s="208" t="str">
        <f ca="1">IF(ISBLANK(INDIRECT("'Wednesday REQ'!B16")),"",INDIRECT("'Wednesday REQ'!B16"))</f>
        <v/>
      </c>
      <c r="C22" s="209" t="str">
        <f ca="1">IF(ISBLANK(INDIRECT("'Wednesday REQ'!C16")),"",INDIRECT("'Wednesday REQ'!C16"))</f>
        <v/>
      </c>
      <c r="D22" s="209" t="str">
        <f ca="1">IF(ISBLANK(INDIRECT("'Wednesday REQ'!D16")),"",INDIRECT("'Wednesday REQ'!D16"))</f>
        <v/>
      </c>
      <c r="E22" s="212" t="str">
        <f ca="1">IF(ISBLANK(INDIRECT("'Wednesday REQ'!E16")),"",INDIRECT("'Wednesday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-44552</v>
      </c>
      <c r="AF22" s="267"/>
      <c r="AG22" s="267"/>
      <c r="AH22" s="267"/>
    </row>
    <row r="23" spans="1:34" x14ac:dyDescent="0.25">
      <c r="A23" s="30" t="str">
        <f ca="1">IF(ISBLANK(INDIRECT("'Wednesday REQ'!A17")),"",INDIRECT("'Wednesday REQ'!A17"))</f>
        <v/>
      </c>
      <c r="B23" s="30" t="str">
        <f ca="1">IF(ISBLANK(INDIRECT("'Wednesday REQ'!B17")),"",INDIRECT("'Wednesday REQ'!B17"))</f>
        <v/>
      </c>
      <c r="C23" s="31" t="str">
        <f ca="1">IF(ISBLANK(INDIRECT("'Wednesday REQ'!C17")),"",INDIRECT("'Wednesday REQ'!C17"))</f>
        <v/>
      </c>
      <c r="D23" s="31" t="str">
        <f ca="1">IF(ISBLANK(INDIRECT("'Wednesday REQ'!D17")),"",INDIRECT("'Wednesday REQ'!D17"))</f>
        <v/>
      </c>
      <c r="E23" s="160" t="str">
        <f ca="1">IF(ISBLANK(INDIRECT("'Wednesday REQ'!E17")),"",INDIRECT("'Wednesday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-44552</v>
      </c>
      <c r="AF23" s="267"/>
      <c r="AG23" s="267"/>
      <c r="AH23" s="267"/>
    </row>
    <row r="24" spans="1:34" x14ac:dyDescent="0.25">
      <c r="A24" s="30" t="str">
        <f ca="1">IF(ISBLANK(INDIRECT("'Wednesday REQ'!A18")),"",INDIRECT("'Wednesday REQ'!A18"))</f>
        <v/>
      </c>
      <c r="B24" s="30" t="str">
        <f ca="1">IF(ISBLANK(INDIRECT("'Wednesday REQ'!B18")),"",INDIRECT("'Wednesday REQ'!B18"))</f>
        <v/>
      </c>
      <c r="C24" s="31" t="str">
        <f ca="1">IF(ISBLANK(INDIRECT("'Wednesday REQ'!C18")),"",INDIRECT("'Wednesday REQ'!C18"))</f>
        <v/>
      </c>
      <c r="D24" s="31" t="str">
        <f ca="1">IF(ISBLANK(INDIRECT("'Wednesday REQ'!D18")),"",INDIRECT("'Wednesday REQ'!D18"))</f>
        <v/>
      </c>
      <c r="E24" s="160" t="str">
        <f ca="1">IF(ISBLANK(INDIRECT("'Wednesday REQ'!E18")),"",INDIRECT("'Wednesday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-44552</v>
      </c>
      <c r="AF24" s="267"/>
      <c r="AG24" s="267"/>
      <c r="AH24" s="267"/>
    </row>
    <row r="25" spans="1:34" x14ac:dyDescent="0.25">
      <c r="A25" s="30" t="str">
        <f ca="1">IF(ISBLANK(INDIRECT("'Wednesday REQ'!A19")),"",INDIRECT("'Wednesday REQ'!A19"))</f>
        <v/>
      </c>
      <c r="B25" s="30" t="str">
        <f ca="1">IF(ISBLANK(INDIRECT("'Wednesday REQ'!B19")),"",INDIRECT("'Wednesday REQ'!B19"))</f>
        <v/>
      </c>
      <c r="C25" s="31" t="str">
        <f ca="1">IF(ISBLANK(INDIRECT("'Wednesday REQ'!C19")),"",INDIRECT("'Wednesday REQ'!C19"))</f>
        <v/>
      </c>
      <c r="D25" s="31" t="str">
        <f ca="1">IF(ISBLANK(INDIRECT("'Wednesday REQ'!D19")),"",INDIRECT("'Wednesday REQ'!D19"))</f>
        <v/>
      </c>
      <c r="E25" s="160" t="str">
        <f ca="1">IF(ISBLANK(INDIRECT("'Wednesday REQ'!E19")),"",INDIRECT("'Wednesday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-44552</v>
      </c>
      <c r="AF25" s="267"/>
      <c r="AG25" s="267"/>
      <c r="AH25" s="267"/>
    </row>
    <row r="26" spans="1:34" x14ac:dyDescent="0.25">
      <c r="A26" s="30" t="str">
        <f ca="1">IF(ISBLANK(INDIRECT("'Wednesday REQ'!A20")),"",INDIRECT("'Wednesday REQ'!A20"))</f>
        <v/>
      </c>
      <c r="B26" s="30" t="str">
        <f ca="1">IF(ISBLANK(INDIRECT("'Wednesday REQ'!B20")),"",INDIRECT("'Wednesday REQ'!B20"))</f>
        <v/>
      </c>
      <c r="C26" s="31" t="str">
        <f ca="1">IF(ISBLANK(INDIRECT("'Wednesday REQ'!C20")),"",INDIRECT("'Wednesday REQ'!C20"))</f>
        <v/>
      </c>
      <c r="D26" s="31" t="str">
        <f ca="1">IF(ISBLANK(INDIRECT("'Wednesday REQ'!D20")),"",INDIRECT("'Wednesday REQ'!D20"))</f>
        <v/>
      </c>
      <c r="E26" s="160" t="str">
        <f ca="1">IF(ISBLANK(INDIRECT("'Wednesday REQ'!E20")),"",INDIRECT("'Wednesday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-44552</v>
      </c>
      <c r="AF26" s="267"/>
      <c r="AG26" s="267"/>
      <c r="AH26" s="267"/>
    </row>
    <row r="27" spans="1:34" x14ac:dyDescent="0.25">
      <c r="A27" s="30" t="str">
        <f ca="1">IF(ISBLANK(INDIRECT("'Wednesday REQ'!A21")),"",INDIRECT("'Wednesday REQ'!A21"))</f>
        <v/>
      </c>
      <c r="B27" s="30" t="str">
        <f ca="1">IF(ISBLANK(INDIRECT("'Wednesday REQ'!B21")),"",INDIRECT("'Wednesday REQ'!B21"))</f>
        <v/>
      </c>
      <c r="C27" s="31" t="str">
        <f ca="1">IF(ISBLANK(INDIRECT("'Wednesday REQ'!C21")),"",INDIRECT("'Wednesday REQ'!C21"))</f>
        <v/>
      </c>
      <c r="D27" s="31" t="str">
        <f ca="1">IF(ISBLANK(INDIRECT("'Wednesday REQ'!D21")),"",INDIRECT("'Wednesday REQ'!D21"))</f>
        <v/>
      </c>
      <c r="E27" s="160" t="str">
        <f ca="1">IF(ISBLANK(INDIRECT("'Wednesday REQ'!E21")),"",INDIRECT("'Wednesday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-44552</v>
      </c>
      <c r="AF27" s="267"/>
      <c r="AG27" s="267"/>
      <c r="AH27" s="267"/>
    </row>
    <row r="28" spans="1:34" x14ac:dyDescent="0.25">
      <c r="A28" s="30" t="str">
        <f ca="1">IF(ISBLANK(INDIRECT("'Wednesday REQ'!A22")),"",INDIRECT("'Wednesday REQ'!A22"))</f>
        <v/>
      </c>
      <c r="B28" s="30" t="str">
        <f ca="1">IF(ISBLANK(INDIRECT("'Wednesday REQ'!B22")),"",INDIRECT("'Wednesday REQ'!B22"))</f>
        <v/>
      </c>
      <c r="C28" s="31" t="str">
        <f ca="1">IF(ISBLANK(INDIRECT("'Wednesday REQ'!C22")),"",INDIRECT("'Wednesday REQ'!C22"))</f>
        <v/>
      </c>
      <c r="D28" s="31" t="str">
        <f ca="1">IF(ISBLANK(INDIRECT("'Wednesday REQ'!D22")),"",INDIRECT("'Wednesday REQ'!D22"))</f>
        <v/>
      </c>
      <c r="E28" s="160" t="str">
        <f ca="1">IF(ISBLANK(INDIRECT("'Wednesday REQ'!E22")),"",INDIRECT("'Wednesday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-44552</v>
      </c>
      <c r="AF28" s="267"/>
      <c r="AG28" s="267"/>
      <c r="AH28" s="267"/>
    </row>
    <row r="29" spans="1:34" x14ac:dyDescent="0.25">
      <c r="A29" s="30" t="str">
        <f ca="1">IF(ISBLANK(INDIRECT("'Wednesday REQ'!A23")),"",INDIRECT("'Wednesday REQ'!A23"))</f>
        <v/>
      </c>
      <c r="B29" s="30" t="str">
        <f ca="1">IF(ISBLANK(INDIRECT("'Wednesday REQ'!B23")),"",INDIRECT("'Wednesday REQ'!B23"))</f>
        <v/>
      </c>
      <c r="C29" s="31" t="str">
        <f ca="1">IF(ISBLANK(INDIRECT("'Wednesday REQ'!C23")),"",INDIRECT("'Wednesday REQ'!C23"))</f>
        <v/>
      </c>
      <c r="D29" s="31" t="str">
        <f ca="1">IF(ISBLANK(INDIRECT("'Wednesday REQ'!D23")),"",INDIRECT("'Wednesday REQ'!D23"))</f>
        <v/>
      </c>
      <c r="E29" s="160" t="str">
        <f ca="1">IF(ISBLANK(INDIRECT("'Wednesday REQ'!E23")),"",INDIRECT("'Wednesday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-44552</v>
      </c>
      <c r="AF29" s="267"/>
      <c r="AG29" s="267"/>
      <c r="AH29" s="267"/>
    </row>
    <row r="30" spans="1:34" x14ac:dyDescent="0.25">
      <c r="A30" s="30" t="str">
        <f ca="1">IF(ISBLANK(INDIRECT("'Wednesday REQ'!A24")),"",INDIRECT("'Wednesday REQ'!A24"))</f>
        <v/>
      </c>
      <c r="B30" s="30" t="str">
        <f ca="1">IF(ISBLANK(INDIRECT("'Wednesday REQ'!B24")),"",INDIRECT("'Wednesday REQ'!B24"))</f>
        <v/>
      </c>
      <c r="C30" s="31" t="str">
        <f ca="1">IF(ISBLANK(INDIRECT("'Wednesday REQ'!C24")),"",INDIRECT("'Wednesday REQ'!C24"))</f>
        <v/>
      </c>
      <c r="D30" s="31" t="str">
        <f ca="1">IF(ISBLANK(INDIRECT("'Wednesday REQ'!D24")),"",INDIRECT("'Wednesday REQ'!D24"))</f>
        <v/>
      </c>
      <c r="E30" s="160" t="str">
        <f ca="1">IF(ISBLANK(INDIRECT("'Wednesday REQ'!E24")),"",INDIRECT("'Wednesday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-44552</v>
      </c>
      <c r="AF30" s="267"/>
      <c r="AG30" s="267"/>
      <c r="AH30" s="267"/>
    </row>
    <row r="31" spans="1:34" x14ac:dyDescent="0.25">
      <c r="A31" s="30" t="str">
        <f ca="1">IF(ISBLANK(INDIRECT("'Wednesday REQ'!A25")),"",INDIRECT("'Wednesday REQ'!A25"))</f>
        <v/>
      </c>
      <c r="B31" s="30" t="str">
        <f ca="1">IF(ISBLANK(INDIRECT("'Wednesday REQ'!B25")),"",INDIRECT("'Wednesday REQ'!B25"))</f>
        <v/>
      </c>
      <c r="C31" s="31" t="str">
        <f ca="1">IF(ISBLANK(INDIRECT("'Wednesday REQ'!C25")),"",INDIRECT("'Wednesday REQ'!C25"))</f>
        <v/>
      </c>
      <c r="D31" s="31" t="str">
        <f ca="1">IF(ISBLANK(INDIRECT("'Wednesday REQ'!D25")),"",INDIRECT("'Wednesday REQ'!D25"))</f>
        <v/>
      </c>
      <c r="E31" s="160" t="str">
        <f ca="1">IF(ISBLANK(INDIRECT("'Wednesday REQ'!E25")),"",INDIRECT("'Wednesday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-44552</v>
      </c>
      <c r="AF31" s="267"/>
      <c r="AG31" s="267"/>
      <c r="AH31" s="267"/>
    </row>
    <row r="32" spans="1:34" x14ac:dyDescent="0.25">
      <c r="A32" s="30" t="str">
        <f ca="1">IF(ISBLANK(INDIRECT("'Wednesday REQ'!A26")),"",INDIRECT("'Wednesday REQ'!A26"))</f>
        <v/>
      </c>
      <c r="B32" s="30" t="str">
        <f ca="1">IF(ISBLANK(INDIRECT("'Wednesday REQ'!B26")),"",INDIRECT("'Wednesday REQ'!B26"))</f>
        <v/>
      </c>
      <c r="C32" s="31" t="str">
        <f ca="1">IF(ISBLANK(INDIRECT("'Wednesday REQ'!C26")),"",INDIRECT("'Wednesday REQ'!C26"))</f>
        <v/>
      </c>
      <c r="D32" s="31" t="str">
        <f ca="1">IF(ISBLANK(INDIRECT("'Wednesday REQ'!D26")),"",INDIRECT("'Wednesday REQ'!D26"))</f>
        <v/>
      </c>
      <c r="E32" s="160" t="str">
        <f ca="1">IF(ISBLANK(INDIRECT("'Wednesday REQ'!E26")),"",INDIRECT("'Wednesday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-44552</v>
      </c>
      <c r="AF32" s="267"/>
      <c r="AG32" s="267"/>
      <c r="AH32" s="267"/>
    </row>
    <row r="33" spans="1:34" x14ac:dyDescent="0.25">
      <c r="A33" s="30" t="str">
        <f ca="1">IF(ISBLANK(INDIRECT("'Wednesday REQ'!A27")),"",INDIRECT("'Wednesday REQ'!A27"))</f>
        <v/>
      </c>
      <c r="B33" s="30" t="str">
        <f ca="1">IF(ISBLANK(INDIRECT("'Wednesday REQ'!B27")),"",INDIRECT("'Wednesday REQ'!B27"))</f>
        <v/>
      </c>
      <c r="C33" s="31" t="str">
        <f ca="1">IF(ISBLANK(INDIRECT("'Wednesday REQ'!C27")),"",INDIRECT("'Wednesday REQ'!C27"))</f>
        <v/>
      </c>
      <c r="D33" s="31" t="str">
        <f ca="1">IF(ISBLANK(INDIRECT("'Wednesday REQ'!D27")),"",INDIRECT("'Wednesday REQ'!D27"))</f>
        <v/>
      </c>
      <c r="E33" s="160" t="str">
        <f ca="1">IF(ISBLANK(INDIRECT("'Wednesday REQ'!E27")),"",INDIRECT("'Wednesday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-44552</v>
      </c>
      <c r="AF33" s="267"/>
      <c r="AG33" s="267"/>
      <c r="AH33" s="267"/>
    </row>
    <row r="34" spans="1:34" x14ac:dyDescent="0.25">
      <c r="A34" s="30" t="str">
        <f ca="1">IF(ISBLANK(INDIRECT("'Wednesday REQ'!A28")),"",INDIRECT("'Wednesday REQ'!A28"))</f>
        <v/>
      </c>
      <c r="B34" s="30" t="str">
        <f ca="1">IF(ISBLANK(INDIRECT("'Wednesday REQ'!B28")),"",INDIRECT("'Wednesday REQ'!B28"))</f>
        <v/>
      </c>
      <c r="C34" s="31" t="str">
        <f ca="1">IF(ISBLANK(INDIRECT("'Wednesday REQ'!C28")),"",INDIRECT("'Wednesday REQ'!C28"))</f>
        <v/>
      </c>
      <c r="D34" s="31" t="str">
        <f ca="1">IF(ISBLANK(INDIRECT("'Wednesday REQ'!D28")),"",INDIRECT("'Wednesday REQ'!D28"))</f>
        <v/>
      </c>
      <c r="E34" s="160" t="str">
        <f ca="1">IF(ISBLANK(INDIRECT("'Wednesday REQ'!E28")),"",INDIRECT("'Wednesday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-44552</v>
      </c>
      <c r="AF34" s="267"/>
      <c r="AG34" s="267"/>
      <c r="AH34" s="267"/>
    </row>
    <row r="35" spans="1:34" x14ac:dyDescent="0.25">
      <c r="A35" s="30" t="str">
        <f ca="1">IF(ISBLANK(INDIRECT("'Wednesday REQ'!A29")),"",INDIRECT("'Wednesday REQ'!A29"))</f>
        <v/>
      </c>
      <c r="B35" s="30" t="str">
        <f ca="1">IF(ISBLANK(INDIRECT("'Wednesday REQ'!B29")),"",INDIRECT("'Wednesday REQ'!B29"))</f>
        <v/>
      </c>
      <c r="C35" s="31" t="str">
        <f ca="1">IF(ISBLANK(INDIRECT("'Wednesday REQ'!C29")),"",INDIRECT("'Wednesday REQ'!C29"))</f>
        <v/>
      </c>
      <c r="D35" s="31" t="str">
        <f ca="1">IF(ISBLANK(INDIRECT("'Wednesday REQ'!D29")),"",INDIRECT("'Wednesday REQ'!D29"))</f>
        <v/>
      </c>
      <c r="E35" s="160" t="str">
        <f ca="1">IF(ISBLANK(INDIRECT("'Wednesday REQ'!E29")),"",INDIRECT("'Wednesday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-44552</v>
      </c>
      <c r="AF35" s="267"/>
      <c r="AG35" s="267"/>
      <c r="AH35" s="267"/>
    </row>
    <row r="36" spans="1:34" x14ac:dyDescent="0.25">
      <c r="A36" s="30" t="str">
        <f ca="1">IF(ISBLANK(INDIRECT("'Wednesday REQ'!A30")),"",INDIRECT("'Wednesday REQ'!A30"))</f>
        <v/>
      </c>
      <c r="B36" s="30" t="str">
        <f ca="1">IF(ISBLANK(INDIRECT("'Wednesday REQ'!B30")),"",INDIRECT("'Wednesday REQ'!B30"))</f>
        <v/>
      </c>
      <c r="C36" s="31" t="str">
        <f ca="1">IF(ISBLANK(INDIRECT("'Wednesday REQ'!C30")),"",INDIRECT("'Wednesday REQ'!C30"))</f>
        <v/>
      </c>
      <c r="D36" s="31" t="str">
        <f ca="1">IF(ISBLANK(INDIRECT("'Wednesday REQ'!D30")),"",INDIRECT("'Wednesday REQ'!D30"))</f>
        <v/>
      </c>
      <c r="E36" s="160" t="str">
        <f ca="1">IF(ISBLANK(INDIRECT("'Wednesday REQ'!E30")),"",INDIRECT("'Wednesday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-44552</v>
      </c>
      <c r="AF36" s="267"/>
      <c r="AG36" s="267"/>
      <c r="AH36" s="267"/>
    </row>
    <row r="37" spans="1:34" x14ac:dyDescent="0.25">
      <c r="A37" s="30" t="str">
        <f ca="1">IF(ISBLANK(INDIRECT("'Wednesday REQ'!A31")),"",INDIRECT("'Wednesday REQ'!A31"))</f>
        <v/>
      </c>
      <c r="B37" s="30" t="str">
        <f ca="1">IF(ISBLANK(INDIRECT("'Wednesday REQ'!B31")),"",INDIRECT("'Wednesday REQ'!B31"))</f>
        <v/>
      </c>
      <c r="C37" s="31" t="str">
        <f ca="1">IF(ISBLANK(INDIRECT("'Wednesday REQ'!C31")),"",INDIRECT("'Wednesday REQ'!C31"))</f>
        <v/>
      </c>
      <c r="D37" s="31" t="str">
        <f ca="1">IF(ISBLANK(INDIRECT("'Wednesday REQ'!D31")),"",INDIRECT("'Wednesday REQ'!D31"))</f>
        <v/>
      </c>
      <c r="E37" s="160" t="str">
        <f ca="1">IF(ISBLANK(INDIRECT("'Wednesday REQ'!E31")),"",INDIRECT("'Wednesday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-44552</v>
      </c>
      <c r="AF37" s="267"/>
      <c r="AG37" s="267"/>
      <c r="AH37" s="267"/>
    </row>
    <row r="38" spans="1:34" x14ac:dyDescent="0.25">
      <c r="A38" s="30" t="str">
        <f ca="1">IF(ISBLANK(INDIRECT("'Wednesday REQ'!A32")),"",INDIRECT("'Wednesday REQ'!A32"))</f>
        <v/>
      </c>
      <c r="B38" s="30" t="str">
        <f ca="1">IF(ISBLANK(INDIRECT("'Wednesday REQ'!B32")),"",INDIRECT("'Wednesday REQ'!B32"))</f>
        <v/>
      </c>
      <c r="C38" s="31" t="str">
        <f ca="1">IF(ISBLANK(INDIRECT("'Wednesday REQ'!C32")),"",INDIRECT("'Wednesday REQ'!C32"))</f>
        <v/>
      </c>
      <c r="D38" s="31" t="str">
        <f ca="1">IF(ISBLANK(INDIRECT("'Wednesday REQ'!D32")),"",INDIRECT("'Wednesday REQ'!D32"))</f>
        <v/>
      </c>
      <c r="E38" s="160" t="str">
        <f ca="1">IF(ISBLANK(INDIRECT("'Wednesday REQ'!E32")),"",INDIRECT("'Wednesday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-44552</v>
      </c>
      <c r="AF38" s="267"/>
      <c r="AG38" s="267"/>
      <c r="AH38" s="267"/>
    </row>
    <row r="39" spans="1:34" x14ac:dyDescent="0.25">
      <c r="A39" s="30" t="str">
        <f ca="1">IF(ISBLANK(INDIRECT("'Wednesday REQ'!A33")),"",INDIRECT("'Wednesday REQ'!A33"))</f>
        <v/>
      </c>
      <c r="B39" s="30" t="str">
        <f ca="1">IF(ISBLANK(INDIRECT("'Wednesday REQ'!B33")),"",INDIRECT("'Wednesday REQ'!B33"))</f>
        <v/>
      </c>
      <c r="C39" s="31" t="str">
        <f ca="1">IF(ISBLANK(INDIRECT("'Wednesday REQ'!C33")),"",INDIRECT("'Wednesday REQ'!C33"))</f>
        <v/>
      </c>
      <c r="D39" s="31" t="str">
        <f ca="1">IF(ISBLANK(INDIRECT("'Wednesday REQ'!D33")),"",INDIRECT("'Wednesday REQ'!D33"))</f>
        <v/>
      </c>
      <c r="E39" s="160" t="str">
        <f ca="1">IF(ISBLANK(INDIRECT("'Wednesday REQ'!E33")),"",INDIRECT("'Wednesday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-44552</v>
      </c>
      <c r="AF39" s="267"/>
      <c r="AG39" s="267"/>
      <c r="AH39" s="267"/>
    </row>
    <row r="40" spans="1:34" x14ac:dyDescent="0.25">
      <c r="A40" s="30" t="str">
        <f ca="1">IF(ISBLANK(INDIRECT("'Wednesday REQ'!A34")),"",INDIRECT("'Wednesday REQ'!A34"))</f>
        <v/>
      </c>
      <c r="B40" s="30" t="str">
        <f ca="1">IF(ISBLANK(INDIRECT("'Wednesday REQ'!B34")),"",INDIRECT("'Wednesday REQ'!B34"))</f>
        <v/>
      </c>
      <c r="C40" s="31" t="str">
        <f ca="1">IF(ISBLANK(INDIRECT("'Wednesday REQ'!C34")),"",INDIRECT("'Wednesday REQ'!C34"))</f>
        <v/>
      </c>
      <c r="D40" s="31" t="str">
        <f ca="1">IF(ISBLANK(INDIRECT("'Wednesday REQ'!D34")),"",INDIRECT("'Wednesday REQ'!D34"))</f>
        <v/>
      </c>
      <c r="E40" s="160" t="str">
        <f ca="1">IF(ISBLANK(INDIRECT("'Wednesday REQ'!E34")),"",INDIRECT("'Wednesday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-44552</v>
      </c>
      <c r="AF40" s="267"/>
      <c r="AG40" s="267"/>
      <c r="AH40" s="267"/>
    </row>
    <row r="41" spans="1:34" x14ac:dyDescent="0.25">
      <c r="A41" s="30" t="str">
        <f ca="1">IF(ISBLANK(INDIRECT("'Wednesday REQ'!A35")),"",INDIRECT("'Wednesday REQ'!A35"))</f>
        <v/>
      </c>
      <c r="B41" s="30" t="str">
        <f ca="1">IF(ISBLANK(INDIRECT("'Wednesday REQ'!B35")),"",INDIRECT("'Wednesday REQ'!B35"))</f>
        <v/>
      </c>
      <c r="C41" s="31" t="str">
        <f ca="1">IF(ISBLANK(INDIRECT("'Wednesday REQ'!C35")),"",INDIRECT("'Wednesday REQ'!C35"))</f>
        <v/>
      </c>
      <c r="D41" s="31" t="str">
        <f ca="1">IF(ISBLANK(INDIRECT("'Wednesday REQ'!D35")),"",INDIRECT("'Wednesday REQ'!D35"))</f>
        <v/>
      </c>
      <c r="E41" s="160" t="str">
        <f ca="1">IF(ISBLANK(INDIRECT("'Wednesday REQ'!E35")),"",INDIRECT("'Wednesday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-44552</v>
      </c>
      <c r="AF41" s="267"/>
      <c r="AG41" s="267"/>
      <c r="AH41" s="267"/>
    </row>
    <row r="42" spans="1:34" x14ac:dyDescent="0.25">
      <c r="A42" s="30" t="str">
        <f ca="1">IF(ISBLANK(INDIRECT("'Wednesday REQ'!A36")),"",INDIRECT("'Wednesday REQ'!A36"))</f>
        <v/>
      </c>
      <c r="B42" s="30" t="str">
        <f ca="1">IF(ISBLANK(INDIRECT("'Wednesday REQ'!B36")),"",INDIRECT("'Wednesday REQ'!B36"))</f>
        <v/>
      </c>
      <c r="C42" s="31" t="str">
        <f ca="1">IF(ISBLANK(INDIRECT("'Wednesday REQ'!C36")),"",INDIRECT("'Wednesday REQ'!C36"))</f>
        <v/>
      </c>
      <c r="D42" s="31" t="str">
        <f ca="1">IF(ISBLANK(INDIRECT("'Wednesday REQ'!D36")),"",INDIRECT("'Wednesday REQ'!D36"))</f>
        <v/>
      </c>
      <c r="E42" s="160" t="str">
        <f ca="1">IF(ISBLANK(INDIRECT("'Wednesday REQ'!E36")),"",INDIRECT("'Wednesday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-44552</v>
      </c>
      <c r="AF42" s="267"/>
      <c r="AG42" s="267"/>
      <c r="AH42" s="267"/>
    </row>
    <row r="43" spans="1:34" x14ac:dyDescent="0.25">
      <c r="A43" s="30" t="str">
        <f ca="1">IF(ISBLANK(INDIRECT("'Wednesday REQ'!A37")),"",INDIRECT("'Wednesday REQ'!A37"))</f>
        <v/>
      </c>
      <c r="B43" s="30" t="str">
        <f ca="1">IF(ISBLANK(INDIRECT("'Wednesday REQ'!B37")),"",INDIRECT("'Wednesday REQ'!B37"))</f>
        <v/>
      </c>
      <c r="C43" s="31" t="str">
        <f ca="1">IF(ISBLANK(INDIRECT("'Wednesday REQ'!C37")),"",INDIRECT("'Wednesday REQ'!C37"))</f>
        <v/>
      </c>
      <c r="D43" s="31" t="str">
        <f ca="1">IF(ISBLANK(INDIRECT("'Wednesday REQ'!D37")),"",INDIRECT("'Wednesday REQ'!D37"))</f>
        <v/>
      </c>
      <c r="E43" s="160" t="str">
        <f ca="1">IF(ISBLANK(INDIRECT("'Wednesday REQ'!E37")),"",INDIRECT("'Wednesday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-44552</v>
      </c>
      <c r="AF43" s="267"/>
      <c r="AG43" s="267"/>
      <c r="AH43" s="267"/>
    </row>
    <row r="44" spans="1:34" x14ac:dyDescent="0.25">
      <c r="A44" s="30" t="str">
        <f ca="1">IF(ISBLANK(INDIRECT("'Wednesday REQ'!A38")),"",INDIRECT("'Wednesday REQ'!A38"))</f>
        <v/>
      </c>
      <c r="B44" s="30" t="str">
        <f ca="1">IF(ISBLANK(INDIRECT("'Wednesday REQ'!B38")),"",INDIRECT("'Wednesday REQ'!B38"))</f>
        <v/>
      </c>
      <c r="C44" s="31" t="str">
        <f ca="1">IF(ISBLANK(INDIRECT("'Wednesday REQ'!C38")),"",INDIRECT("'Wednesday REQ'!C38"))</f>
        <v/>
      </c>
      <c r="D44" s="31" t="str">
        <f ca="1">IF(ISBLANK(INDIRECT("'Wednesday REQ'!D38")),"",INDIRECT("'Wednesday REQ'!D38"))</f>
        <v/>
      </c>
      <c r="E44" s="160" t="str">
        <f ca="1">IF(ISBLANK(INDIRECT("'Wednesday REQ'!E38")),"",INDIRECT("'Wednesday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-44552</v>
      </c>
      <c r="AF44" s="267"/>
      <c r="AG44" s="267"/>
      <c r="AH44" s="267"/>
    </row>
    <row r="45" spans="1:34" x14ac:dyDescent="0.25">
      <c r="A45" s="30" t="str">
        <f ca="1">IF(ISBLANK(INDIRECT("'Wednesday REQ'!A39")),"",INDIRECT("'Wednesday REQ'!A39"))</f>
        <v/>
      </c>
      <c r="B45" s="30" t="str">
        <f ca="1">IF(ISBLANK(INDIRECT("'Wednesday REQ'!B39")),"",INDIRECT("'Wednesday REQ'!B39"))</f>
        <v/>
      </c>
      <c r="C45" s="31" t="str">
        <f ca="1">IF(ISBLANK(INDIRECT("'Wednesday REQ'!C39")),"",INDIRECT("'Wednesday REQ'!C39"))</f>
        <v/>
      </c>
      <c r="D45" s="31" t="str">
        <f ca="1">IF(ISBLANK(INDIRECT("'Wednesday REQ'!D39")),"",INDIRECT("'Wednesday REQ'!D39"))</f>
        <v/>
      </c>
      <c r="E45" s="160" t="str">
        <f ca="1">IF(ISBLANK(INDIRECT("'Wednesday REQ'!E39")),"",INDIRECT("'Wednesday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-44552</v>
      </c>
      <c r="AF45" s="267"/>
      <c r="AG45" s="267"/>
      <c r="AH45" s="267"/>
    </row>
    <row r="46" spans="1:34" x14ac:dyDescent="0.25">
      <c r="A46" s="30" t="str">
        <f ca="1">IF(ISBLANK(INDIRECT("'Wednesday REQ'!A40")),"",INDIRECT("'Wednesday REQ'!A40"))</f>
        <v/>
      </c>
      <c r="B46" s="30" t="str">
        <f ca="1">IF(ISBLANK(INDIRECT("'Wednesday REQ'!B40")),"",INDIRECT("'Wednesday REQ'!B40"))</f>
        <v/>
      </c>
      <c r="C46" s="31" t="str">
        <f ca="1">IF(ISBLANK(INDIRECT("'Wednesday REQ'!C40")),"",INDIRECT("'Wednesday REQ'!C40"))</f>
        <v/>
      </c>
      <c r="D46" s="31" t="str">
        <f ca="1">IF(ISBLANK(INDIRECT("'Wednesday REQ'!D40")),"",INDIRECT("'Wednesday REQ'!D40"))</f>
        <v/>
      </c>
      <c r="E46" s="160" t="str">
        <f ca="1">IF(ISBLANK(INDIRECT("'Wednesday REQ'!E40")),"",INDIRECT("'Wednesday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-44552</v>
      </c>
      <c r="AF46" s="267"/>
      <c r="AG46" s="267"/>
      <c r="AH46" s="267"/>
    </row>
    <row r="47" spans="1:34" x14ac:dyDescent="0.25">
      <c r="A47" s="30" t="str">
        <f ca="1">IF(ISBLANK(INDIRECT("'Wednesday REQ'!A41")),"",INDIRECT("'Wednesday REQ'!A41"))</f>
        <v/>
      </c>
      <c r="B47" s="30" t="str">
        <f ca="1">IF(ISBLANK(INDIRECT("'Wednesday REQ'!B41")),"",INDIRECT("'Wednesday REQ'!B41"))</f>
        <v/>
      </c>
      <c r="C47" s="31" t="str">
        <f ca="1">IF(ISBLANK(INDIRECT("'Wednesday REQ'!C41")),"",INDIRECT("'Wednesday REQ'!C41"))</f>
        <v/>
      </c>
      <c r="D47" s="31" t="str">
        <f ca="1">IF(ISBLANK(INDIRECT("'Wednesday REQ'!D41")),"",INDIRECT("'Wednesday REQ'!D41"))</f>
        <v/>
      </c>
      <c r="E47" s="160" t="str">
        <f ca="1">IF(ISBLANK(INDIRECT("'Wednesday REQ'!E41")),"",INDIRECT("'Wednesday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-44552</v>
      </c>
      <c r="AF47" s="267"/>
      <c r="AG47" s="267"/>
      <c r="AH47" s="267"/>
    </row>
    <row r="48" spans="1:34" x14ac:dyDescent="0.25">
      <c r="A48" s="30" t="str">
        <f ca="1">IF(ISBLANK(INDIRECT("'Wednesday REQ'!A42")),"",INDIRECT("'Wednesday REQ'!A42"))</f>
        <v/>
      </c>
      <c r="B48" s="30" t="str">
        <f ca="1">IF(ISBLANK(INDIRECT("'Wednesday REQ'!B42")),"",INDIRECT("'Wednesday REQ'!B42"))</f>
        <v/>
      </c>
      <c r="C48" s="31" t="str">
        <f ca="1">IF(ISBLANK(INDIRECT("'Wednesday REQ'!C42")),"",INDIRECT("'Wednesday REQ'!C42"))</f>
        <v/>
      </c>
      <c r="D48" s="31" t="str">
        <f ca="1">IF(ISBLANK(INDIRECT("'Wednesday REQ'!D42")),"",INDIRECT("'Wednesday REQ'!D42"))</f>
        <v/>
      </c>
      <c r="E48" s="160" t="str">
        <f ca="1">IF(ISBLANK(INDIRECT("'Wednesday REQ'!E42")),"",INDIRECT("'Wednesday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-44552</v>
      </c>
      <c r="AF48" s="267"/>
      <c r="AG48" s="267"/>
      <c r="AH48" s="267"/>
    </row>
    <row r="49" spans="1:34" x14ac:dyDescent="0.25">
      <c r="A49" s="30" t="str">
        <f ca="1">IF(ISBLANK(INDIRECT("'Wednesday REQ'!A43")),"",INDIRECT("'Wednesday REQ'!A43"))</f>
        <v/>
      </c>
      <c r="B49" s="30" t="str">
        <f ca="1">IF(ISBLANK(INDIRECT("'Wednesday REQ'!B43")),"",INDIRECT("'Wednesday REQ'!B43"))</f>
        <v/>
      </c>
      <c r="C49" s="31" t="str">
        <f ca="1">IF(ISBLANK(INDIRECT("'Wednesday REQ'!C43")),"",INDIRECT("'Wednesday REQ'!C43"))</f>
        <v/>
      </c>
      <c r="D49" s="31" t="str">
        <f ca="1">IF(ISBLANK(INDIRECT("'Wednesday REQ'!D43")),"",INDIRECT("'Wednesday REQ'!D43"))</f>
        <v/>
      </c>
      <c r="E49" s="160" t="str">
        <f ca="1">IF(ISBLANK(INDIRECT("'Wednesday REQ'!E43")),"",INDIRECT("'Wednesday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-44552</v>
      </c>
      <c r="AF49" s="267"/>
      <c r="AG49" s="267"/>
      <c r="AH49" s="267"/>
    </row>
    <row r="50" spans="1:34" x14ac:dyDescent="0.25">
      <c r="A50" s="30" t="str">
        <f ca="1">IF(ISBLANK(INDIRECT("'Wednesday REQ'!A44")),"",INDIRECT("'Wednesday REQ'!A44"))</f>
        <v/>
      </c>
      <c r="B50" s="30" t="str">
        <f ca="1">IF(ISBLANK(INDIRECT("'Wednesday REQ'!B44")),"",INDIRECT("'Wednesday REQ'!B44"))</f>
        <v/>
      </c>
      <c r="C50" s="31" t="str">
        <f ca="1">IF(ISBLANK(INDIRECT("'Wednesday REQ'!C44")),"",INDIRECT("'Wednesday REQ'!C44"))</f>
        <v/>
      </c>
      <c r="D50" s="31" t="str">
        <f ca="1">IF(ISBLANK(INDIRECT("'Wednesday REQ'!D44")),"",INDIRECT("'Wednesday REQ'!D44"))</f>
        <v/>
      </c>
      <c r="E50" s="160" t="str">
        <f ca="1">IF(ISBLANK(INDIRECT("'Wednesday REQ'!E44")),"",INDIRECT("'Wednesday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-44552</v>
      </c>
      <c r="AF50" s="267"/>
      <c r="AG50" s="267"/>
      <c r="AH50" s="267"/>
    </row>
    <row r="51" spans="1:34" x14ac:dyDescent="0.25">
      <c r="A51" s="30" t="str">
        <f ca="1">IF(ISBLANK(INDIRECT("'Wednesday REQ'!A45")),"",INDIRECT("'Wednesday REQ'!A45"))</f>
        <v/>
      </c>
      <c r="B51" s="30" t="str">
        <f ca="1">IF(ISBLANK(INDIRECT("'Wednesday REQ'!B45")),"",INDIRECT("'Wednesday REQ'!B45"))</f>
        <v/>
      </c>
      <c r="C51" s="31" t="str">
        <f ca="1">IF(ISBLANK(INDIRECT("'Wednesday REQ'!C45")),"",INDIRECT("'Wednesday REQ'!C45"))</f>
        <v/>
      </c>
      <c r="D51" s="31" t="str">
        <f ca="1">IF(ISBLANK(INDIRECT("'Wednesday REQ'!D45")),"",INDIRECT("'Wednesday REQ'!D45"))</f>
        <v/>
      </c>
      <c r="E51" s="160" t="str">
        <f ca="1">IF(ISBLANK(INDIRECT("'Wednesday REQ'!E45")),"",INDIRECT("'Wednesday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-44552</v>
      </c>
      <c r="AF51" s="267"/>
      <c r="AG51" s="267"/>
      <c r="AH51" s="267"/>
    </row>
    <row r="52" spans="1:34" x14ac:dyDescent="0.25">
      <c r="A52" s="30" t="str">
        <f ca="1">IF(ISBLANK(INDIRECT("'Wednesday REQ'!A46")),"",INDIRECT("'Wednesday REQ'!A46"))</f>
        <v/>
      </c>
      <c r="B52" s="30" t="str">
        <f ca="1">IF(ISBLANK(INDIRECT("'Wednesday REQ'!B46")),"",INDIRECT("'Wednesday REQ'!B46"))</f>
        <v/>
      </c>
      <c r="C52" s="31" t="str">
        <f ca="1">IF(ISBLANK(INDIRECT("'Wednesday REQ'!C46")),"",INDIRECT("'Wednesday REQ'!C46"))</f>
        <v/>
      </c>
      <c r="D52" s="31" t="str">
        <f ca="1">IF(ISBLANK(INDIRECT("'Wednesday REQ'!D46")),"",INDIRECT("'Wednesday REQ'!D46"))</f>
        <v/>
      </c>
      <c r="E52" s="160" t="str">
        <f ca="1">IF(ISBLANK(INDIRECT("'Wednesday REQ'!E46")),"",INDIRECT("'Wednesday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-44552</v>
      </c>
      <c r="AF52" s="267"/>
      <c r="AG52" s="267"/>
      <c r="AH52" s="267"/>
    </row>
    <row r="53" spans="1:34" x14ac:dyDescent="0.25">
      <c r="A53" s="30" t="str">
        <f ca="1">IF(ISBLANK(INDIRECT("'Wednesday REQ'!A47")),"",INDIRECT("'Wednesday REQ'!A47"))</f>
        <v/>
      </c>
      <c r="B53" s="30" t="str">
        <f ca="1">IF(ISBLANK(INDIRECT("'Wednesday REQ'!B47")),"",INDIRECT("'Wednesday REQ'!B47"))</f>
        <v/>
      </c>
      <c r="C53" s="31" t="str">
        <f ca="1">IF(ISBLANK(INDIRECT("'Wednesday REQ'!C47")),"",INDIRECT("'Wednesday REQ'!C47"))</f>
        <v/>
      </c>
      <c r="D53" s="31" t="str">
        <f ca="1">IF(ISBLANK(INDIRECT("'Wednesday REQ'!D47")),"",INDIRECT("'Wednesday REQ'!D47"))</f>
        <v/>
      </c>
      <c r="E53" s="160" t="str">
        <f ca="1">IF(ISBLANK(INDIRECT("'Wednesday REQ'!E47")),"",INDIRECT("'Wednesday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-44552</v>
      </c>
      <c r="AF53" s="267"/>
      <c r="AG53" s="267"/>
      <c r="AH53" s="267"/>
    </row>
    <row r="54" spans="1:34" x14ac:dyDescent="0.25">
      <c r="A54" s="30" t="str">
        <f ca="1">IF(ISBLANK(INDIRECT("'Wednesday REQ'!A48")),"",INDIRECT("'Wednesday REQ'!A48"))</f>
        <v/>
      </c>
      <c r="B54" s="30" t="str">
        <f ca="1">IF(ISBLANK(INDIRECT("'Wednesday REQ'!B48")),"",INDIRECT("'Wednesday REQ'!B48"))</f>
        <v/>
      </c>
      <c r="C54" s="31" t="str">
        <f ca="1">IF(ISBLANK(INDIRECT("'Wednesday REQ'!C48")),"",INDIRECT("'Wednesday REQ'!C48"))</f>
        <v/>
      </c>
      <c r="D54" s="31" t="str">
        <f ca="1">IF(ISBLANK(INDIRECT("'Wednesday REQ'!D48")),"",INDIRECT("'Wednesday REQ'!D48"))</f>
        <v/>
      </c>
      <c r="E54" s="160" t="str">
        <f ca="1">IF(ISBLANK(INDIRECT("'Wednesday REQ'!E48")),"",INDIRECT("'Wednesday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-44552</v>
      </c>
      <c r="AF54" s="267"/>
      <c r="AG54" s="267"/>
      <c r="AH54" s="267"/>
    </row>
    <row r="55" spans="1:34" x14ac:dyDescent="0.25">
      <c r="A55" s="30" t="str">
        <f ca="1">IF(ISBLANK(INDIRECT("'Wednesday REQ'!A49")),"",INDIRECT("'Wednesday REQ'!A49"))</f>
        <v/>
      </c>
      <c r="B55" s="30" t="str">
        <f ca="1">IF(ISBLANK(INDIRECT("'Wednesday REQ'!B49")),"",INDIRECT("'Wednesday REQ'!B49"))</f>
        <v/>
      </c>
      <c r="C55" s="31" t="str">
        <f ca="1">IF(ISBLANK(INDIRECT("'Wednesday REQ'!C49")),"",INDIRECT("'Wednesday REQ'!C49"))</f>
        <v/>
      </c>
      <c r="D55" s="31" t="str">
        <f ca="1">IF(ISBLANK(INDIRECT("'Wednesday REQ'!D49")),"",INDIRECT("'Wednesday REQ'!D49"))</f>
        <v/>
      </c>
      <c r="E55" s="160" t="str">
        <f ca="1">IF(ISBLANK(INDIRECT("'Wednesday REQ'!E49")),"",INDIRECT("'Wednesday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-44552</v>
      </c>
      <c r="AF55" s="267"/>
      <c r="AG55" s="267"/>
      <c r="AH55" s="267"/>
    </row>
    <row r="56" spans="1:34" x14ac:dyDescent="0.25">
      <c r="A56" s="30" t="str">
        <f ca="1">IF(ISBLANK(INDIRECT("'Wednesday REQ'!A50")),"",INDIRECT("'Wednesday REQ'!A50"))</f>
        <v/>
      </c>
      <c r="B56" s="30" t="str">
        <f ca="1">IF(ISBLANK(INDIRECT("'Wednesday REQ'!B50")),"",INDIRECT("'Wednesday REQ'!B50"))</f>
        <v/>
      </c>
      <c r="C56" s="31" t="str">
        <f ca="1">IF(ISBLANK(INDIRECT("'Wednesday REQ'!C50")),"",INDIRECT("'Wednesday REQ'!C50"))</f>
        <v/>
      </c>
      <c r="D56" s="31" t="str">
        <f ca="1">IF(ISBLANK(INDIRECT("'Wednesday REQ'!D50")),"",INDIRECT("'Wednesday REQ'!D50"))</f>
        <v/>
      </c>
      <c r="E56" s="160" t="str">
        <f ca="1">IF(ISBLANK(INDIRECT("'Wednesday REQ'!E50")),"",INDIRECT("'Wednesday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1"/>
        <v/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1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-44552</v>
      </c>
      <c r="AF56" s="267"/>
      <c r="AG56" s="267"/>
      <c r="AH56" s="267"/>
    </row>
    <row r="57" spans="1:34" x14ac:dyDescent="0.25">
      <c r="A57" s="30" t="str">
        <f ca="1">IF(ISBLANK(INDIRECT("'Wednesday REQ'!A51")),"",INDIRECT("'Wednesday REQ'!A51"))</f>
        <v/>
      </c>
      <c r="B57" s="30" t="str">
        <f ca="1">IF(ISBLANK(INDIRECT("'Wednesday REQ'!B51")),"",INDIRECT("'Wednesday REQ'!B51"))</f>
        <v/>
      </c>
      <c r="C57" s="31" t="str">
        <f ca="1">IF(ISBLANK(INDIRECT("'Wednesday REQ'!C51")),"",INDIRECT("'Wednesday REQ'!C51"))</f>
        <v/>
      </c>
      <c r="D57" s="31" t="str">
        <f ca="1">IF(ISBLANK(INDIRECT("'Wednesday REQ'!D51")),"",INDIRECT("'Wednesday REQ'!D51"))</f>
        <v/>
      </c>
      <c r="E57" s="160" t="str">
        <f ca="1">IF(ISBLANK(INDIRECT("'Wednesday REQ'!E51")),"",INDIRECT("'Wednesday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-44552</v>
      </c>
      <c r="AF57" s="267"/>
      <c r="AG57" s="267"/>
      <c r="AH57" s="267"/>
    </row>
    <row r="58" spans="1:34" x14ac:dyDescent="0.25">
      <c r="A58" s="30" t="str">
        <f ca="1">IF(ISBLANK(INDIRECT("'Wednesday REQ'!A52")),"",INDIRECT("'Wednesday REQ'!A52"))</f>
        <v/>
      </c>
      <c r="B58" s="30" t="str">
        <f ca="1">IF(ISBLANK(INDIRECT("'Wednesday REQ'!B52")),"",INDIRECT("'Wednesday REQ'!B52"))</f>
        <v/>
      </c>
      <c r="C58" s="31" t="str">
        <f ca="1">IF(ISBLANK(INDIRECT("'Wednesday REQ'!C52")),"",INDIRECT("'Wednesday REQ'!C52"))</f>
        <v/>
      </c>
      <c r="D58" s="31" t="str">
        <f ca="1">IF(ISBLANK(INDIRECT("'Wednesday REQ'!D52")),"",INDIRECT("'Wednesday REQ'!D52"))</f>
        <v/>
      </c>
      <c r="E58" s="160" t="str">
        <f ca="1">IF(ISBLANK(INDIRECT("'Wednesday REQ'!E52")),"",INDIRECT("'Wednesday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-44552</v>
      </c>
      <c r="AF58" s="267"/>
      <c r="AG58" s="267"/>
      <c r="AH58" s="267"/>
    </row>
    <row r="59" spans="1:34" x14ac:dyDescent="0.25">
      <c r="A59" s="30" t="str">
        <f ca="1">IF(ISBLANK(INDIRECT("'Wednesday REQ'!A53")),"",INDIRECT("'Wednesday REQ'!A53"))</f>
        <v/>
      </c>
      <c r="B59" s="30" t="str">
        <f ca="1">IF(ISBLANK(INDIRECT("'Wednesday REQ'!B53")),"",INDIRECT("'Wednesday REQ'!B53"))</f>
        <v/>
      </c>
      <c r="C59" s="31" t="str">
        <f ca="1">IF(ISBLANK(INDIRECT("'Wednesday REQ'!C53")),"",INDIRECT("'Wednesday REQ'!C53"))</f>
        <v/>
      </c>
      <c r="D59" s="31" t="str">
        <f ca="1">IF(ISBLANK(INDIRECT("'Wednesday REQ'!D53")),"",INDIRECT("'Wednesday REQ'!D53"))</f>
        <v/>
      </c>
      <c r="E59" s="160" t="str">
        <f ca="1">IF(ISBLANK(INDIRECT("'Wednesday REQ'!E53")),"",INDIRECT("'Wednesday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-44552</v>
      </c>
      <c r="AF59" s="267"/>
      <c r="AG59" s="267"/>
      <c r="AH59" s="267"/>
    </row>
    <row r="60" spans="1:34" x14ac:dyDescent="0.25">
      <c r="A60" s="30" t="str">
        <f ca="1">IF(ISBLANK(INDIRECT("'Wednesday REQ'!A54")),"",INDIRECT("'Wednesday REQ'!A54"))</f>
        <v/>
      </c>
      <c r="B60" s="30" t="str">
        <f ca="1">IF(ISBLANK(INDIRECT("'Wednesday REQ'!B54")),"",INDIRECT("'Wednesday REQ'!B54"))</f>
        <v/>
      </c>
      <c r="C60" s="31" t="str">
        <f ca="1">IF(ISBLANK(INDIRECT("'Wednesday REQ'!C54")),"",INDIRECT("'Wednesday REQ'!C54"))</f>
        <v/>
      </c>
      <c r="D60" s="31" t="str">
        <f ca="1">IF(ISBLANK(INDIRECT("'Wednesday REQ'!D54")),"",INDIRECT("'Wednesday REQ'!D54"))</f>
        <v/>
      </c>
      <c r="E60" s="160" t="str">
        <f ca="1">IF(ISBLANK(INDIRECT("'Wednesday REQ'!E54")),"",INDIRECT("'Wednesday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-44552</v>
      </c>
      <c r="AF60" s="267"/>
      <c r="AG60" s="267"/>
      <c r="AH60" s="267"/>
    </row>
  </sheetData>
  <sheetProtection algorithmName="SHA-512" hashValue="msW4qT00mzb9lfSVkEIlfaKOYkcAcdHAJWX3G6icpOfoNieuw55GBsb5BO56/vpTo5LF0XsP15TUu/rTJDWjKw==" saltValue="+4EaHlyy1ARMU65UvAIFrg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M8:P8"/>
    <mergeCell ref="A1:W3"/>
    <mergeCell ref="I4:L4"/>
    <mergeCell ref="A7:E7"/>
    <mergeCell ref="F7:H7"/>
    <mergeCell ref="I7:L7"/>
    <mergeCell ref="S7:Y7"/>
  </mergeCells>
  <conditionalFormatting sqref="I9:L9 J10:L59 I10:I60">
    <cfRule type="expression" dxfId="17" priority="5">
      <formula>IF(Z9=FALSE,1,0)</formula>
    </cfRule>
  </conditionalFormatting>
  <conditionalFormatting sqref="A1:W3">
    <cfRule type="cellIs" dxfId="16" priority="3" operator="equal">
      <formula>"SAFE TO SEND, SHEETS PROTECTED"</formula>
    </cfRule>
  </conditionalFormatting>
  <conditionalFormatting sqref="G9:G60">
    <cfRule type="duplicateValues" dxfId="15" priority="2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'Agency Rates'!$I$1:$I$4</xm:f>
          </x14:formula1>
          <xm:sqref>H9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hurs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A10" sqref="A10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Info!B5-2</f>
        <v>44553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208" t="str">
        <f ca="1">IF(ISBLANK(INDIRECT("'Thursday REQ'!A3")),"",INDIRECT("'Thursday REQ'!A3"))</f>
        <v/>
      </c>
      <c r="B9" s="208" t="str">
        <f ca="1">IF(ISBLANK(INDIRECT("'Thursday REQ'!B3")),"",INDIRECT("'Thursday REQ'!B3"))</f>
        <v/>
      </c>
      <c r="C9" s="209" t="str">
        <f ca="1">IF(ISBLANK(INDIRECT("'Thursday REQ'!C3")),"",INDIRECT("'Thursday REQ'!C3"))</f>
        <v/>
      </c>
      <c r="D9" s="209" t="str">
        <f ca="1">IF(ISBLANK(INDIRECT("'Thursday REQ'!D3")),"",INDIRECT("'Thursday REQ'!D3"))</f>
        <v/>
      </c>
      <c r="E9" s="212" t="str">
        <f ca="1">IF(ISBLANK(INDIRECT("'Thursday REQ'!E3")),"",INDIRECT("'Thursday REQ'!E3"))</f>
        <v/>
      </c>
      <c r="F9" s="206"/>
      <c r="G9" s="204"/>
      <c r="H9" s="204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-44553</v>
      </c>
      <c r="AF9" s="267"/>
      <c r="AG9" s="267"/>
      <c r="AH9" s="267"/>
    </row>
    <row r="10" spans="1:34" x14ac:dyDescent="0.25">
      <c r="A10" s="208" t="str">
        <f ca="1">IF(ISBLANK(INDIRECT("'Thursday REQ'!A4")),"",INDIRECT("'Thursday REQ'!A4"))</f>
        <v/>
      </c>
      <c r="B10" s="208" t="str">
        <f ca="1">IF(ISBLANK(INDIRECT("'Thursday REQ'!B4")),"",INDIRECT("'Thursday REQ'!B4"))</f>
        <v/>
      </c>
      <c r="C10" s="209" t="str">
        <f ca="1">IF(ISBLANK(INDIRECT("'Thursday REQ'!C4")),"",INDIRECT("'Thursday REQ'!C4"))</f>
        <v/>
      </c>
      <c r="D10" s="209" t="str">
        <f ca="1">IF(ISBLANK(INDIRECT("'Thursday REQ'!D4")),"",INDIRECT("'Thursday REQ'!D4"))</f>
        <v/>
      </c>
      <c r="E10" s="212" t="str">
        <f ca="1">IF(ISBLANK(INDIRECT("'Thursday REQ'!E4")),"",INDIRECT("'Thursday REQ'!E4"))</f>
        <v/>
      </c>
      <c r="F10" s="206"/>
      <c r="G10" s="204"/>
      <c r="H10" s="204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-44553</v>
      </c>
      <c r="AF10" s="267"/>
      <c r="AG10" s="267"/>
      <c r="AH10" s="267"/>
    </row>
    <row r="11" spans="1:34" x14ac:dyDescent="0.25">
      <c r="A11" s="208" t="str">
        <f ca="1">IF(ISBLANK(INDIRECT("'Thursday REQ'!A5")),"",INDIRECT("'Thursday REQ'!A5"))</f>
        <v/>
      </c>
      <c r="B11" s="208" t="str">
        <f ca="1">IF(ISBLANK(INDIRECT("'Thursday REQ'!B5")),"",INDIRECT("'Thursday REQ'!B5"))</f>
        <v/>
      </c>
      <c r="C11" s="209" t="str">
        <f ca="1">IF(ISBLANK(INDIRECT("'Thursday REQ'!C5")),"",INDIRECT("'Thursday REQ'!C5"))</f>
        <v/>
      </c>
      <c r="D11" s="209" t="str">
        <f ca="1">IF(ISBLANK(INDIRECT("'Thursday REQ'!D5")),"",INDIRECT("'Thursday REQ'!D5"))</f>
        <v/>
      </c>
      <c r="E11" s="212" t="str">
        <f ca="1">IF(ISBLANK(INDIRECT("'Thursday REQ'!E5")),"",INDIRECT("'Thursday REQ'!E5"))</f>
        <v/>
      </c>
      <c r="F11" s="206"/>
      <c r="G11" s="204"/>
      <c r="H11" s="204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-44553</v>
      </c>
      <c r="AF11" s="267"/>
      <c r="AG11" s="267"/>
      <c r="AH11" s="267"/>
    </row>
    <row r="12" spans="1:34" x14ac:dyDescent="0.25">
      <c r="A12" s="208" t="str">
        <f ca="1">IF(ISBLANK(INDIRECT("'Thursday REQ'!A6")),"",INDIRECT("'Thursday REQ'!A6"))</f>
        <v/>
      </c>
      <c r="B12" s="208" t="str">
        <f ca="1">IF(ISBLANK(INDIRECT("'Thursday REQ'!B6")),"",INDIRECT("'Thursday REQ'!B6"))</f>
        <v/>
      </c>
      <c r="C12" s="209" t="str">
        <f ca="1">IF(ISBLANK(INDIRECT("'Thursday REQ'!C6")),"",INDIRECT("'Thursday REQ'!C6"))</f>
        <v/>
      </c>
      <c r="D12" s="209" t="str">
        <f ca="1">IF(ISBLANK(INDIRECT("'Thursday REQ'!D6")),"",INDIRECT("'Thursday REQ'!D6"))</f>
        <v/>
      </c>
      <c r="E12" s="212" t="str">
        <f ca="1">IF(ISBLANK(INDIRECT("'Thursday REQ'!E6")),"",INDIRECT("'Thursday REQ'!E6"))</f>
        <v/>
      </c>
      <c r="F12" s="206"/>
      <c r="G12" s="204"/>
      <c r="H12" s="204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-44553</v>
      </c>
      <c r="AF12" s="267"/>
      <c r="AG12" s="267"/>
      <c r="AH12" s="267"/>
    </row>
    <row r="13" spans="1:34" x14ac:dyDescent="0.25">
      <c r="A13" s="208" t="str">
        <f ca="1">IF(ISBLANK(INDIRECT("'Thursday REQ'!A7")),"",INDIRECT("'Thursday REQ'!A7"))</f>
        <v/>
      </c>
      <c r="B13" s="208" t="str">
        <f ca="1">IF(ISBLANK(INDIRECT("'Thursday REQ'!B7")),"",INDIRECT("'Thursday REQ'!B7"))</f>
        <v/>
      </c>
      <c r="C13" s="209" t="str">
        <f ca="1">IF(ISBLANK(INDIRECT("'Thursday REQ'!C7")),"",INDIRECT("'Thursday REQ'!C7"))</f>
        <v/>
      </c>
      <c r="D13" s="209" t="str">
        <f ca="1">IF(ISBLANK(INDIRECT("'Thursday REQ'!D7")),"",INDIRECT("'Thursday REQ'!D7"))</f>
        <v/>
      </c>
      <c r="E13" s="212" t="str">
        <f ca="1">IF(ISBLANK(INDIRECT("'Thursday REQ'!E7")),"",INDIRECT("'Thursday REQ'!E7"))</f>
        <v/>
      </c>
      <c r="F13" s="206"/>
      <c r="G13" s="205"/>
      <c r="H13" s="204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-44553</v>
      </c>
      <c r="AF13" s="267"/>
      <c r="AG13" s="267"/>
      <c r="AH13" s="267"/>
    </row>
    <row r="14" spans="1:34" x14ac:dyDescent="0.25">
      <c r="A14" s="208" t="str">
        <f ca="1">IF(ISBLANK(INDIRECT("'Thursday REQ'!A8")),"",INDIRECT("'Thursday REQ'!A8"))</f>
        <v/>
      </c>
      <c r="B14" s="208" t="str">
        <f ca="1">IF(ISBLANK(INDIRECT("'Thursday REQ'!B8")),"",INDIRECT("'Thursday REQ'!B8"))</f>
        <v/>
      </c>
      <c r="C14" s="209" t="str">
        <f ca="1">IF(ISBLANK(INDIRECT("'Thursday REQ'!C8")),"",INDIRECT("'Thursday REQ'!C8"))</f>
        <v/>
      </c>
      <c r="D14" s="209" t="str">
        <f ca="1">IF(ISBLANK(INDIRECT("'Thursday REQ'!D8")),"",INDIRECT("'Thursday REQ'!D8"))</f>
        <v/>
      </c>
      <c r="E14" s="212" t="str">
        <f ca="1">IF(ISBLANK(INDIRECT("'Thursday REQ'!E8")),"",INDIRECT("'Thursday REQ'!E8"))</f>
        <v/>
      </c>
      <c r="F14" s="206"/>
      <c r="G14" s="205"/>
      <c r="H14" s="204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-44553</v>
      </c>
      <c r="AF14" s="267"/>
      <c r="AG14" s="267"/>
      <c r="AH14" s="267"/>
    </row>
    <row r="15" spans="1:34" x14ac:dyDescent="0.25">
      <c r="A15" s="208" t="str">
        <f ca="1">IF(ISBLANK(INDIRECT("'Thursday REQ'!A9")),"",INDIRECT("'Thursday REQ'!A9"))</f>
        <v/>
      </c>
      <c r="B15" s="208" t="str">
        <f ca="1">IF(ISBLANK(INDIRECT("'Thursday REQ'!B9")),"",INDIRECT("'Thursday REQ'!B9"))</f>
        <v/>
      </c>
      <c r="C15" s="209" t="str">
        <f ca="1">IF(ISBLANK(INDIRECT("'Thursday REQ'!C9")),"",INDIRECT("'Thursday REQ'!C9"))</f>
        <v/>
      </c>
      <c r="D15" s="209" t="str">
        <f ca="1">IF(ISBLANK(INDIRECT("'Thursday REQ'!D9")),"",INDIRECT("'Thursday REQ'!D9"))</f>
        <v/>
      </c>
      <c r="E15" s="212" t="str">
        <f ca="1">IF(ISBLANK(INDIRECT("'Thursday REQ'!E9")),"",INDIRECT("'Thursday REQ'!E9"))</f>
        <v/>
      </c>
      <c r="F15" s="213"/>
      <c r="G15" s="210"/>
      <c r="H15" s="210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-44553</v>
      </c>
      <c r="AF15" s="267"/>
      <c r="AG15" s="267"/>
      <c r="AH15" s="267"/>
    </row>
    <row r="16" spans="1:34" x14ac:dyDescent="0.25">
      <c r="A16" s="208" t="str">
        <f ca="1">IF(ISBLANK(INDIRECT("'Thursday REQ'!A10")),"",INDIRECT("'Thursday REQ'!A10"))</f>
        <v/>
      </c>
      <c r="B16" s="208" t="str">
        <f ca="1">IF(ISBLANK(INDIRECT("'Thursday REQ'!B10")),"",INDIRECT("'Thursday REQ'!B10"))</f>
        <v/>
      </c>
      <c r="C16" s="209" t="str">
        <f ca="1">IF(ISBLANK(INDIRECT("'Thursday REQ'!C10")),"",INDIRECT("'Thursday REQ'!C10"))</f>
        <v/>
      </c>
      <c r="D16" s="209" t="str">
        <f ca="1">IF(ISBLANK(INDIRECT("'Thursday REQ'!D10")),"",INDIRECT("'Thursday REQ'!D10"))</f>
        <v/>
      </c>
      <c r="E16" s="212" t="str">
        <f ca="1">IF(ISBLANK(INDIRECT("'Thursday REQ'!E10")),"",INDIRECT("'Thursday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-44553</v>
      </c>
      <c r="AF16" s="267"/>
      <c r="AG16" s="267"/>
      <c r="AH16" s="267"/>
    </row>
    <row r="17" spans="1:34" x14ac:dyDescent="0.25">
      <c r="A17" s="208" t="str">
        <f ca="1">IF(ISBLANK(INDIRECT("'Thursday REQ'!A11")),"",INDIRECT("'Thursday REQ'!A11"))</f>
        <v/>
      </c>
      <c r="B17" s="208" t="str">
        <f ca="1">IF(ISBLANK(INDIRECT("'Thursday REQ'!B11")),"",INDIRECT("'Thursday REQ'!B11"))</f>
        <v/>
      </c>
      <c r="C17" s="209" t="str">
        <f ca="1">IF(ISBLANK(INDIRECT("'Thursday REQ'!C11")),"",INDIRECT("'Thursday REQ'!C11"))</f>
        <v/>
      </c>
      <c r="D17" s="209" t="str">
        <f ca="1">IF(ISBLANK(INDIRECT("'Thursday REQ'!D11")),"",INDIRECT("'Thursday REQ'!D11"))</f>
        <v/>
      </c>
      <c r="E17" s="212" t="str">
        <f ca="1">IF(ISBLANK(INDIRECT("'Thursday REQ'!E11")),"",INDIRECT("'Thursday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-44553</v>
      </c>
      <c r="AF17" s="267"/>
      <c r="AG17" s="267"/>
      <c r="AH17" s="267"/>
    </row>
    <row r="18" spans="1:34" x14ac:dyDescent="0.25">
      <c r="A18" s="208" t="str">
        <f ca="1">IF(ISBLANK(INDIRECT("'Thursday REQ'!A12")),"",INDIRECT("'Thursday REQ'!A12"))</f>
        <v/>
      </c>
      <c r="B18" s="208" t="str">
        <f ca="1">IF(ISBLANK(INDIRECT("'Thursday REQ'!B12")),"",INDIRECT("'Thursday REQ'!B12"))</f>
        <v/>
      </c>
      <c r="C18" s="209" t="str">
        <f ca="1">IF(ISBLANK(INDIRECT("'Thursday REQ'!C12")),"",INDIRECT("'Thursday REQ'!C12"))</f>
        <v/>
      </c>
      <c r="D18" s="209" t="str">
        <f ca="1">IF(ISBLANK(INDIRECT("'Thursday REQ'!D12")),"",INDIRECT("'Thursday REQ'!D12"))</f>
        <v/>
      </c>
      <c r="E18" s="212" t="str">
        <f ca="1">IF(ISBLANK(INDIRECT("'Thursday REQ'!E12")),"",INDIRECT("'Thursday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-44553</v>
      </c>
      <c r="AF18" s="267"/>
      <c r="AG18" s="267"/>
      <c r="AH18" s="267"/>
    </row>
    <row r="19" spans="1:34" x14ac:dyDescent="0.25">
      <c r="A19" s="208" t="str">
        <f ca="1">IF(ISBLANK(INDIRECT("'Thursday REQ'!A13")),"",INDIRECT("'Thursday REQ'!A13"))</f>
        <v/>
      </c>
      <c r="B19" s="208" t="str">
        <f ca="1">IF(ISBLANK(INDIRECT("'Thursday REQ'!B13")),"",INDIRECT("'Thursday REQ'!B13"))</f>
        <v/>
      </c>
      <c r="C19" s="209" t="str">
        <f ca="1">IF(ISBLANK(INDIRECT("'Thursday REQ'!C13")),"",INDIRECT("'Thursday REQ'!C13"))</f>
        <v/>
      </c>
      <c r="D19" s="209" t="str">
        <f ca="1">IF(ISBLANK(INDIRECT("'Thursday REQ'!D13")),"",INDIRECT("'Thursday REQ'!D13"))</f>
        <v/>
      </c>
      <c r="E19" s="212" t="str">
        <f ca="1">IF(ISBLANK(INDIRECT("'Thursday REQ'!E13")),"",INDIRECT("'Thursday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-44553</v>
      </c>
      <c r="AF19" s="267"/>
      <c r="AG19" s="267"/>
      <c r="AH19" s="267"/>
    </row>
    <row r="20" spans="1:34" x14ac:dyDescent="0.25">
      <c r="A20" s="208" t="str">
        <f ca="1">IF(ISBLANK(INDIRECT("'Thursday REQ'!A14")),"",INDIRECT("'Thursday REQ'!A14"))</f>
        <v/>
      </c>
      <c r="B20" s="208" t="str">
        <f ca="1">IF(ISBLANK(INDIRECT("'Thursday REQ'!B14")),"",INDIRECT("'Thursday REQ'!B14"))</f>
        <v/>
      </c>
      <c r="C20" s="209" t="str">
        <f ca="1">IF(ISBLANK(INDIRECT("'Thursday REQ'!C14")),"",INDIRECT("'Thursday REQ'!C14"))</f>
        <v/>
      </c>
      <c r="D20" s="209" t="str">
        <f ca="1">IF(ISBLANK(INDIRECT("'Thursday REQ'!D14")),"",INDIRECT("'Thursday REQ'!D14"))</f>
        <v/>
      </c>
      <c r="E20" s="212" t="str">
        <f ca="1">IF(ISBLANK(INDIRECT("'Thursday REQ'!E14")),"",INDIRECT("'Thursday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-44553</v>
      </c>
      <c r="AF20" s="267"/>
      <c r="AG20" s="267"/>
      <c r="AH20" s="267"/>
    </row>
    <row r="21" spans="1:34" x14ac:dyDescent="0.25">
      <c r="A21" s="208" t="str">
        <f ca="1">IF(ISBLANK(INDIRECT("'Thursday REQ'!A15")),"",INDIRECT("'Thursday REQ'!A15"))</f>
        <v/>
      </c>
      <c r="B21" s="208" t="str">
        <f ca="1">IF(ISBLANK(INDIRECT("'Thursday REQ'!B15")),"",INDIRECT("'Thursday REQ'!B15"))</f>
        <v/>
      </c>
      <c r="C21" s="209" t="str">
        <f ca="1">IF(ISBLANK(INDIRECT("'Thursday REQ'!C15")),"",INDIRECT("'Thursday REQ'!C15"))</f>
        <v/>
      </c>
      <c r="D21" s="209" t="str">
        <f ca="1">IF(ISBLANK(INDIRECT("'Thursday REQ'!D15")),"",INDIRECT("'Thursday REQ'!D15"))</f>
        <v/>
      </c>
      <c r="E21" s="212" t="str">
        <f ca="1">IF(ISBLANK(INDIRECT("'Thursday REQ'!E15")),"",INDIRECT("'Thursday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-44553</v>
      </c>
      <c r="AF21" s="267"/>
      <c r="AG21" s="267"/>
      <c r="AH21" s="267"/>
    </row>
    <row r="22" spans="1:34" x14ac:dyDescent="0.25">
      <c r="A22" s="208" t="str">
        <f ca="1">IF(ISBLANK(INDIRECT("'Thursday REQ'!A16")),"",INDIRECT("'Thursday REQ'!A16"))</f>
        <v/>
      </c>
      <c r="B22" s="208" t="str">
        <f ca="1">IF(ISBLANK(INDIRECT("'Thursday REQ'!B16")),"",INDIRECT("'Thursday REQ'!B16"))</f>
        <v/>
      </c>
      <c r="C22" s="209" t="str">
        <f ca="1">IF(ISBLANK(INDIRECT("'Thursday REQ'!C16")),"",INDIRECT("'Thursday REQ'!C16"))</f>
        <v/>
      </c>
      <c r="D22" s="209" t="str">
        <f ca="1">IF(ISBLANK(INDIRECT("'Thursday REQ'!D16")),"",INDIRECT("'Thursday REQ'!D16"))</f>
        <v/>
      </c>
      <c r="E22" s="212" t="str">
        <f ca="1">IF(ISBLANK(INDIRECT("'Thursday REQ'!E16")),"",INDIRECT("'Thursday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-44553</v>
      </c>
      <c r="AF22" s="267"/>
      <c r="AG22" s="267"/>
      <c r="AH22" s="267"/>
    </row>
    <row r="23" spans="1:34" x14ac:dyDescent="0.25">
      <c r="A23" s="208" t="str">
        <f ca="1">IF(ISBLANK(INDIRECT("'Thursday REQ'!A17")),"",INDIRECT("'Thursday REQ'!A17"))</f>
        <v/>
      </c>
      <c r="B23" s="208" t="str">
        <f ca="1">IF(ISBLANK(INDIRECT("'Thursday REQ'!B17")),"",INDIRECT("'Thursday REQ'!B17"))</f>
        <v/>
      </c>
      <c r="C23" s="209" t="str">
        <f ca="1">IF(ISBLANK(INDIRECT("'Thursday REQ'!C17")),"",INDIRECT("'Thursday REQ'!C17"))</f>
        <v/>
      </c>
      <c r="D23" s="209" t="str">
        <f ca="1">IF(ISBLANK(INDIRECT("'Thursday REQ'!D17")),"",INDIRECT("'Thursday REQ'!D17"))</f>
        <v/>
      </c>
      <c r="E23" s="212" t="str">
        <f ca="1">IF(ISBLANK(INDIRECT("'Thursday REQ'!E17")),"",INDIRECT("'Thursday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-44553</v>
      </c>
      <c r="AF23" s="267"/>
      <c r="AG23" s="267"/>
      <c r="AH23" s="267"/>
    </row>
    <row r="24" spans="1:34" x14ac:dyDescent="0.25">
      <c r="A24" s="30" t="str">
        <f ca="1">IF(ISBLANK(INDIRECT("'Thursday REQ'!A18")),"",INDIRECT("'Thursday REQ'!A18"))</f>
        <v/>
      </c>
      <c r="B24" s="30" t="str">
        <f ca="1">IF(ISBLANK(INDIRECT("'Thursday REQ'!B18")),"",INDIRECT("'Thursday REQ'!B18"))</f>
        <v/>
      </c>
      <c r="C24" s="31" t="str">
        <f ca="1">IF(ISBLANK(INDIRECT("'Thursday REQ'!C18")),"",INDIRECT("'Thursday REQ'!C18"))</f>
        <v/>
      </c>
      <c r="D24" s="31" t="str">
        <f ca="1">IF(ISBLANK(INDIRECT("'Thursday REQ'!D18")),"",INDIRECT("'Thursday REQ'!D18"))</f>
        <v/>
      </c>
      <c r="E24" s="160" t="str">
        <f ca="1">IF(ISBLANK(INDIRECT("'Thursday REQ'!E18")),"",INDIRECT("'Thursday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-44553</v>
      </c>
      <c r="AF24" s="267"/>
      <c r="AG24" s="267"/>
      <c r="AH24" s="267"/>
    </row>
    <row r="25" spans="1:34" x14ac:dyDescent="0.25">
      <c r="A25" s="30" t="str">
        <f ca="1">IF(ISBLANK(INDIRECT("'Thursday REQ'!A19")),"",INDIRECT("'Thursday REQ'!A19"))</f>
        <v/>
      </c>
      <c r="B25" s="30" t="str">
        <f ca="1">IF(ISBLANK(INDIRECT("'Thursday REQ'!B19")),"",INDIRECT("'Thursday REQ'!B19"))</f>
        <v/>
      </c>
      <c r="C25" s="31" t="str">
        <f ca="1">IF(ISBLANK(INDIRECT("'Thursday REQ'!C19")),"",INDIRECT("'Thursday REQ'!C19"))</f>
        <v/>
      </c>
      <c r="D25" s="31" t="str">
        <f ca="1">IF(ISBLANK(INDIRECT("'Thursday REQ'!D19")),"",INDIRECT("'Thursday REQ'!D19"))</f>
        <v/>
      </c>
      <c r="E25" s="160" t="str">
        <f ca="1">IF(ISBLANK(INDIRECT("'Thursday REQ'!E19")),"",INDIRECT("'Thursday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-44553</v>
      </c>
      <c r="AF25" s="267"/>
      <c r="AG25" s="267"/>
      <c r="AH25" s="267"/>
    </row>
    <row r="26" spans="1:34" x14ac:dyDescent="0.25">
      <c r="A26" s="30" t="str">
        <f ca="1">IF(ISBLANK(INDIRECT("'Thursday REQ'!A20")),"",INDIRECT("'Thursday REQ'!A20"))</f>
        <v/>
      </c>
      <c r="B26" s="30" t="str">
        <f ca="1">IF(ISBLANK(INDIRECT("'Thursday REQ'!B20")),"",INDIRECT("'Thursday REQ'!B20"))</f>
        <v/>
      </c>
      <c r="C26" s="31" t="str">
        <f ca="1">IF(ISBLANK(INDIRECT("'Thursday REQ'!C20")),"",INDIRECT("'Thursday REQ'!C20"))</f>
        <v/>
      </c>
      <c r="D26" s="31" t="str">
        <f ca="1">IF(ISBLANK(INDIRECT("'Thursday REQ'!D20")),"",INDIRECT("'Thursday REQ'!D20"))</f>
        <v/>
      </c>
      <c r="E26" s="160" t="str">
        <f ca="1">IF(ISBLANK(INDIRECT("'Thursday REQ'!E20")),"",INDIRECT("'Thursday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-44553</v>
      </c>
      <c r="AF26" s="267"/>
      <c r="AG26" s="267"/>
      <c r="AH26" s="267"/>
    </row>
    <row r="27" spans="1:34" x14ac:dyDescent="0.25">
      <c r="A27" s="30" t="str">
        <f ca="1">IF(ISBLANK(INDIRECT("'Thursday REQ'!A21")),"",INDIRECT("'Thursday REQ'!A21"))</f>
        <v/>
      </c>
      <c r="B27" s="30" t="str">
        <f ca="1">IF(ISBLANK(INDIRECT("'Thursday REQ'!B21")),"",INDIRECT("'Thursday REQ'!B21"))</f>
        <v/>
      </c>
      <c r="C27" s="31" t="str">
        <f ca="1">IF(ISBLANK(INDIRECT("'Thursday REQ'!C21")),"",INDIRECT("'Thursday REQ'!C21"))</f>
        <v/>
      </c>
      <c r="D27" s="31" t="str">
        <f ca="1">IF(ISBLANK(INDIRECT("'Thursday REQ'!D21")),"",INDIRECT("'Thursday REQ'!D21"))</f>
        <v/>
      </c>
      <c r="E27" s="160" t="str">
        <f ca="1">IF(ISBLANK(INDIRECT("'Thursday REQ'!E21")),"",INDIRECT("'Thursday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-44553</v>
      </c>
      <c r="AF27" s="267"/>
      <c r="AG27" s="267"/>
      <c r="AH27" s="267"/>
    </row>
    <row r="28" spans="1:34" x14ac:dyDescent="0.25">
      <c r="A28" s="30" t="str">
        <f ca="1">IF(ISBLANK(INDIRECT("'Thursday REQ'!A22")),"",INDIRECT("'Thursday REQ'!A22"))</f>
        <v/>
      </c>
      <c r="B28" s="30" t="str">
        <f ca="1">IF(ISBLANK(INDIRECT("'Thursday REQ'!B22")),"",INDIRECT("'Thursday REQ'!B22"))</f>
        <v/>
      </c>
      <c r="C28" s="31" t="str">
        <f ca="1">IF(ISBLANK(INDIRECT("'Thursday REQ'!C22")),"",INDIRECT("'Thursday REQ'!C22"))</f>
        <v/>
      </c>
      <c r="D28" s="31" t="str">
        <f ca="1">IF(ISBLANK(INDIRECT("'Thursday REQ'!D22")),"",INDIRECT("'Thursday REQ'!D22"))</f>
        <v/>
      </c>
      <c r="E28" s="160" t="str">
        <f ca="1">IF(ISBLANK(INDIRECT("'Thursday REQ'!E22")),"",INDIRECT("'Thursday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-44553</v>
      </c>
      <c r="AF28" s="267"/>
      <c r="AG28" s="267"/>
      <c r="AH28" s="267"/>
    </row>
    <row r="29" spans="1:34" x14ac:dyDescent="0.25">
      <c r="A29" s="30" t="str">
        <f ca="1">IF(ISBLANK(INDIRECT("'Thursday REQ'!A23")),"",INDIRECT("'Thursday REQ'!A23"))</f>
        <v/>
      </c>
      <c r="B29" s="30" t="str">
        <f ca="1">IF(ISBLANK(INDIRECT("'Thursday REQ'!B23")),"",INDIRECT("'Thursday REQ'!B23"))</f>
        <v/>
      </c>
      <c r="C29" s="31" t="str">
        <f ca="1">IF(ISBLANK(INDIRECT("'Thursday REQ'!C23")),"",INDIRECT("'Thursday REQ'!C23"))</f>
        <v/>
      </c>
      <c r="D29" s="31" t="str">
        <f ca="1">IF(ISBLANK(INDIRECT("'Thursday REQ'!D23")),"",INDIRECT("'Thursday REQ'!D23"))</f>
        <v/>
      </c>
      <c r="E29" s="160" t="str">
        <f ca="1">IF(ISBLANK(INDIRECT("'Thursday REQ'!E23")),"",INDIRECT("'Thursday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-44553</v>
      </c>
      <c r="AF29" s="267"/>
      <c r="AG29" s="267"/>
      <c r="AH29" s="267"/>
    </row>
    <row r="30" spans="1:34" x14ac:dyDescent="0.25">
      <c r="A30" s="30" t="str">
        <f ca="1">IF(ISBLANK(INDIRECT("'Thursday REQ'!A24")),"",INDIRECT("'Thursday REQ'!A24"))</f>
        <v/>
      </c>
      <c r="B30" s="30" t="str">
        <f ca="1">IF(ISBLANK(INDIRECT("'Thursday REQ'!B24")),"",INDIRECT("'Thursday REQ'!B24"))</f>
        <v/>
      </c>
      <c r="C30" s="31" t="str">
        <f ca="1">IF(ISBLANK(INDIRECT("'Thursday REQ'!C24")),"",INDIRECT("'Thursday REQ'!C24"))</f>
        <v/>
      </c>
      <c r="D30" s="31" t="str">
        <f ca="1">IF(ISBLANK(INDIRECT("'Thursday REQ'!D24")),"",INDIRECT("'Thursday REQ'!D24"))</f>
        <v/>
      </c>
      <c r="E30" s="160" t="str">
        <f ca="1">IF(ISBLANK(INDIRECT("'Thursday REQ'!E24")),"",INDIRECT("'Thursday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-44553</v>
      </c>
      <c r="AF30" s="267"/>
      <c r="AG30" s="267"/>
      <c r="AH30" s="267"/>
    </row>
    <row r="31" spans="1:34" x14ac:dyDescent="0.25">
      <c r="A31" s="30" t="str">
        <f ca="1">IF(ISBLANK(INDIRECT("'Thursday REQ'!A25")),"",INDIRECT("'Thursday REQ'!A25"))</f>
        <v/>
      </c>
      <c r="B31" s="30" t="str">
        <f ca="1">IF(ISBLANK(INDIRECT("'Thursday REQ'!B25")),"",INDIRECT("'Thursday REQ'!B25"))</f>
        <v/>
      </c>
      <c r="C31" s="31" t="str">
        <f ca="1">IF(ISBLANK(INDIRECT("'Thursday REQ'!C25")),"",INDIRECT("'Thursday REQ'!C25"))</f>
        <v/>
      </c>
      <c r="D31" s="31" t="str">
        <f ca="1">IF(ISBLANK(INDIRECT("'Thursday REQ'!D25")),"",INDIRECT("'Thursday REQ'!D25"))</f>
        <v/>
      </c>
      <c r="E31" s="160" t="str">
        <f ca="1">IF(ISBLANK(INDIRECT("'Thursday REQ'!E25")),"",INDIRECT("'Thursday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-44553</v>
      </c>
      <c r="AF31" s="267"/>
      <c r="AG31" s="267"/>
      <c r="AH31" s="267"/>
    </row>
    <row r="32" spans="1:34" x14ac:dyDescent="0.25">
      <c r="A32" s="30" t="str">
        <f ca="1">IF(ISBLANK(INDIRECT("'Thursday REQ'!A26")),"",INDIRECT("'Thursday REQ'!A26"))</f>
        <v/>
      </c>
      <c r="B32" s="30" t="str">
        <f ca="1">IF(ISBLANK(INDIRECT("'Thursday REQ'!B26")),"",INDIRECT("'Thursday REQ'!B26"))</f>
        <v/>
      </c>
      <c r="C32" s="31" t="str">
        <f ca="1">IF(ISBLANK(INDIRECT("'Thursday REQ'!C26")),"",INDIRECT("'Thursday REQ'!C26"))</f>
        <v/>
      </c>
      <c r="D32" s="31" t="str">
        <f ca="1">IF(ISBLANK(INDIRECT("'Thursday REQ'!D26")),"",INDIRECT("'Thursday REQ'!D26"))</f>
        <v/>
      </c>
      <c r="E32" s="160" t="str">
        <f ca="1">IF(ISBLANK(INDIRECT("'Thursday REQ'!E26")),"",INDIRECT("'Thursday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-44553</v>
      </c>
      <c r="AF32" s="267"/>
      <c r="AG32" s="267"/>
      <c r="AH32" s="267"/>
    </row>
    <row r="33" spans="1:34" x14ac:dyDescent="0.25">
      <c r="A33" s="30" t="str">
        <f ca="1">IF(ISBLANK(INDIRECT("'Thursday REQ'!A27")),"",INDIRECT("'Thursday REQ'!A27"))</f>
        <v/>
      </c>
      <c r="B33" s="30" t="str">
        <f ca="1">IF(ISBLANK(INDIRECT("'Thursday REQ'!B27")),"",INDIRECT("'Thursday REQ'!B27"))</f>
        <v/>
      </c>
      <c r="C33" s="31" t="str">
        <f ca="1">IF(ISBLANK(INDIRECT("'Thursday REQ'!C27")),"",INDIRECT("'Thursday REQ'!C27"))</f>
        <v/>
      </c>
      <c r="D33" s="31" t="str">
        <f ca="1">IF(ISBLANK(INDIRECT("'Thursday REQ'!D27")),"",INDIRECT("'Thursday REQ'!D27"))</f>
        <v/>
      </c>
      <c r="E33" s="160" t="str">
        <f ca="1">IF(ISBLANK(INDIRECT("'Thursday REQ'!E27")),"",INDIRECT("'Thursday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-44553</v>
      </c>
      <c r="AF33" s="267"/>
      <c r="AG33" s="267"/>
      <c r="AH33" s="267"/>
    </row>
    <row r="34" spans="1:34" x14ac:dyDescent="0.25">
      <c r="A34" s="30" t="str">
        <f ca="1">IF(ISBLANK(INDIRECT("'Thursday REQ'!A28")),"",INDIRECT("'Thursday REQ'!A28"))</f>
        <v/>
      </c>
      <c r="B34" s="30" t="str">
        <f ca="1">IF(ISBLANK(INDIRECT("'Thursday REQ'!B28")),"",INDIRECT("'Thursday REQ'!B28"))</f>
        <v/>
      </c>
      <c r="C34" s="31" t="str">
        <f ca="1">IF(ISBLANK(INDIRECT("'Thursday REQ'!C28")),"",INDIRECT("'Thursday REQ'!C28"))</f>
        <v/>
      </c>
      <c r="D34" s="31" t="str">
        <f ca="1">IF(ISBLANK(INDIRECT("'Thursday REQ'!D28")),"",INDIRECT("'Thursday REQ'!D28"))</f>
        <v/>
      </c>
      <c r="E34" s="160" t="str">
        <f ca="1">IF(ISBLANK(INDIRECT("'Thursday REQ'!E28")),"",INDIRECT("'Thursday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-44553</v>
      </c>
      <c r="AF34" s="267"/>
      <c r="AG34" s="267"/>
      <c r="AH34" s="267"/>
    </row>
    <row r="35" spans="1:34" x14ac:dyDescent="0.25">
      <c r="A35" s="30" t="str">
        <f ca="1">IF(ISBLANK(INDIRECT("'Thursday REQ'!A29")),"",INDIRECT("'Thursday REQ'!A29"))</f>
        <v/>
      </c>
      <c r="B35" s="30" t="str">
        <f ca="1">IF(ISBLANK(INDIRECT("'Thursday REQ'!B29")),"",INDIRECT("'Thursday REQ'!B29"))</f>
        <v/>
      </c>
      <c r="C35" s="31" t="str">
        <f ca="1">IF(ISBLANK(INDIRECT("'Thursday REQ'!C29")),"",INDIRECT("'Thursday REQ'!C29"))</f>
        <v/>
      </c>
      <c r="D35" s="31" t="str">
        <f ca="1">IF(ISBLANK(INDIRECT("'Thursday REQ'!D29")),"",INDIRECT("'Thursday REQ'!D29"))</f>
        <v/>
      </c>
      <c r="E35" s="160" t="str">
        <f ca="1">IF(ISBLANK(INDIRECT("'Thursday REQ'!E29")),"",INDIRECT("'Thursday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-44553</v>
      </c>
      <c r="AF35" s="267"/>
      <c r="AG35" s="267"/>
      <c r="AH35" s="267"/>
    </row>
    <row r="36" spans="1:34" x14ac:dyDescent="0.25">
      <c r="A36" s="30" t="str">
        <f ca="1">IF(ISBLANK(INDIRECT("'Thursday REQ'!A30")),"",INDIRECT("'Thursday REQ'!A30"))</f>
        <v/>
      </c>
      <c r="B36" s="30" t="str">
        <f ca="1">IF(ISBLANK(INDIRECT("'Thursday REQ'!B30")),"",INDIRECT("'Thursday REQ'!B30"))</f>
        <v/>
      </c>
      <c r="C36" s="31" t="str">
        <f ca="1">IF(ISBLANK(INDIRECT("'Thursday REQ'!C30")),"",INDIRECT("'Thursday REQ'!C30"))</f>
        <v/>
      </c>
      <c r="D36" s="31" t="str">
        <f ca="1">IF(ISBLANK(INDIRECT("'Thursday REQ'!D30")),"",INDIRECT("'Thursday REQ'!D30"))</f>
        <v/>
      </c>
      <c r="E36" s="160" t="str">
        <f ca="1">IF(ISBLANK(INDIRECT("'Thursday REQ'!E30")),"",INDIRECT("'Thursday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-44553</v>
      </c>
      <c r="AF36" s="267"/>
      <c r="AG36" s="267"/>
      <c r="AH36" s="267"/>
    </row>
    <row r="37" spans="1:34" x14ac:dyDescent="0.25">
      <c r="A37" s="30" t="str">
        <f ca="1">IF(ISBLANK(INDIRECT("'Thursday REQ'!A31")),"",INDIRECT("'Thursday REQ'!A31"))</f>
        <v/>
      </c>
      <c r="B37" s="30" t="str">
        <f ca="1">IF(ISBLANK(INDIRECT("'Thursday REQ'!B31")),"",INDIRECT("'Thursday REQ'!B31"))</f>
        <v/>
      </c>
      <c r="C37" s="31" t="str">
        <f ca="1">IF(ISBLANK(INDIRECT("'Thursday REQ'!C31")),"",INDIRECT("'Thursday REQ'!C31"))</f>
        <v/>
      </c>
      <c r="D37" s="31" t="str">
        <f ca="1">IF(ISBLANK(INDIRECT("'Thursday REQ'!D31")),"",INDIRECT("'Thursday REQ'!D31"))</f>
        <v/>
      </c>
      <c r="E37" s="160" t="str">
        <f ca="1">IF(ISBLANK(INDIRECT("'Thursday REQ'!E31")),"",INDIRECT("'Thursday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-44553</v>
      </c>
      <c r="AF37" s="267"/>
      <c r="AG37" s="267"/>
      <c r="AH37" s="267"/>
    </row>
    <row r="38" spans="1:34" x14ac:dyDescent="0.25">
      <c r="A38" s="30" t="str">
        <f ca="1">IF(ISBLANK(INDIRECT("'Thursday REQ'!A32")),"",INDIRECT("'Thursday REQ'!A32"))</f>
        <v/>
      </c>
      <c r="B38" s="30" t="str">
        <f ca="1">IF(ISBLANK(INDIRECT("'Thursday REQ'!B32")),"",INDIRECT("'Thursday REQ'!B32"))</f>
        <v/>
      </c>
      <c r="C38" s="31" t="str">
        <f ca="1">IF(ISBLANK(INDIRECT("'Thursday REQ'!C32")),"",INDIRECT("'Thursday REQ'!C32"))</f>
        <v/>
      </c>
      <c r="D38" s="31" t="str">
        <f ca="1">IF(ISBLANK(INDIRECT("'Thursday REQ'!D32")),"",INDIRECT("'Thursday REQ'!D32"))</f>
        <v/>
      </c>
      <c r="E38" s="160" t="str">
        <f ca="1">IF(ISBLANK(INDIRECT("'Thursday REQ'!E32")),"",INDIRECT("'Thursday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-44553</v>
      </c>
      <c r="AF38" s="267"/>
      <c r="AG38" s="267"/>
      <c r="AH38" s="267"/>
    </row>
    <row r="39" spans="1:34" x14ac:dyDescent="0.25">
      <c r="A39" s="30" t="str">
        <f ca="1">IF(ISBLANK(INDIRECT("'Thursday REQ'!A33")),"",INDIRECT("'Thursday REQ'!A33"))</f>
        <v/>
      </c>
      <c r="B39" s="30" t="str">
        <f ca="1">IF(ISBLANK(INDIRECT("'Thursday REQ'!B33")),"",INDIRECT("'Thursday REQ'!B33"))</f>
        <v/>
      </c>
      <c r="C39" s="31" t="str">
        <f ca="1">IF(ISBLANK(INDIRECT("'Thursday REQ'!C33")),"",INDIRECT("'Thursday REQ'!C33"))</f>
        <v/>
      </c>
      <c r="D39" s="31" t="str">
        <f ca="1">IF(ISBLANK(INDIRECT("'Thursday REQ'!D33")),"",INDIRECT("'Thursday REQ'!D33"))</f>
        <v/>
      </c>
      <c r="E39" s="160" t="str">
        <f ca="1">IF(ISBLANK(INDIRECT("'Thursday REQ'!E33")),"",INDIRECT("'Thursday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-44553</v>
      </c>
      <c r="AF39" s="267"/>
      <c r="AG39" s="267"/>
      <c r="AH39" s="267"/>
    </row>
    <row r="40" spans="1:34" x14ac:dyDescent="0.25">
      <c r="A40" s="30" t="str">
        <f ca="1">IF(ISBLANK(INDIRECT("'Thursday REQ'!A34")),"",INDIRECT("'Thursday REQ'!A34"))</f>
        <v/>
      </c>
      <c r="B40" s="30" t="str">
        <f ca="1">IF(ISBLANK(INDIRECT("'Thursday REQ'!B34")),"",INDIRECT("'Thursday REQ'!B34"))</f>
        <v/>
      </c>
      <c r="C40" s="31" t="str">
        <f ca="1">IF(ISBLANK(INDIRECT("'Thursday REQ'!C34")),"",INDIRECT("'Thursday REQ'!C34"))</f>
        <v/>
      </c>
      <c r="D40" s="31" t="str">
        <f ca="1">IF(ISBLANK(INDIRECT("'Thursday REQ'!D34")),"",INDIRECT("'Thursday REQ'!D34"))</f>
        <v/>
      </c>
      <c r="E40" s="160" t="str">
        <f ca="1">IF(ISBLANK(INDIRECT("'Thursday REQ'!E34")),"",INDIRECT("'Thursday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-44553</v>
      </c>
      <c r="AF40" s="267"/>
      <c r="AG40" s="267"/>
      <c r="AH40" s="267"/>
    </row>
    <row r="41" spans="1:34" x14ac:dyDescent="0.25">
      <c r="A41" s="30" t="str">
        <f ca="1">IF(ISBLANK(INDIRECT("'Thursday REQ'!A35")),"",INDIRECT("'Thursday REQ'!A35"))</f>
        <v/>
      </c>
      <c r="B41" s="30" t="str">
        <f ca="1">IF(ISBLANK(INDIRECT("'Thursday REQ'!B35")),"",INDIRECT("'Thursday REQ'!B35"))</f>
        <v/>
      </c>
      <c r="C41" s="31" t="str">
        <f ca="1">IF(ISBLANK(INDIRECT("'Thursday REQ'!C35")),"",INDIRECT("'Thursday REQ'!C35"))</f>
        <v/>
      </c>
      <c r="D41" s="31" t="str">
        <f ca="1">IF(ISBLANK(INDIRECT("'Thursday REQ'!D35")),"",INDIRECT("'Thursday REQ'!D35"))</f>
        <v/>
      </c>
      <c r="E41" s="160" t="str">
        <f ca="1">IF(ISBLANK(INDIRECT("'Thursday REQ'!E35")),"",INDIRECT("'Thursday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-44553</v>
      </c>
      <c r="AF41" s="267"/>
      <c r="AG41" s="267"/>
      <c r="AH41" s="267"/>
    </row>
    <row r="42" spans="1:34" x14ac:dyDescent="0.25">
      <c r="A42" s="30" t="str">
        <f ca="1">IF(ISBLANK(INDIRECT("'Thursday REQ'!A36")),"",INDIRECT("'Thursday REQ'!A36"))</f>
        <v/>
      </c>
      <c r="B42" s="30" t="str">
        <f ca="1">IF(ISBLANK(INDIRECT("'Thursday REQ'!B36")),"",INDIRECT("'Thursday REQ'!B36"))</f>
        <v/>
      </c>
      <c r="C42" s="31" t="str">
        <f ca="1">IF(ISBLANK(INDIRECT("'Thursday REQ'!C36")),"",INDIRECT("'Thursday REQ'!C36"))</f>
        <v/>
      </c>
      <c r="D42" s="31" t="str">
        <f ca="1">IF(ISBLANK(INDIRECT("'Thursday REQ'!D36")),"",INDIRECT("'Thursday REQ'!D36"))</f>
        <v/>
      </c>
      <c r="E42" s="160" t="str">
        <f ca="1">IF(ISBLANK(INDIRECT("'Thursday REQ'!E36")),"",INDIRECT("'Thursday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-44553</v>
      </c>
      <c r="AF42" s="267"/>
      <c r="AG42" s="267"/>
      <c r="AH42" s="267"/>
    </row>
    <row r="43" spans="1:34" x14ac:dyDescent="0.25">
      <c r="A43" s="30" t="str">
        <f ca="1">IF(ISBLANK(INDIRECT("'Thursday REQ'!A37")),"",INDIRECT("'Thursday REQ'!A37"))</f>
        <v/>
      </c>
      <c r="B43" s="30" t="str">
        <f ca="1">IF(ISBLANK(INDIRECT("'Thursday REQ'!B37")),"",INDIRECT("'Thursday REQ'!B37"))</f>
        <v/>
      </c>
      <c r="C43" s="31" t="str">
        <f ca="1">IF(ISBLANK(INDIRECT("'Thursday REQ'!C37")),"",INDIRECT("'Thursday REQ'!C37"))</f>
        <v/>
      </c>
      <c r="D43" s="31" t="str">
        <f ca="1">IF(ISBLANK(INDIRECT("'Thursday REQ'!D37")),"",INDIRECT("'Thursday REQ'!D37"))</f>
        <v/>
      </c>
      <c r="E43" s="160" t="str">
        <f ca="1">IF(ISBLANK(INDIRECT("'Thursday REQ'!E37")),"",INDIRECT("'Thursday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-44553</v>
      </c>
      <c r="AF43" s="267"/>
      <c r="AG43" s="267"/>
      <c r="AH43" s="267"/>
    </row>
    <row r="44" spans="1:34" x14ac:dyDescent="0.25">
      <c r="A44" s="30" t="str">
        <f ca="1">IF(ISBLANK(INDIRECT("'Thursday REQ'!A38")),"",INDIRECT("'Thursday REQ'!A38"))</f>
        <v/>
      </c>
      <c r="B44" s="30" t="str">
        <f ca="1">IF(ISBLANK(INDIRECT("'Thursday REQ'!B38")),"",INDIRECT("'Thursday REQ'!B38"))</f>
        <v/>
      </c>
      <c r="C44" s="31" t="str">
        <f ca="1">IF(ISBLANK(INDIRECT("'Thursday REQ'!C38")),"",INDIRECT("'Thursday REQ'!C38"))</f>
        <v/>
      </c>
      <c r="D44" s="31" t="str">
        <f ca="1">IF(ISBLANK(INDIRECT("'Thursday REQ'!D38")),"",INDIRECT("'Thursday REQ'!D38"))</f>
        <v/>
      </c>
      <c r="E44" s="160" t="str">
        <f ca="1">IF(ISBLANK(INDIRECT("'Thursday REQ'!E38")),"",INDIRECT("'Thursday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-44553</v>
      </c>
      <c r="AF44" s="267"/>
      <c r="AG44" s="267"/>
      <c r="AH44" s="267"/>
    </row>
    <row r="45" spans="1:34" x14ac:dyDescent="0.25">
      <c r="A45" s="30" t="str">
        <f ca="1">IF(ISBLANK(INDIRECT("'Thursday REQ'!A39")),"",INDIRECT("'Thursday REQ'!A39"))</f>
        <v/>
      </c>
      <c r="B45" s="30" t="str">
        <f ca="1">IF(ISBLANK(INDIRECT("'Thursday REQ'!B39")),"",INDIRECT("'Thursday REQ'!B39"))</f>
        <v/>
      </c>
      <c r="C45" s="31" t="str">
        <f ca="1">IF(ISBLANK(INDIRECT("'Thursday REQ'!C39")),"",INDIRECT("'Thursday REQ'!C39"))</f>
        <v/>
      </c>
      <c r="D45" s="31" t="str">
        <f ca="1">IF(ISBLANK(INDIRECT("'Thursday REQ'!D39")),"",INDIRECT("'Thursday REQ'!D39"))</f>
        <v/>
      </c>
      <c r="E45" s="160" t="str">
        <f ca="1">IF(ISBLANK(INDIRECT("'Thursday REQ'!E39")),"",INDIRECT("'Thursday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-44553</v>
      </c>
      <c r="AF45" s="267"/>
      <c r="AG45" s="267"/>
      <c r="AH45" s="267"/>
    </row>
    <row r="46" spans="1:34" x14ac:dyDescent="0.25">
      <c r="A46" s="30" t="str">
        <f ca="1">IF(ISBLANK(INDIRECT("'Thursday REQ'!A40")),"",INDIRECT("'Thursday REQ'!A40"))</f>
        <v/>
      </c>
      <c r="B46" s="30" t="str">
        <f ca="1">IF(ISBLANK(INDIRECT("'Thursday REQ'!B40")),"",INDIRECT("'Thursday REQ'!B40"))</f>
        <v/>
      </c>
      <c r="C46" s="31" t="str">
        <f ca="1">IF(ISBLANK(INDIRECT("'Thursday REQ'!C40")),"",INDIRECT("'Thursday REQ'!C40"))</f>
        <v/>
      </c>
      <c r="D46" s="31" t="str">
        <f ca="1">IF(ISBLANK(INDIRECT("'Thursday REQ'!D40")),"",INDIRECT("'Thursday REQ'!D40"))</f>
        <v/>
      </c>
      <c r="E46" s="160" t="str">
        <f ca="1">IF(ISBLANK(INDIRECT("'Thursday REQ'!E40")),"",INDIRECT("'Thursday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-44553</v>
      </c>
      <c r="AF46" s="267"/>
      <c r="AG46" s="267"/>
      <c r="AH46" s="267"/>
    </row>
    <row r="47" spans="1:34" x14ac:dyDescent="0.25">
      <c r="A47" s="30" t="str">
        <f ca="1">IF(ISBLANK(INDIRECT("'Thursday REQ'!A41")),"",INDIRECT("'Thursday REQ'!A41"))</f>
        <v/>
      </c>
      <c r="B47" s="30" t="str">
        <f ca="1">IF(ISBLANK(INDIRECT("'Thursday REQ'!B41")),"",INDIRECT("'Thursday REQ'!B41"))</f>
        <v/>
      </c>
      <c r="C47" s="31" t="str">
        <f ca="1">IF(ISBLANK(INDIRECT("'Thursday REQ'!C41")),"",INDIRECT("'Thursday REQ'!C41"))</f>
        <v/>
      </c>
      <c r="D47" s="31" t="str">
        <f ca="1">IF(ISBLANK(INDIRECT("'Thursday REQ'!D41")),"",INDIRECT("'Thursday REQ'!D41"))</f>
        <v/>
      </c>
      <c r="E47" s="160" t="str">
        <f ca="1">IF(ISBLANK(INDIRECT("'Thursday REQ'!E41")),"",INDIRECT("'Thursday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-44553</v>
      </c>
      <c r="AF47" s="267"/>
      <c r="AG47" s="267"/>
      <c r="AH47" s="267"/>
    </row>
    <row r="48" spans="1:34" x14ac:dyDescent="0.25">
      <c r="A48" s="30" t="str">
        <f ca="1">IF(ISBLANK(INDIRECT("'Thursday REQ'!A42")),"",INDIRECT("'Thursday REQ'!A42"))</f>
        <v/>
      </c>
      <c r="B48" s="30" t="str">
        <f ca="1">IF(ISBLANK(INDIRECT("'Thursday REQ'!B42")),"",INDIRECT("'Thursday REQ'!B42"))</f>
        <v/>
      </c>
      <c r="C48" s="31" t="str">
        <f ca="1">IF(ISBLANK(INDIRECT("'Thursday REQ'!C42")),"",INDIRECT("'Thursday REQ'!C42"))</f>
        <v/>
      </c>
      <c r="D48" s="31" t="str">
        <f ca="1">IF(ISBLANK(INDIRECT("'Thursday REQ'!D42")),"",INDIRECT("'Thursday REQ'!D42"))</f>
        <v/>
      </c>
      <c r="E48" s="160" t="str">
        <f ca="1">IF(ISBLANK(INDIRECT("'Thursday REQ'!E42")),"",INDIRECT("'Thursday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-44553</v>
      </c>
      <c r="AF48" s="267"/>
      <c r="AG48" s="267"/>
      <c r="AH48" s="267"/>
    </row>
    <row r="49" spans="1:34" x14ac:dyDescent="0.25">
      <c r="A49" s="30" t="str">
        <f ca="1">IF(ISBLANK(INDIRECT("'Thursday REQ'!A43")),"",INDIRECT("'Thursday REQ'!A43"))</f>
        <v/>
      </c>
      <c r="B49" s="30" t="str">
        <f ca="1">IF(ISBLANK(INDIRECT("'Thursday REQ'!B43")),"",INDIRECT("'Thursday REQ'!B43"))</f>
        <v/>
      </c>
      <c r="C49" s="31" t="str">
        <f ca="1">IF(ISBLANK(INDIRECT("'Thursday REQ'!C43")),"",INDIRECT("'Thursday REQ'!C43"))</f>
        <v/>
      </c>
      <c r="D49" s="31" t="str">
        <f ca="1">IF(ISBLANK(INDIRECT("'Thursday REQ'!D43")),"",INDIRECT("'Thursday REQ'!D43"))</f>
        <v/>
      </c>
      <c r="E49" s="160" t="str">
        <f ca="1">IF(ISBLANK(INDIRECT("'Thursday REQ'!E43")),"",INDIRECT("'Thursday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-44553</v>
      </c>
      <c r="AF49" s="267"/>
      <c r="AG49" s="267"/>
      <c r="AH49" s="267"/>
    </row>
    <row r="50" spans="1:34" x14ac:dyDescent="0.25">
      <c r="A50" s="30" t="str">
        <f ca="1">IF(ISBLANK(INDIRECT("'Thursday REQ'!A44")),"",INDIRECT("'Thursday REQ'!A44"))</f>
        <v/>
      </c>
      <c r="B50" s="30" t="str">
        <f ca="1">IF(ISBLANK(INDIRECT("'Thursday REQ'!B44")),"",INDIRECT("'Thursday REQ'!B44"))</f>
        <v/>
      </c>
      <c r="C50" s="31" t="str">
        <f ca="1">IF(ISBLANK(INDIRECT("'Thursday REQ'!C44")),"",INDIRECT("'Thursday REQ'!C44"))</f>
        <v/>
      </c>
      <c r="D50" s="31" t="str">
        <f ca="1">IF(ISBLANK(INDIRECT("'Thursday REQ'!D44")),"",INDIRECT("'Thursday REQ'!D44"))</f>
        <v/>
      </c>
      <c r="E50" s="160" t="str">
        <f ca="1">IF(ISBLANK(INDIRECT("'Thursday REQ'!E44")),"",INDIRECT("'Thursday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-44553</v>
      </c>
      <c r="AF50" s="267"/>
      <c r="AG50" s="267"/>
      <c r="AH50" s="267"/>
    </row>
    <row r="51" spans="1:34" x14ac:dyDescent="0.25">
      <c r="A51" s="30" t="str">
        <f ca="1">IF(ISBLANK(INDIRECT("'Thursday REQ'!A45")),"",INDIRECT("'Thursday REQ'!A45"))</f>
        <v/>
      </c>
      <c r="B51" s="30" t="str">
        <f ca="1">IF(ISBLANK(INDIRECT("'Thursday REQ'!B45")),"",INDIRECT("'Thursday REQ'!B45"))</f>
        <v/>
      </c>
      <c r="C51" s="31" t="str">
        <f ca="1">IF(ISBLANK(INDIRECT("'Thursday REQ'!C45")),"",INDIRECT("'Thursday REQ'!C45"))</f>
        <v/>
      </c>
      <c r="D51" s="31" t="str">
        <f ca="1">IF(ISBLANK(INDIRECT("'Thursday REQ'!D45")),"",INDIRECT("'Thursday REQ'!D45"))</f>
        <v/>
      </c>
      <c r="E51" s="160" t="str">
        <f ca="1">IF(ISBLANK(INDIRECT("'Thursday REQ'!E45")),"",INDIRECT("'Thursday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-44553</v>
      </c>
      <c r="AF51" s="267"/>
      <c r="AG51" s="267"/>
      <c r="AH51" s="267"/>
    </row>
    <row r="52" spans="1:34" x14ac:dyDescent="0.25">
      <c r="A52" s="30" t="str">
        <f ca="1">IF(ISBLANK(INDIRECT("'Thursday REQ'!A46")),"",INDIRECT("'Thursday REQ'!A46"))</f>
        <v/>
      </c>
      <c r="B52" s="30" t="str">
        <f ca="1">IF(ISBLANK(INDIRECT("'Thursday REQ'!B46")),"",INDIRECT("'Thursday REQ'!B46"))</f>
        <v/>
      </c>
      <c r="C52" s="31" t="str">
        <f ca="1">IF(ISBLANK(INDIRECT("'Thursday REQ'!C46")),"",INDIRECT("'Thursday REQ'!C46"))</f>
        <v/>
      </c>
      <c r="D52" s="31" t="str">
        <f ca="1">IF(ISBLANK(INDIRECT("'Thursday REQ'!D46")),"",INDIRECT("'Thursday REQ'!D46"))</f>
        <v/>
      </c>
      <c r="E52" s="160" t="str">
        <f ca="1">IF(ISBLANK(INDIRECT("'Thursday REQ'!E46")),"",INDIRECT("'Thursday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-44553</v>
      </c>
      <c r="AF52" s="267"/>
      <c r="AG52" s="267"/>
      <c r="AH52" s="267"/>
    </row>
    <row r="53" spans="1:34" x14ac:dyDescent="0.25">
      <c r="A53" s="30" t="str">
        <f ca="1">IF(ISBLANK(INDIRECT("'Thursday REQ'!A47")),"",INDIRECT("'Thursday REQ'!A47"))</f>
        <v/>
      </c>
      <c r="B53" s="30" t="str">
        <f ca="1">IF(ISBLANK(INDIRECT("'Thursday REQ'!B47")),"",INDIRECT("'Thursday REQ'!B47"))</f>
        <v/>
      </c>
      <c r="C53" s="31" t="str">
        <f ca="1">IF(ISBLANK(INDIRECT("'Thursday REQ'!C47")),"",INDIRECT("'Thursday REQ'!C47"))</f>
        <v/>
      </c>
      <c r="D53" s="31" t="str">
        <f ca="1">IF(ISBLANK(INDIRECT("'Thursday REQ'!D47")),"",INDIRECT("'Thursday REQ'!D47"))</f>
        <v/>
      </c>
      <c r="E53" s="160" t="str">
        <f ca="1">IF(ISBLANK(INDIRECT("'Thursday REQ'!E47")),"",INDIRECT("'Thursday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-44553</v>
      </c>
      <c r="AF53" s="267"/>
      <c r="AG53" s="267"/>
      <c r="AH53" s="267"/>
    </row>
    <row r="54" spans="1:34" x14ac:dyDescent="0.25">
      <c r="A54" s="30" t="str">
        <f ca="1">IF(ISBLANK(INDIRECT("'Thursday REQ'!A48")),"",INDIRECT("'Thursday REQ'!A48"))</f>
        <v/>
      </c>
      <c r="B54" s="30" t="str">
        <f ca="1">IF(ISBLANK(INDIRECT("'Thursday REQ'!B48")),"",INDIRECT("'Thursday REQ'!B48"))</f>
        <v/>
      </c>
      <c r="C54" s="31" t="str">
        <f ca="1">IF(ISBLANK(INDIRECT("'Thursday REQ'!C48")),"",INDIRECT("'Thursday REQ'!C48"))</f>
        <v/>
      </c>
      <c r="D54" s="31" t="str">
        <f ca="1">IF(ISBLANK(INDIRECT("'Thursday REQ'!D48")),"",INDIRECT("'Thursday REQ'!D48"))</f>
        <v/>
      </c>
      <c r="E54" s="160" t="str">
        <f ca="1">IF(ISBLANK(INDIRECT("'Thursday REQ'!E48")),"",INDIRECT("'Thursday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-44553</v>
      </c>
      <c r="AF54" s="267"/>
      <c r="AG54" s="267"/>
      <c r="AH54" s="267"/>
    </row>
    <row r="55" spans="1:34" x14ac:dyDescent="0.25">
      <c r="A55" s="30" t="str">
        <f ca="1">IF(ISBLANK(INDIRECT("'Thursday REQ'!A49")),"",INDIRECT("'Thursday REQ'!A49"))</f>
        <v/>
      </c>
      <c r="B55" s="30" t="str">
        <f ca="1">IF(ISBLANK(INDIRECT("'Thursday REQ'!B49")),"",INDIRECT("'Thursday REQ'!B49"))</f>
        <v/>
      </c>
      <c r="C55" s="31" t="str">
        <f ca="1">IF(ISBLANK(INDIRECT("'Thursday REQ'!C49")),"",INDIRECT("'Thursday REQ'!C49"))</f>
        <v/>
      </c>
      <c r="D55" s="31" t="str">
        <f ca="1">IF(ISBLANK(INDIRECT("'Thursday REQ'!D49")),"",INDIRECT("'Thursday REQ'!D49"))</f>
        <v/>
      </c>
      <c r="E55" s="160" t="str">
        <f ca="1">IF(ISBLANK(INDIRECT("'Thursday REQ'!E49")),"",INDIRECT("'Thursday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-44553</v>
      </c>
      <c r="AF55" s="267"/>
      <c r="AG55" s="267"/>
      <c r="AH55" s="267"/>
    </row>
    <row r="56" spans="1:34" x14ac:dyDescent="0.25">
      <c r="A56" s="30" t="str">
        <f ca="1">IF(ISBLANK(INDIRECT("'Thursday REQ'!A50")),"",INDIRECT("'Thursday REQ'!A50"))</f>
        <v/>
      </c>
      <c r="B56" s="30" t="str">
        <f ca="1">IF(ISBLANK(INDIRECT("'Thursday REQ'!B50")),"",INDIRECT("'Thursday REQ'!B50"))</f>
        <v/>
      </c>
      <c r="C56" s="31" t="str">
        <f ca="1">IF(ISBLANK(INDIRECT("'Thursday REQ'!C50")),"",INDIRECT("'Thursday REQ'!C50"))</f>
        <v/>
      </c>
      <c r="D56" s="31" t="str">
        <f ca="1">IF(ISBLANK(INDIRECT("'Thursday REQ'!D50")),"",INDIRECT("'Thursday REQ'!D50"))</f>
        <v/>
      </c>
      <c r="E56" s="160" t="str">
        <f ca="1">IF(ISBLANK(INDIRECT("'Thursday REQ'!E50")),"",INDIRECT("'Thursday REQ'!E50"))</f>
        <v/>
      </c>
      <c r="F56" s="161"/>
      <c r="G56" s="32"/>
      <c r="H56" s="32"/>
      <c r="I56" s="33">
        <v>0.375</v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>
        <f t="shared" si="11"/>
        <v>0.375</v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0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-44553</v>
      </c>
      <c r="AF56" s="267"/>
      <c r="AG56" s="267"/>
      <c r="AH56" s="267"/>
    </row>
    <row r="57" spans="1:34" x14ac:dyDescent="0.25">
      <c r="A57" s="30" t="str">
        <f ca="1">IF(ISBLANK(INDIRECT("'Thursday REQ'!A51")),"",INDIRECT("'Thursday REQ'!A51"))</f>
        <v/>
      </c>
      <c r="B57" s="30" t="str">
        <f ca="1">IF(ISBLANK(INDIRECT("'Thursday REQ'!B51")),"",INDIRECT("'Thursday REQ'!B51"))</f>
        <v/>
      </c>
      <c r="C57" s="31" t="str">
        <f ca="1">IF(ISBLANK(INDIRECT("'Thursday REQ'!C51")),"",INDIRECT("'Thursday REQ'!C51"))</f>
        <v/>
      </c>
      <c r="D57" s="31" t="str">
        <f ca="1">IF(ISBLANK(INDIRECT("'Thursday REQ'!D51")),"",INDIRECT("'Thursday REQ'!D51"))</f>
        <v/>
      </c>
      <c r="E57" s="160" t="str">
        <f ca="1">IF(ISBLANK(INDIRECT("'Thursday REQ'!E51")),"",INDIRECT("'Thursday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-44553</v>
      </c>
      <c r="AF57" s="267"/>
      <c r="AG57" s="267"/>
      <c r="AH57" s="267"/>
    </row>
    <row r="58" spans="1:34" x14ac:dyDescent="0.25">
      <c r="A58" s="30" t="str">
        <f ca="1">IF(ISBLANK(INDIRECT("'Thursday REQ'!A52")),"",INDIRECT("'Thursday REQ'!A52"))</f>
        <v/>
      </c>
      <c r="B58" s="30" t="str">
        <f ca="1">IF(ISBLANK(INDIRECT("'Thursday REQ'!B52")),"",INDIRECT("'Thursday REQ'!B52"))</f>
        <v/>
      </c>
      <c r="C58" s="31" t="str">
        <f ca="1">IF(ISBLANK(INDIRECT("'Thursday REQ'!C52")),"",INDIRECT("'Thursday REQ'!C52"))</f>
        <v/>
      </c>
      <c r="D58" s="31" t="str">
        <f ca="1">IF(ISBLANK(INDIRECT("'Thursday REQ'!D52")),"",INDIRECT("'Thursday REQ'!D52"))</f>
        <v/>
      </c>
      <c r="E58" s="160" t="str">
        <f ca="1">IF(ISBLANK(INDIRECT("'Thursday REQ'!E52")),"",INDIRECT("'Thursday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-44553</v>
      </c>
      <c r="AF58" s="267"/>
      <c r="AG58" s="267"/>
      <c r="AH58" s="267"/>
    </row>
    <row r="59" spans="1:34" x14ac:dyDescent="0.25">
      <c r="A59" s="30" t="str">
        <f ca="1">IF(ISBLANK(INDIRECT("'Thursday REQ'!A53")),"",INDIRECT("'Thursday REQ'!A53"))</f>
        <v/>
      </c>
      <c r="B59" s="30" t="str">
        <f ca="1">IF(ISBLANK(INDIRECT("'Thursday REQ'!B53")),"",INDIRECT("'Thursday REQ'!B53"))</f>
        <v/>
      </c>
      <c r="C59" s="31" t="str">
        <f ca="1">IF(ISBLANK(INDIRECT("'Thursday REQ'!C53")),"",INDIRECT("'Thursday REQ'!C53"))</f>
        <v/>
      </c>
      <c r="D59" s="31" t="str">
        <f ca="1">IF(ISBLANK(INDIRECT("'Thursday REQ'!D53")),"",INDIRECT("'Thursday REQ'!D53"))</f>
        <v/>
      </c>
      <c r="E59" s="160" t="str">
        <f ca="1">IF(ISBLANK(INDIRECT("'Thursday REQ'!E53")),"",INDIRECT("'Thursday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-44553</v>
      </c>
      <c r="AF59" s="267"/>
      <c r="AG59" s="267"/>
      <c r="AH59" s="267"/>
    </row>
    <row r="60" spans="1:34" x14ac:dyDescent="0.25">
      <c r="A60" s="30" t="str">
        <f ca="1">IF(ISBLANK(INDIRECT("'Thursday REQ'!A54")),"",INDIRECT("'Thursday REQ'!A54"))</f>
        <v/>
      </c>
      <c r="B60" s="30" t="str">
        <f ca="1">IF(ISBLANK(INDIRECT("'Thursday REQ'!B54")),"",INDIRECT("'Thursday REQ'!B54"))</f>
        <v/>
      </c>
      <c r="C60" s="31" t="str">
        <f ca="1">IF(ISBLANK(INDIRECT("'Thursday REQ'!C54")),"",INDIRECT("'Thursday REQ'!C54"))</f>
        <v/>
      </c>
      <c r="D60" s="31" t="str">
        <f ca="1">IF(ISBLANK(INDIRECT("'Thursday REQ'!D54")),"",INDIRECT("'Thursday REQ'!D54"))</f>
        <v/>
      </c>
      <c r="E60" s="160" t="str">
        <f ca="1">IF(ISBLANK(INDIRECT("'Thursday REQ'!E54")),"",INDIRECT("'Thursday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-44553</v>
      </c>
      <c r="AF60" s="267"/>
      <c r="AG60" s="267"/>
      <c r="AH60" s="267"/>
    </row>
  </sheetData>
  <sheetProtection algorithmName="SHA-512" hashValue="tpNgrrGS/JkJ1pVB80btPjbODHlIfz74Vk2tVkNB8MJNtdQ1zzVQ+bHd+DbLBdiLRMt5aB/ipscjlvvYV0e0CA==" saltValue="AWlhrvB63jXKIOcj0bUkwQ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M8:P8"/>
    <mergeCell ref="A1:W3"/>
    <mergeCell ref="I4:L4"/>
    <mergeCell ref="A7:E7"/>
    <mergeCell ref="F7:H7"/>
    <mergeCell ref="I7:L7"/>
    <mergeCell ref="S7:Y7"/>
  </mergeCells>
  <conditionalFormatting sqref="I9:L59">
    <cfRule type="expression" dxfId="14" priority="6">
      <formula>IF(Z9=FALSE,1,0)</formula>
    </cfRule>
  </conditionalFormatting>
  <conditionalFormatting sqref="A1:W3">
    <cfRule type="cellIs" dxfId="13" priority="4" operator="equal">
      <formula>"SAFE TO SEND, SHEETS PROTECTED"</formula>
    </cfRule>
  </conditionalFormatting>
  <conditionalFormatting sqref="G9:G14 G16:G60">
    <cfRule type="duplicateValues" dxfId="12" priority="3"/>
  </conditionalFormatting>
  <conditionalFormatting sqref="G15">
    <cfRule type="duplicateValues" dxfId="11" priority="1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'Agency Rates'!$I$1:$I$4</xm:f>
          </x14:formula1>
          <xm:sqref>H9 H15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ri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E12" sqref="E12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Info!B5-1</f>
        <v>44554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208" t="str">
        <f ca="1">IF(ISBLANK(INDIRECT("'Friday REQ'!A3")),"",INDIRECT("'Friday REQ'!A3"))</f>
        <v/>
      </c>
      <c r="B9" s="208" t="str">
        <f ca="1">IF(ISBLANK(INDIRECT("'Friday REQ'!B3")),"",INDIRECT("'Friday REQ'!B3"))</f>
        <v/>
      </c>
      <c r="C9" s="209" t="str">
        <f ca="1">IF(ISBLANK(INDIRECT("'Friday REQ'!C3")),"",INDIRECT("'Friday REQ'!C3"))</f>
        <v/>
      </c>
      <c r="D9" s="209" t="str">
        <f ca="1">IF(ISBLANK(INDIRECT("'Friday REQ'!D3")),"",INDIRECT("'Friday REQ'!D3"))</f>
        <v/>
      </c>
      <c r="E9" s="212" t="str">
        <f ca="1">IF(ISBLANK(INDIRECT("'Friday REQ'!E3")),"",INDIRECT("'Friday REQ'!E3"))</f>
        <v/>
      </c>
      <c r="F9" s="161"/>
      <c r="G9" s="40"/>
      <c r="H9" s="32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-44554</v>
      </c>
      <c r="AF9" s="267"/>
      <c r="AG9" s="267"/>
      <c r="AH9" s="267"/>
    </row>
    <row r="10" spans="1:34" x14ac:dyDescent="0.25">
      <c r="A10" s="208" t="str">
        <f ca="1">IF(ISBLANK(INDIRECT("'Friday REQ'!A4")),"",INDIRECT("'Friday REQ'!A4"))</f>
        <v/>
      </c>
      <c r="B10" s="208" t="str">
        <f ca="1">IF(ISBLANK(INDIRECT("'Friday REQ'!B4")),"",INDIRECT("'Friday REQ'!B4"))</f>
        <v/>
      </c>
      <c r="C10" s="209" t="str">
        <f ca="1">IF(ISBLANK(INDIRECT("'Friday REQ'!C4")),"",INDIRECT("'Friday REQ'!C4"))</f>
        <v/>
      </c>
      <c r="D10" s="209" t="str">
        <f ca="1">IF(ISBLANK(INDIRECT("'Friday REQ'!D4")),"",INDIRECT("'Friday REQ'!D4"))</f>
        <v/>
      </c>
      <c r="E10" s="212" t="str">
        <f ca="1">IF(ISBLANK(INDIRECT("'Friday REQ'!E4")),"",INDIRECT("'Friday REQ'!E4"))</f>
        <v/>
      </c>
      <c r="F10" s="161"/>
      <c r="G10" s="32"/>
      <c r="H10" s="32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-44554</v>
      </c>
      <c r="AF10" s="267"/>
      <c r="AG10" s="267"/>
      <c r="AH10" s="267"/>
    </row>
    <row r="11" spans="1:34" x14ac:dyDescent="0.25">
      <c r="A11" s="208" t="str">
        <f ca="1">IF(ISBLANK(INDIRECT("'Friday REQ'!A5")),"",INDIRECT("'Friday REQ'!A5"))</f>
        <v/>
      </c>
      <c r="B11" s="208" t="str">
        <f ca="1">IF(ISBLANK(INDIRECT("'Friday REQ'!B5")),"",INDIRECT("'Friday REQ'!B5"))</f>
        <v/>
      </c>
      <c r="C11" s="209" t="str">
        <f ca="1">IF(ISBLANK(INDIRECT("'Friday REQ'!C5")),"",INDIRECT("'Friday REQ'!C5"))</f>
        <v/>
      </c>
      <c r="D11" s="209" t="str">
        <f ca="1">IF(ISBLANK(INDIRECT("'Friday REQ'!D5")),"",INDIRECT("'Friday REQ'!D5"))</f>
        <v/>
      </c>
      <c r="E11" s="212" t="str">
        <f ca="1">IF(ISBLANK(INDIRECT("'Friday REQ'!E5")),"",INDIRECT("'Friday REQ'!E5"))</f>
        <v/>
      </c>
      <c r="F11" s="161"/>
      <c r="G11" s="32"/>
      <c r="H11" s="32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-44554</v>
      </c>
      <c r="AF11" s="267"/>
      <c r="AG11" s="267"/>
      <c r="AH11" s="267"/>
    </row>
    <row r="12" spans="1:34" x14ac:dyDescent="0.25">
      <c r="A12" s="208" t="str">
        <f ca="1">IF(ISBLANK(INDIRECT("'Friday REQ'!A6")),"",INDIRECT("'Friday REQ'!A6"))</f>
        <v/>
      </c>
      <c r="B12" s="208" t="str">
        <f ca="1">IF(ISBLANK(INDIRECT("'Friday REQ'!B6")),"",INDIRECT("'Friday REQ'!B6"))</f>
        <v/>
      </c>
      <c r="C12" s="209" t="str">
        <f ca="1">IF(ISBLANK(INDIRECT("'Friday REQ'!C6")),"",INDIRECT("'Friday REQ'!C6"))</f>
        <v/>
      </c>
      <c r="D12" s="209" t="str">
        <f ca="1">IF(ISBLANK(INDIRECT("'Friday REQ'!D6")),"",INDIRECT("'Friday REQ'!D6"))</f>
        <v/>
      </c>
      <c r="E12" s="212" t="str">
        <f ca="1">IF(ISBLANK(INDIRECT("'Friday REQ'!E6")),"",INDIRECT("'Friday REQ'!E6"))</f>
        <v/>
      </c>
      <c r="F12" s="161"/>
      <c r="G12" s="32"/>
      <c r="H12" s="32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-44554</v>
      </c>
      <c r="AF12" s="267"/>
      <c r="AG12" s="267"/>
      <c r="AH12" s="267"/>
    </row>
    <row r="13" spans="1:34" x14ac:dyDescent="0.25">
      <c r="A13" s="208" t="str">
        <f ca="1">IF(ISBLANK(INDIRECT("'Friday REQ'!A7")),"",INDIRECT("'Friday REQ'!A7"))</f>
        <v/>
      </c>
      <c r="B13" s="208" t="str">
        <f ca="1">IF(ISBLANK(INDIRECT("'Friday REQ'!B7")),"",INDIRECT("'Friday REQ'!B7"))</f>
        <v/>
      </c>
      <c r="C13" s="209" t="str">
        <f ca="1">IF(ISBLANK(INDIRECT("'Friday REQ'!C7")),"",INDIRECT("'Friday REQ'!C7"))</f>
        <v/>
      </c>
      <c r="D13" s="209" t="str">
        <f ca="1">IF(ISBLANK(INDIRECT("'Friday REQ'!D7")),"",INDIRECT("'Friday REQ'!D7"))</f>
        <v/>
      </c>
      <c r="E13" s="212" t="str">
        <f ca="1">IF(ISBLANK(INDIRECT("'Friday REQ'!E7")),"",INDIRECT("'Friday REQ'!E7"))</f>
        <v/>
      </c>
      <c r="F13" s="161"/>
      <c r="G13" s="32"/>
      <c r="H13" s="32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-44554</v>
      </c>
      <c r="AF13" s="267"/>
      <c r="AG13" s="267"/>
      <c r="AH13" s="267"/>
    </row>
    <row r="14" spans="1:34" x14ac:dyDescent="0.25">
      <c r="A14" s="208" t="str">
        <f ca="1">IF(ISBLANK(INDIRECT("'Friday REQ'!A8")),"",INDIRECT("'Friday REQ'!A8"))</f>
        <v/>
      </c>
      <c r="B14" s="208" t="str">
        <f ca="1">IF(ISBLANK(INDIRECT("'Friday REQ'!B8")),"",INDIRECT("'Friday REQ'!B8"))</f>
        <v/>
      </c>
      <c r="C14" s="209" t="str">
        <f ca="1">IF(ISBLANK(INDIRECT("'Friday REQ'!C8")),"",INDIRECT("'Friday REQ'!C8"))</f>
        <v/>
      </c>
      <c r="D14" s="209" t="str">
        <f ca="1">IF(ISBLANK(INDIRECT("'Friday REQ'!D8")),"",INDIRECT("'Friday REQ'!D8"))</f>
        <v/>
      </c>
      <c r="E14" s="212" t="str">
        <f ca="1">IF(ISBLANK(INDIRECT("'Friday REQ'!E8")),"",INDIRECT("'Friday REQ'!E8"))</f>
        <v/>
      </c>
      <c r="F14" s="161"/>
      <c r="G14" s="32"/>
      <c r="H14" s="32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-44554</v>
      </c>
      <c r="AF14" s="267"/>
      <c r="AG14" s="267"/>
      <c r="AH14" s="267"/>
    </row>
    <row r="15" spans="1:34" x14ac:dyDescent="0.25">
      <c r="A15" s="208" t="str">
        <f ca="1">IF(ISBLANK(INDIRECT("'Friday REQ'!A9")),"",INDIRECT("'Friday REQ'!A9"))</f>
        <v/>
      </c>
      <c r="B15" s="208" t="str">
        <f ca="1">IF(ISBLANK(INDIRECT("'Friday REQ'!B9")),"",INDIRECT("'Friday REQ'!B9"))</f>
        <v/>
      </c>
      <c r="C15" s="209" t="str">
        <f ca="1">IF(ISBLANK(INDIRECT("'Friday REQ'!C9")),"",INDIRECT("'Friday REQ'!C9"))</f>
        <v/>
      </c>
      <c r="D15" s="209" t="str">
        <f ca="1">IF(ISBLANK(INDIRECT("'Friday REQ'!D9")),"",INDIRECT("'Friday REQ'!D9"))</f>
        <v/>
      </c>
      <c r="E15" s="212" t="str">
        <f ca="1">IF(ISBLANK(INDIRECT("'Friday REQ'!E9")),"",INDIRECT("'Friday REQ'!E9"))</f>
        <v/>
      </c>
      <c r="F15" s="161"/>
      <c r="G15" s="32"/>
      <c r="H15" s="32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-44554</v>
      </c>
      <c r="AF15" s="267"/>
      <c r="AG15" s="267"/>
      <c r="AH15" s="267"/>
    </row>
    <row r="16" spans="1:34" x14ac:dyDescent="0.25">
      <c r="A16" s="208" t="str">
        <f ca="1">IF(ISBLANK(INDIRECT("'Friday REQ'!A10")),"",INDIRECT("'Friday REQ'!A10"))</f>
        <v/>
      </c>
      <c r="B16" s="208" t="str">
        <f ca="1">IF(ISBLANK(INDIRECT("'Friday REQ'!B10")),"",INDIRECT("'Friday REQ'!B10"))</f>
        <v/>
      </c>
      <c r="C16" s="209" t="str">
        <f ca="1">IF(ISBLANK(INDIRECT("'Friday REQ'!C10")),"",INDIRECT("'Friday REQ'!C10"))</f>
        <v/>
      </c>
      <c r="D16" s="209" t="str">
        <f ca="1">IF(ISBLANK(INDIRECT("'Friday REQ'!D10")),"",INDIRECT("'Friday REQ'!D10"))</f>
        <v/>
      </c>
      <c r="E16" s="212" t="str">
        <f ca="1">IF(ISBLANK(INDIRECT("'Friday REQ'!E10")),"",INDIRECT("'Friday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-44554</v>
      </c>
      <c r="AF16" s="267"/>
      <c r="AG16" s="267"/>
      <c r="AH16" s="267"/>
    </row>
    <row r="17" spans="1:34" x14ac:dyDescent="0.25">
      <c r="A17" s="208" t="str">
        <f ca="1">IF(ISBLANK(INDIRECT("'Friday REQ'!A11")),"",INDIRECT("'Friday REQ'!A11"))</f>
        <v/>
      </c>
      <c r="B17" s="208" t="str">
        <f ca="1">IF(ISBLANK(INDIRECT("'Friday REQ'!B11")),"",INDIRECT("'Friday REQ'!B11"))</f>
        <v/>
      </c>
      <c r="C17" s="209" t="str">
        <f ca="1">IF(ISBLANK(INDIRECT("'Friday REQ'!C11")),"",INDIRECT("'Friday REQ'!C11"))</f>
        <v/>
      </c>
      <c r="D17" s="209" t="str">
        <f ca="1">IF(ISBLANK(INDIRECT("'Friday REQ'!D11")),"",INDIRECT("'Friday REQ'!D11"))</f>
        <v/>
      </c>
      <c r="E17" s="212" t="str">
        <f ca="1">IF(ISBLANK(INDIRECT("'Friday REQ'!E11")),"",INDIRECT("'Friday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-44554</v>
      </c>
      <c r="AF17" s="267"/>
      <c r="AG17" s="267"/>
      <c r="AH17" s="267"/>
    </row>
    <row r="18" spans="1:34" x14ac:dyDescent="0.25">
      <c r="A18" s="208" t="str">
        <f ca="1">IF(ISBLANK(INDIRECT("'Friday REQ'!A12")),"",INDIRECT("'Friday REQ'!A12"))</f>
        <v/>
      </c>
      <c r="B18" s="208" t="str">
        <f ca="1">IF(ISBLANK(INDIRECT("'Friday REQ'!B12")),"",INDIRECT("'Friday REQ'!B12"))</f>
        <v/>
      </c>
      <c r="C18" s="209" t="str">
        <f ca="1">IF(ISBLANK(INDIRECT("'Friday REQ'!C12")),"",INDIRECT("'Friday REQ'!C12"))</f>
        <v/>
      </c>
      <c r="D18" s="209" t="str">
        <f ca="1">IF(ISBLANK(INDIRECT("'Friday REQ'!D12")),"",INDIRECT("'Friday REQ'!D12"))</f>
        <v/>
      </c>
      <c r="E18" s="212" t="str">
        <f ca="1">IF(ISBLANK(INDIRECT("'Friday REQ'!E12")),"",INDIRECT("'Friday REQ'!E12"))</f>
        <v/>
      </c>
      <c r="F18" s="213"/>
      <c r="G18" s="210"/>
      <c r="H18" s="210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-44554</v>
      </c>
      <c r="AF18" s="267"/>
      <c r="AG18" s="267"/>
      <c r="AH18" s="267"/>
    </row>
    <row r="19" spans="1:34" x14ac:dyDescent="0.25">
      <c r="A19" s="208" t="str">
        <f ca="1">IF(ISBLANK(INDIRECT("'Friday REQ'!A13")),"",INDIRECT("'Friday REQ'!A13"))</f>
        <v/>
      </c>
      <c r="B19" s="208" t="str">
        <f ca="1">IF(ISBLANK(INDIRECT("'Friday REQ'!B13")),"",INDIRECT("'Friday REQ'!B13"))</f>
        <v/>
      </c>
      <c r="C19" s="209" t="str">
        <f ca="1">IF(ISBLANK(INDIRECT("'Friday REQ'!C13")),"",INDIRECT("'Friday REQ'!C13"))</f>
        <v/>
      </c>
      <c r="D19" s="209" t="str">
        <f ca="1">IF(ISBLANK(INDIRECT("'Friday REQ'!D13")),"",INDIRECT("'Friday REQ'!D13"))</f>
        <v/>
      </c>
      <c r="E19" s="212" t="str">
        <f ca="1">IF(ISBLANK(INDIRECT("'Friday REQ'!E13")),"",INDIRECT("'Friday REQ'!E13"))</f>
        <v/>
      </c>
      <c r="F19" s="213"/>
      <c r="G19" s="210"/>
      <c r="H19" s="210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-44554</v>
      </c>
      <c r="AF19" s="267"/>
      <c r="AG19" s="267"/>
      <c r="AH19" s="267"/>
    </row>
    <row r="20" spans="1:34" x14ac:dyDescent="0.25">
      <c r="A20" s="208" t="str">
        <f ca="1">IF(ISBLANK(INDIRECT("'Friday REQ'!A14")),"",INDIRECT("'Friday REQ'!A14"))</f>
        <v/>
      </c>
      <c r="B20" s="208" t="str">
        <f ca="1">IF(ISBLANK(INDIRECT("'Friday REQ'!B14")),"",INDIRECT("'Friday REQ'!B14"))</f>
        <v/>
      </c>
      <c r="C20" s="209" t="str">
        <f ca="1">IF(ISBLANK(INDIRECT("'Friday REQ'!C14")),"",INDIRECT("'Friday REQ'!C14"))</f>
        <v/>
      </c>
      <c r="D20" s="209" t="str">
        <f ca="1">IF(ISBLANK(INDIRECT("'Friday REQ'!D14")),"",INDIRECT("'Friday REQ'!D14"))</f>
        <v/>
      </c>
      <c r="E20" s="212" t="str">
        <f ca="1">IF(ISBLANK(INDIRECT("'Friday REQ'!E14")),"",INDIRECT("'Friday REQ'!E14"))</f>
        <v/>
      </c>
      <c r="F20" s="213"/>
      <c r="G20" s="210"/>
      <c r="H20" s="210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-44554</v>
      </c>
      <c r="AF20" s="267"/>
      <c r="AG20" s="267"/>
      <c r="AH20" s="267"/>
    </row>
    <row r="21" spans="1:34" x14ac:dyDescent="0.25">
      <c r="A21" s="208" t="str">
        <f ca="1">IF(ISBLANK(INDIRECT("'Friday REQ'!A15")),"",INDIRECT("'Friday REQ'!A15"))</f>
        <v/>
      </c>
      <c r="B21" s="208" t="str">
        <f ca="1">IF(ISBLANK(INDIRECT("'Friday REQ'!B15")),"",INDIRECT("'Friday REQ'!B15"))</f>
        <v/>
      </c>
      <c r="C21" s="209" t="str">
        <f ca="1">IF(ISBLANK(INDIRECT("'Friday REQ'!C15")),"",INDIRECT("'Friday REQ'!C15"))</f>
        <v/>
      </c>
      <c r="D21" s="209" t="str">
        <f ca="1">IF(ISBLANK(INDIRECT("'Friday REQ'!D15")),"",INDIRECT("'Friday REQ'!D15"))</f>
        <v/>
      </c>
      <c r="E21" s="212" t="str">
        <f ca="1">IF(ISBLANK(INDIRECT("'Friday REQ'!E15")),"",INDIRECT("'Friday REQ'!E15"))</f>
        <v/>
      </c>
      <c r="F21" s="213"/>
      <c r="G21" s="210"/>
      <c r="H21" s="210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-44554</v>
      </c>
      <c r="AF21" s="267"/>
      <c r="AG21" s="267"/>
      <c r="AH21" s="267"/>
    </row>
    <row r="22" spans="1:34" x14ac:dyDescent="0.25">
      <c r="A22" s="208" t="str">
        <f ca="1">IF(ISBLANK(INDIRECT("'Friday REQ'!A16")),"",INDIRECT("'Friday REQ'!A16"))</f>
        <v/>
      </c>
      <c r="B22" s="208" t="str">
        <f ca="1">IF(ISBLANK(INDIRECT("'Friday REQ'!B16")),"",INDIRECT("'Friday REQ'!B16"))</f>
        <v/>
      </c>
      <c r="C22" s="209" t="str">
        <f ca="1">IF(ISBLANK(INDIRECT("'Friday REQ'!C16")),"",INDIRECT("'Friday REQ'!C16"))</f>
        <v/>
      </c>
      <c r="D22" s="209" t="str">
        <f ca="1">IF(ISBLANK(INDIRECT("'Friday REQ'!D16")),"",INDIRECT("'Friday REQ'!D16"))</f>
        <v/>
      </c>
      <c r="E22" s="212" t="str">
        <f ca="1">IF(ISBLANK(INDIRECT("'Friday REQ'!E16")),"",INDIRECT("'Friday REQ'!E16"))</f>
        <v/>
      </c>
      <c r="F22" s="213"/>
      <c r="G22" s="210"/>
      <c r="H22" s="210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-44554</v>
      </c>
      <c r="AF22" s="267"/>
      <c r="AG22" s="267"/>
      <c r="AH22" s="267"/>
    </row>
    <row r="23" spans="1:34" x14ac:dyDescent="0.25">
      <c r="A23" s="208" t="str">
        <f ca="1">IF(ISBLANK(INDIRECT("'Friday REQ'!A17")),"",INDIRECT("'Friday REQ'!A17"))</f>
        <v/>
      </c>
      <c r="B23" s="208" t="str">
        <f ca="1">IF(ISBLANK(INDIRECT("'Friday REQ'!B17")),"",INDIRECT("'Friday REQ'!B17"))</f>
        <v/>
      </c>
      <c r="C23" s="209" t="str">
        <f ca="1">IF(ISBLANK(INDIRECT("'Friday REQ'!C17")),"",INDIRECT("'Friday REQ'!C17"))</f>
        <v/>
      </c>
      <c r="D23" s="209" t="str">
        <f ca="1">IF(ISBLANK(INDIRECT("'Friday REQ'!D17")),"",INDIRECT("'Friday REQ'!D17"))</f>
        <v/>
      </c>
      <c r="E23" s="212" t="str">
        <f ca="1">IF(ISBLANK(INDIRECT("'Friday REQ'!E17")),"",INDIRECT("'Friday REQ'!E17"))</f>
        <v/>
      </c>
      <c r="F23" s="213"/>
      <c r="G23" s="211"/>
      <c r="H23" s="210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-44554</v>
      </c>
      <c r="AF23" s="267"/>
      <c r="AG23" s="267"/>
      <c r="AH23" s="267"/>
    </row>
    <row r="24" spans="1:34" x14ac:dyDescent="0.25">
      <c r="A24" s="208" t="str">
        <f ca="1">IF(ISBLANK(INDIRECT("'Friday REQ'!A18")),"",INDIRECT("'Friday REQ'!A18"))</f>
        <v/>
      </c>
      <c r="B24" s="208" t="str">
        <f ca="1">IF(ISBLANK(INDIRECT("'Friday REQ'!B18")),"",INDIRECT("'Friday REQ'!B18"))</f>
        <v/>
      </c>
      <c r="C24" s="209" t="str">
        <f ca="1">IF(ISBLANK(INDIRECT("'Friday REQ'!C18")),"",INDIRECT("'Friday REQ'!C18"))</f>
        <v/>
      </c>
      <c r="D24" s="209" t="str">
        <f ca="1">IF(ISBLANK(INDIRECT("'Friday REQ'!D18")),"",INDIRECT("'Friday REQ'!D18"))</f>
        <v/>
      </c>
      <c r="E24" s="212" t="str">
        <f ca="1">IF(ISBLANK(INDIRECT("'Friday REQ'!E18")),"",INDIRECT("'Friday REQ'!E18"))</f>
        <v/>
      </c>
      <c r="F24" s="213"/>
      <c r="G24" s="210"/>
      <c r="H24" s="210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-44554</v>
      </c>
      <c r="AF24" s="267"/>
      <c r="AG24" s="267"/>
      <c r="AH24" s="267"/>
    </row>
    <row r="25" spans="1:34" x14ac:dyDescent="0.25">
      <c r="A25" s="208" t="str">
        <f ca="1">IF(ISBLANK(INDIRECT("'Friday REQ'!A19")),"",INDIRECT("'Friday REQ'!A19"))</f>
        <v/>
      </c>
      <c r="B25" s="208" t="str">
        <f ca="1">IF(ISBLANK(INDIRECT("'Friday REQ'!B19")),"",INDIRECT("'Friday REQ'!B19"))</f>
        <v/>
      </c>
      <c r="C25" s="209" t="str">
        <f ca="1">IF(ISBLANK(INDIRECT("'Friday REQ'!C19")),"",INDIRECT("'Friday REQ'!C19"))</f>
        <v/>
      </c>
      <c r="D25" s="209" t="str">
        <f ca="1">IF(ISBLANK(INDIRECT("'Friday REQ'!D19")),"",INDIRECT("'Friday REQ'!D19"))</f>
        <v/>
      </c>
      <c r="E25" s="212" t="str">
        <f ca="1">IF(ISBLANK(INDIRECT("'Friday REQ'!E19")),"",INDIRECT("'Friday REQ'!E19"))</f>
        <v/>
      </c>
      <c r="F25" s="213"/>
      <c r="G25" s="210"/>
      <c r="H25" s="210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-44554</v>
      </c>
      <c r="AF25" s="267"/>
      <c r="AG25" s="267"/>
      <c r="AH25" s="267"/>
    </row>
    <row r="26" spans="1:34" x14ac:dyDescent="0.25">
      <c r="A26" s="208" t="str">
        <f ca="1">IF(ISBLANK(INDIRECT("'Friday REQ'!A20")),"",INDIRECT("'Friday REQ'!A20"))</f>
        <v/>
      </c>
      <c r="B26" s="208" t="str">
        <f ca="1">IF(ISBLANK(INDIRECT("'Friday REQ'!B20")),"",INDIRECT("'Friday REQ'!B20"))</f>
        <v/>
      </c>
      <c r="C26" s="209" t="str">
        <f ca="1">IF(ISBLANK(INDIRECT("'Friday REQ'!C20")),"",INDIRECT("'Friday REQ'!C20"))</f>
        <v/>
      </c>
      <c r="D26" s="209" t="str">
        <f ca="1">IF(ISBLANK(INDIRECT("'Friday REQ'!D20")),"",INDIRECT("'Friday REQ'!D20"))</f>
        <v/>
      </c>
      <c r="E26" s="212" t="str">
        <f ca="1">IF(ISBLANK(INDIRECT("'Friday REQ'!E20")),"",INDIRECT("'Friday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-44554</v>
      </c>
      <c r="AF26" s="267"/>
      <c r="AG26" s="267"/>
      <c r="AH26" s="267"/>
    </row>
    <row r="27" spans="1:34" x14ac:dyDescent="0.25">
      <c r="A27" s="208" t="str">
        <f ca="1">IF(ISBLANK(INDIRECT("'Friday REQ'!A21")),"",INDIRECT("'Friday REQ'!A21"))</f>
        <v/>
      </c>
      <c r="B27" s="208" t="str">
        <f ca="1">IF(ISBLANK(INDIRECT("'Friday REQ'!B21")),"",INDIRECT("'Friday REQ'!B21"))</f>
        <v/>
      </c>
      <c r="C27" s="209" t="str">
        <f ca="1">IF(ISBLANK(INDIRECT("'Friday REQ'!C21")),"",INDIRECT("'Friday REQ'!C21"))</f>
        <v/>
      </c>
      <c r="D27" s="209" t="str">
        <f ca="1">IF(ISBLANK(INDIRECT("'Friday REQ'!D21")),"",INDIRECT("'Friday REQ'!D21"))</f>
        <v/>
      </c>
      <c r="E27" s="212" t="str">
        <f ca="1">IF(ISBLANK(INDIRECT("'Friday REQ'!E21")),"",INDIRECT("'Friday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-44554</v>
      </c>
      <c r="AF27" s="267"/>
      <c r="AG27" s="267"/>
      <c r="AH27" s="267"/>
    </row>
    <row r="28" spans="1:34" x14ac:dyDescent="0.25">
      <c r="A28" s="208" t="str">
        <f ca="1">IF(ISBLANK(INDIRECT("'Friday REQ'!A22")),"",INDIRECT("'Friday REQ'!A22"))</f>
        <v/>
      </c>
      <c r="B28" s="208" t="str">
        <f ca="1">IF(ISBLANK(INDIRECT("'Friday REQ'!B22")),"",INDIRECT("'Friday REQ'!B22"))</f>
        <v/>
      </c>
      <c r="C28" s="209" t="str">
        <f ca="1">IF(ISBLANK(INDIRECT("'Friday REQ'!C22")),"",INDIRECT("'Friday REQ'!C22"))</f>
        <v/>
      </c>
      <c r="D28" s="209" t="str">
        <f ca="1">IF(ISBLANK(INDIRECT("'Friday REQ'!D22")),"",INDIRECT("'Friday REQ'!D22"))</f>
        <v/>
      </c>
      <c r="E28" s="212" t="str">
        <f ca="1">IF(ISBLANK(INDIRECT("'Friday REQ'!E22")),"",INDIRECT("'Friday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-44554</v>
      </c>
      <c r="AF28" s="267"/>
      <c r="AG28" s="267"/>
      <c r="AH28" s="267"/>
    </row>
    <row r="29" spans="1:34" x14ac:dyDescent="0.25">
      <c r="A29" s="208" t="str">
        <f ca="1">IF(ISBLANK(INDIRECT("'Friday REQ'!A23")),"",INDIRECT("'Friday REQ'!A23"))</f>
        <v/>
      </c>
      <c r="B29" s="208" t="str">
        <f ca="1">IF(ISBLANK(INDIRECT("'Friday REQ'!B23")),"",INDIRECT("'Friday REQ'!B23"))</f>
        <v/>
      </c>
      <c r="C29" s="209" t="str">
        <f ca="1">IF(ISBLANK(INDIRECT("'Friday REQ'!C23")),"",INDIRECT("'Friday REQ'!C23"))</f>
        <v/>
      </c>
      <c r="D29" s="209" t="str">
        <f ca="1">IF(ISBLANK(INDIRECT("'Friday REQ'!D23")),"",INDIRECT("'Friday REQ'!D23"))</f>
        <v/>
      </c>
      <c r="E29" s="212" t="str">
        <f ca="1">IF(ISBLANK(INDIRECT("'Friday REQ'!E23")),"",INDIRECT("'Friday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-44554</v>
      </c>
      <c r="AF29" s="267"/>
      <c r="AG29" s="267"/>
      <c r="AH29" s="267"/>
    </row>
    <row r="30" spans="1:34" x14ac:dyDescent="0.25">
      <c r="A30" s="208" t="str">
        <f ca="1">IF(ISBLANK(INDIRECT("'Friday REQ'!A24")),"",INDIRECT("'Friday REQ'!A24"))</f>
        <v/>
      </c>
      <c r="B30" s="208" t="str">
        <f ca="1">IF(ISBLANK(INDIRECT("'Friday REQ'!B24")),"",INDIRECT("'Friday REQ'!B24"))</f>
        <v/>
      </c>
      <c r="C30" s="209" t="str">
        <f ca="1">IF(ISBLANK(INDIRECT("'Friday REQ'!C24")),"",INDIRECT("'Friday REQ'!C24"))</f>
        <v/>
      </c>
      <c r="D30" s="209" t="str">
        <f ca="1">IF(ISBLANK(INDIRECT("'Friday REQ'!D24")),"",INDIRECT("'Friday REQ'!D24"))</f>
        <v/>
      </c>
      <c r="E30" s="212" t="str">
        <f ca="1">IF(ISBLANK(INDIRECT("'Friday REQ'!E24")),"",INDIRECT("'Friday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-44554</v>
      </c>
      <c r="AF30" s="267"/>
      <c r="AG30" s="267"/>
      <c r="AH30" s="267"/>
    </row>
    <row r="31" spans="1:34" x14ac:dyDescent="0.25">
      <c r="A31" s="208" t="str">
        <f ca="1">IF(ISBLANK(INDIRECT("'Friday REQ'!A25")),"",INDIRECT("'Friday REQ'!A25"))</f>
        <v/>
      </c>
      <c r="B31" s="208" t="str">
        <f ca="1">IF(ISBLANK(INDIRECT("'Friday REQ'!B25")),"",INDIRECT("'Friday REQ'!B25"))</f>
        <v/>
      </c>
      <c r="C31" s="209" t="str">
        <f ca="1">IF(ISBLANK(INDIRECT("'Friday REQ'!C25")),"",INDIRECT("'Friday REQ'!C25"))</f>
        <v/>
      </c>
      <c r="D31" s="209" t="str">
        <f ca="1">IF(ISBLANK(INDIRECT("'Friday REQ'!D25")),"",INDIRECT("'Friday REQ'!D25"))</f>
        <v/>
      </c>
      <c r="E31" s="212" t="str">
        <f ca="1">IF(ISBLANK(INDIRECT("'Friday REQ'!E25")),"",INDIRECT("'Friday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-44554</v>
      </c>
      <c r="AF31" s="267"/>
      <c r="AG31" s="267"/>
      <c r="AH31" s="267"/>
    </row>
    <row r="32" spans="1:34" x14ac:dyDescent="0.25">
      <c r="A32" s="208" t="str">
        <f ca="1">IF(ISBLANK(INDIRECT("'Friday REQ'!A26")),"",INDIRECT("'Friday REQ'!A26"))</f>
        <v/>
      </c>
      <c r="B32" s="208" t="str">
        <f ca="1">IF(ISBLANK(INDIRECT("'Friday REQ'!B26")),"",INDIRECT("'Friday REQ'!B26"))</f>
        <v/>
      </c>
      <c r="C32" s="209" t="str">
        <f ca="1">IF(ISBLANK(INDIRECT("'Friday REQ'!C26")),"",INDIRECT("'Friday REQ'!C26"))</f>
        <v/>
      </c>
      <c r="D32" s="209" t="str">
        <f ca="1">IF(ISBLANK(INDIRECT("'Friday REQ'!D26")),"",INDIRECT("'Friday REQ'!D26"))</f>
        <v/>
      </c>
      <c r="E32" s="212" t="str">
        <f ca="1">IF(ISBLANK(INDIRECT("'Friday REQ'!E26")),"",INDIRECT("'Friday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-44554</v>
      </c>
      <c r="AF32" s="267"/>
      <c r="AG32" s="267"/>
      <c r="AH32" s="267"/>
    </row>
    <row r="33" spans="1:34" x14ac:dyDescent="0.25">
      <c r="A33" s="208" t="str">
        <f ca="1">IF(ISBLANK(INDIRECT("'Friday REQ'!A27")),"",INDIRECT("'Friday REQ'!A27"))</f>
        <v/>
      </c>
      <c r="B33" s="208" t="str">
        <f ca="1">IF(ISBLANK(INDIRECT("'Friday REQ'!B27")),"",INDIRECT("'Friday REQ'!B27"))</f>
        <v/>
      </c>
      <c r="C33" s="209" t="str">
        <f ca="1">IF(ISBLANK(INDIRECT("'Friday REQ'!C27")),"",INDIRECT("'Friday REQ'!C27"))</f>
        <v/>
      </c>
      <c r="D33" s="209" t="str">
        <f ca="1">IF(ISBLANK(INDIRECT("'Friday REQ'!D27")),"",INDIRECT("'Friday REQ'!D27"))</f>
        <v/>
      </c>
      <c r="E33" s="212" t="str">
        <f ca="1">IF(ISBLANK(INDIRECT("'Friday REQ'!E27")),"",INDIRECT("'Friday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-44554</v>
      </c>
      <c r="AF33" s="267"/>
      <c r="AG33" s="267"/>
      <c r="AH33" s="267"/>
    </row>
    <row r="34" spans="1:34" x14ac:dyDescent="0.25">
      <c r="A34" s="208" t="str">
        <f ca="1">IF(ISBLANK(INDIRECT("'Friday REQ'!A28")),"",INDIRECT("'Friday REQ'!A28"))</f>
        <v/>
      </c>
      <c r="B34" s="208" t="str">
        <f ca="1">IF(ISBLANK(INDIRECT("'Friday REQ'!B28")),"",INDIRECT("'Friday REQ'!B28"))</f>
        <v/>
      </c>
      <c r="C34" s="209" t="str">
        <f ca="1">IF(ISBLANK(INDIRECT("'Friday REQ'!C28")),"",INDIRECT("'Friday REQ'!C28"))</f>
        <v/>
      </c>
      <c r="D34" s="209" t="str">
        <f ca="1">IF(ISBLANK(INDIRECT("'Friday REQ'!D28")),"",INDIRECT("'Friday REQ'!D28"))</f>
        <v/>
      </c>
      <c r="E34" s="212" t="str">
        <f ca="1">IF(ISBLANK(INDIRECT("'Friday REQ'!E28")),"",INDIRECT("'Friday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-44554</v>
      </c>
      <c r="AF34" s="267"/>
      <c r="AG34" s="267"/>
      <c r="AH34" s="267"/>
    </row>
    <row r="35" spans="1:34" x14ac:dyDescent="0.25">
      <c r="A35" s="30" t="str">
        <f ca="1">IF(ISBLANK(INDIRECT("'Friday REQ'!A29")),"",INDIRECT("'Friday REQ'!A29"))</f>
        <v/>
      </c>
      <c r="B35" s="30" t="str">
        <f ca="1">IF(ISBLANK(INDIRECT("'Friday REQ'!B29")),"",INDIRECT("'Friday REQ'!B29"))</f>
        <v/>
      </c>
      <c r="C35" s="31" t="str">
        <f ca="1">IF(ISBLANK(INDIRECT("'Friday REQ'!C29")),"",INDIRECT("'Friday REQ'!C29"))</f>
        <v/>
      </c>
      <c r="D35" s="31" t="str">
        <f ca="1">IF(ISBLANK(INDIRECT("'Friday REQ'!D29")),"",INDIRECT("'Friday REQ'!D29"))</f>
        <v/>
      </c>
      <c r="E35" s="160" t="str">
        <f ca="1">IF(ISBLANK(INDIRECT("'Friday REQ'!E29")),"",INDIRECT("'Friday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-44554</v>
      </c>
      <c r="AF35" s="267"/>
      <c r="AG35" s="267"/>
      <c r="AH35" s="267"/>
    </row>
    <row r="36" spans="1:34" x14ac:dyDescent="0.25">
      <c r="A36" s="30" t="str">
        <f ca="1">IF(ISBLANK(INDIRECT("'Friday REQ'!A30")),"",INDIRECT("'Friday REQ'!A30"))</f>
        <v/>
      </c>
      <c r="B36" s="30" t="str">
        <f ca="1">IF(ISBLANK(INDIRECT("'Friday REQ'!B30")),"",INDIRECT("'Friday REQ'!B30"))</f>
        <v/>
      </c>
      <c r="C36" s="31" t="str">
        <f ca="1">IF(ISBLANK(INDIRECT("'Friday REQ'!C30")),"",INDIRECT("'Friday REQ'!C30"))</f>
        <v/>
      </c>
      <c r="D36" s="31" t="str">
        <f ca="1">IF(ISBLANK(INDIRECT("'Friday REQ'!D30")),"",INDIRECT("'Friday REQ'!D30"))</f>
        <v/>
      </c>
      <c r="E36" s="160" t="str">
        <f ca="1">IF(ISBLANK(INDIRECT("'Friday REQ'!E30")),"",INDIRECT("'Friday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-44554</v>
      </c>
      <c r="AF36" s="267"/>
      <c r="AG36" s="267"/>
      <c r="AH36" s="267"/>
    </row>
    <row r="37" spans="1:34" x14ac:dyDescent="0.25">
      <c r="A37" s="30" t="str">
        <f ca="1">IF(ISBLANK(INDIRECT("'Friday REQ'!A31")),"",INDIRECT("'Friday REQ'!A31"))</f>
        <v/>
      </c>
      <c r="B37" s="30" t="str">
        <f ca="1">IF(ISBLANK(INDIRECT("'Friday REQ'!B31")),"",INDIRECT("'Friday REQ'!B31"))</f>
        <v/>
      </c>
      <c r="C37" s="31" t="str">
        <f ca="1">IF(ISBLANK(INDIRECT("'Friday REQ'!C31")),"",INDIRECT("'Friday REQ'!C31"))</f>
        <v/>
      </c>
      <c r="D37" s="31" t="str">
        <f ca="1">IF(ISBLANK(INDIRECT("'Friday REQ'!D31")),"",INDIRECT("'Friday REQ'!D31"))</f>
        <v/>
      </c>
      <c r="E37" s="160" t="str">
        <f ca="1">IF(ISBLANK(INDIRECT("'Friday REQ'!E31")),"",INDIRECT("'Friday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-44554</v>
      </c>
      <c r="AF37" s="267"/>
      <c r="AG37" s="267"/>
      <c r="AH37" s="267"/>
    </row>
    <row r="38" spans="1:34" x14ac:dyDescent="0.25">
      <c r="A38" s="30" t="str">
        <f ca="1">IF(ISBLANK(INDIRECT("'Friday REQ'!A32")),"",INDIRECT("'Friday REQ'!A32"))</f>
        <v/>
      </c>
      <c r="B38" s="30" t="str">
        <f ca="1">IF(ISBLANK(INDIRECT("'Friday REQ'!B32")),"",INDIRECT("'Friday REQ'!B32"))</f>
        <v/>
      </c>
      <c r="C38" s="31" t="str">
        <f ca="1">IF(ISBLANK(INDIRECT("'Friday REQ'!C32")),"",INDIRECT("'Friday REQ'!C32"))</f>
        <v/>
      </c>
      <c r="D38" s="31" t="str">
        <f ca="1">IF(ISBLANK(INDIRECT("'Friday REQ'!D32")),"",INDIRECT("'Friday REQ'!D32"))</f>
        <v/>
      </c>
      <c r="E38" s="160" t="str">
        <f ca="1">IF(ISBLANK(INDIRECT("'Friday REQ'!E32")),"",INDIRECT("'Friday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-44554</v>
      </c>
      <c r="AF38" s="267"/>
      <c r="AG38" s="267"/>
      <c r="AH38" s="267"/>
    </row>
    <row r="39" spans="1:34" x14ac:dyDescent="0.25">
      <c r="A39" s="30" t="str">
        <f ca="1">IF(ISBLANK(INDIRECT("'Friday REQ'!A33")),"",INDIRECT("'Friday REQ'!A33"))</f>
        <v/>
      </c>
      <c r="B39" s="30" t="str">
        <f ca="1">IF(ISBLANK(INDIRECT("'Friday REQ'!B33")),"",INDIRECT("'Friday REQ'!B33"))</f>
        <v/>
      </c>
      <c r="C39" s="31" t="str">
        <f ca="1">IF(ISBLANK(INDIRECT("'Friday REQ'!C33")),"",INDIRECT("'Friday REQ'!C33"))</f>
        <v/>
      </c>
      <c r="D39" s="31" t="str">
        <f ca="1">IF(ISBLANK(INDIRECT("'Friday REQ'!D33")),"",INDIRECT("'Friday REQ'!D33"))</f>
        <v/>
      </c>
      <c r="E39" s="160" t="str">
        <f ca="1">IF(ISBLANK(INDIRECT("'Friday REQ'!E33")),"",INDIRECT("'Friday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-44554</v>
      </c>
      <c r="AF39" s="267"/>
      <c r="AG39" s="267"/>
      <c r="AH39" s="267"/>
    </row>
    <row r="40" spans="1:34" x14ac:dyDescent="0.25">
      <c r="A40" s="30" t="str">
        <f ca="1">IF(ISBLANK(INDIRECT("'Friday REQ'!A34")),"",INDIRECT("'Friday REQ'!A34"))</f>
        <v/>
      </c>
      <c r="B40" s="30" t="str">
        <f ca="1">IF(ISBLANK(INDIRECT("'Friday REQ'!B34")),"",INDIRECT("'Friday REQ'!B34"))</f>
        <v/>
      </c>
      <c r="C40" s="31" t="str">
        <f ca="1">IF(ISBLANK(INDIRECT("'Friday REQ'!C34")),"",INDIRECT("'Friday REQ'!C34"))</f>
        <v/>
      </c>
      <c r="D40" s="31" t="str">
        <f ca="1">IF(ISBLANK(INDIRECT("'Friday REQ'!D34")),"",INDIRECT("'Friday REQ'!D34"))</f>
        <v/>
      </c>
      <c r="E40" s="160" t="str">
        <f ca="1">IF(ISBLANK(INDIRECT("'Friday REQ'!E34")),"",INDIRECT("'Friday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-44554</v>
      </c>
      <c r="AF40" s="267"/>
      <c r="AG40" s="267"/>
      <c r="AH40" s="267"/>
    </row>
    <row r="41" spans="1:34" x14ac:dyDescent="0.25">
      <c r="A41" s="30" t="str">
        <f ca="1">IF(ISBLANK(INDIRECT("'Friday REQ'!A35")),"",INDIRECT("'Friday REQ'!A35"))</f>
        <v/>
      </c>
      <c r="B41" s="30" t="str">
        <f ca="1">IF(ISBLANK(INDIRECT("'Friday REQ'!B35")),"",INDIRECT("'Friday REQ'!B35"))</f>
        <v/>
      </c>
      <c r="C41" s="31" t="str">
        <f ca="1">IF(ISBLANK(INDIRECT("'Friday REQ'!C35")),"",INDIRECT("'Friday REQ'!C35"))</f>
        <v/>
      </c>
      <c r="D41" s="31" t="str">
        <f ca="1">IF(ISBLANK(INDIRECT("'Friday REQ'!D35")),"",INDIRECT("'Friday REQ'!D35"))</f>
        <v/>
      </c>
      <c r="E41" s="160" t="str">
        <f ca="1">IF(ISBLANK(INDIRECT("'Friday REQ'!E35")),"",INDIRECT("'Friday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-44554</v>
      </c>
      <c r="AF41" s="267"/>
      <c r="AG41" s="267"/>
      <c r="AH41" s="267"/>
    </row>
    <row r="42" spans="1:34" x14ac:dyDescent="0.25">
      <c r="A42" s="30" t="str">
        <f ca="1">IF(ISBLANK(INDIRECT("'Friday REQ'!A36")),"",INDIRECT("'Friday REQ'!A36"))</f>
        <v/>
      </c>
      <c r="B42" s="30" t="str">
        <f ca="1">IF(ISBLANK(INDIRECT("'Friday REQ'!B36")),"",INDIRECT("'Friday REQ'!B36"))</f>
        <v/>
      </c>
      <c r="C42" s="31" t="str">
        <f ca="1">IF(ISBLANK(INDIRECT("'Friday REQ'!C36")),"",INDIRECT("'Friday REQ'!C36"))</f>
        <v/>
      </c>
      <c r="D42" s="31" t="str">
        <f ca="1">IF(ISBLANK(INDIRECT("'Friday REQ'!D36")),"",INDIRECT("'Friday REQ'!D36"))</f>
        <v/>
      </c>
      <c r="E42" s="160" t="str">
        <f ca="1">IF(ISBLANK(INDIRECT("'Friday REQ'!E36")),"",INDIRECT("'Friday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-44554</v>
      </c>
      <c r="AF42" s="267"/>
      <c r="AG42" s="267"/>
      <c r="AH42" s="267"/>
    </row>
    <row r="43" spans="1:34" x14ac:dyDescent="0.25">
      <c r="A43" s="30" t="str">
        <f ca="1">IF(ISBLANK(INDIRECT("'Friday REQ'!A37")),"",INDIRECT("'Friday REQ'!A37"))</f>
        <v/>
      </c>
      <c r="B43" s="30" t="str">
        <f ca="1">IF(ISBLANK(INDIRECT("'Friday REQ'!B37")),"",INDIRECT("'Friday REQ'!B37"))</f>
        <v/>
      </c>
      <c r="C43" s="31" t="str">
        <f ca="1">IF(ISBLANK(INDIRECT("'Friday REQ'!C37")),"",INDIRECT("'Friday REQ'!C37"))</f>
        <v/>
      </c>
      <c r="D43" s="31" t="str">
        <f ca="1">IF(ISBLANK(INDIRECT("'Friday REQ'!D37")),"",INDIRECT("'Friday REQ'!D37"))</f>
        <v/>
      </c>
      <c r="E43" s="160" t="str">
        <f ca="1">IF(ISBLANK(INDIRECT("'Friday REQ'!E37")),"",INDIRECT("'Friday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-44554</v>
      </c>
      <c r="AF43" s="267"/>
      <c r="AG43" s="267"/>
      <c r="AH43" s="267"/>
    </row>
    <row r="44" spans="1:34" x14ac:dyDescent="0.25">
      <c r="A44" s="30" t="str">
        <f ca="1">IF(ISBLANK(INDIRECT("'Friday REQ'!A38")),"",INDIRECT("'Friday REQ'!A38"))</f>
        <v/>
      </c>
      <c r="B44" s="30" t="str">
        <f ca="1">IF(ISBLANK(INDIRECT("'Friday REQ'!B38")),"",INDIRECT("'Friday REQ'!B38"))</f>
        <v/>
      </c>
      <c r="C44" s="31" t="str">
        <f ca="1">IF(ISBLANK(INDIRECT("'Friday REQ'!C38")),"",INDIRECT("'Friday REQ'!C38"))</f>
        <v/>
      </c>
      <c r="D44" s="31" t="str">
        <f ca="1">IF(ISBLANK(INDIRECT("'Friday REQ'!D38")),"",INDIRECT("'Friday REQ'!D38"))</f>
        <v/>
      </c>
      <c r="E44" s="160" t="str">
        <f ca="1">IF(ISBLANK(INDIRECT("'Friday REQ'!E38")),"",INDIRECT("'Friday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-44554</v>
      </c>
      <c r="AF44" s="267"/>
      <c r="AG44" s="267"/>
      <c r="AH44" s="267"/>
    </row>
    <row r="45" spans="1:34" x14ac:dyDescent="0.25">
      <c r="A45" s="30" t="str">
        <f ca="1">IF(ISBLANK(INDIRECT("'Friday REQ'!A39")),"",INDIRECT("'Friday REQ'!A39"))</f>
        <v/>
      </c>
      <c r="B45" s="30" t="str">
        <f ca="1">IF(ISBLANK(INDIRECT("'Friday REQ'!B39")),"",INDIRECT("'Friday REQ'!B39"))</f>
        <v/>
      </c>
      <c r="C45" s="31" t="str">
        <f ca="1">IF(ISBLANK(INDIRECT("'Friday REQ'!C39")),"",INDIRECT("'Friday REQ'!C39"))</f>
        <v/>
      </c>
      <c r="D45" s="31" t="str">
        <f ca="1">IF(ISBLANK(INDIRECT("'Friday REQ'!D39")),"",INDIRECT("'Friday REQ'!D39"))</f>
        <v/>
      </c>
      <c r="E45" s="160" t="str">
        <f ca="1">IF(ISBLANK(INDIRECT("'Friday REQ'!E39")),"",INDIRECT("'Friday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-44554</v>
      </c>
      <c r="AF45" s="267"/>
      <c r="AG45" s="267"/>
      <c r="AH45" s="267"/>
    </row>
    <row r="46" spans="1:34" x14ac:dyDescent="0.25">
      <c r="A46" s="30" t="str">
        <f ca="1">IF(ISBLANK(INDIRECT("'Friday REQ'!A40")),"",INDIRECT("'Friday REQ'!A40"))</f>
        <v/>
      </c>
      <c r="B46" s="30" t="str">
        <f ca="1">IF(ISBLANK(INDIRECT("'Friday REQ'!B40")),"",INDIRECT("'Friday REQ'!B40"))</f>
        <v/>
      </c>
      <c r="C46" s="31" t="str">
        <f ca="1">IF(ISBLANK(INDIRECT("'Friday REQ'!C40")),"",INDIRECT("'Friday REQ'!C40"))</f>
        <v/>
      </c>
      <c r="D46" s="31" t="str">
        <f ca="1">IF(ISBLANK(INDIRECT("'Friday REQ'!D40")),"",INDIRECT("'Friday REQ'!D40"))</f>
        <v/>
      </c>
      <c r="E46" s="160" t="str">
        <f ca="1">IF(ISBLANK(INDIRECT("'Friday REQ'!E40")),"",INDIRECT("'Friday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-44554</v>
      </c>
      <c r="AF46" s="267"/>
      <c r="AG46" s="267"/>
      <c r="AH46" s="267"/>
    </row>
    <row r="47" spans="1:34" x14ac:dyDescent="0.25">
      <c r="A47" s="30" t="str">
        <f ca="1">IF(ISBLANK(INDIRECT("'Friday REQ'!A41")),"",INDIRECT("'Friday REQ'!A41"))</f>
        <v/>
      </c>
      <c r="B47" s="30" t="str">
        <f ca="1">IF(ISBLANK(INDIRECT("'Friday REQ'!B41")),"",INDIRECT("'Friday REQ'!B41"))</f>
        <v/>
      </c>
      <c r="C47" s="31" t="str">
        <f ca="1">IF(ISBLANK(INDIRECT("'Friday REQ'!C41")),"",INDIRECT("'Friday REQ'!C41"))</f>
        <v/>
      </c>
      <c r="D47" s="31" t="str">
        <f ca="1">IF(ISBLANK(INDIRECT("'Friday REQ'!D41")),"",INDIRECT("'Friday REQ'!D41"))</f>
        <v/>
      </c>
      <c r="E47" s="160" t="str">
        <f ca="1">IF(ISBLANK(INDIRECT("'Friday REQ'!E41")),"",INDIRECT("'Friday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-44554</v>
      </c>
      <c r="AF47" s="267"/>
      <c r="AG47" s="267"/>
      <c r="AH47" s="267"/>
    </row>
    <row r="48" spans="1:34" x14ac:dyDescent="0.25">
      <c r="A48" s="30" t="str">
        <f ca="1">IF(ISBLANK(INDIRECT("'Friday REQ'!A42")),"",INDIRECT("'Friday REQ'!A42"))</f>
        <v/>
      </c>
      <c r="B48" s="30" t="str">
        <f ca="1">IF(ISBLANK(INDIRECT("'Friday REQ'!B42")),"",INDIRECT("'Friday REQ'!B42"))</f>
        <v/>
      </c>
      <c r="C48" s="31" t="str">
        <f ca="1">IF(ISBLANK(INDIRECT("'Friday REQ'!C42")),"",INDIRECT("'Friday REQ'!C42"))</f>
        <v/>
      </c>
      <c r="D48" s="31" t="str">
        <f ca="1">IF(ISBLANK(INDIRECT("'Friday REQ'!D42")),"",INDIRECT("'Friday REQ'!D42"))</f>
        <v/>
      </c>
      <c r="E48" s="160" t="str">
        <f ca="1">IF(ISBLANK(INDIRECT("'Friday REQ'!E42")),"",INDIRECT("'Friday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-44554</v>
      </c>
      <c r="AF48" s="267"/>
      <c r="AG48" s="267"/>
      <c r="AH48" s="267"/>
    </row>
    <row r="49" spans="1:34" x14ac:dyDescent="0.25">
      <c r="A49" s="30" t="str">
        <f ca="1">IF(ISBLANK(INDIRECT("'Friday REQ'!A43")),"",INDIRECT("'Friday REQ'!A43"))</f>
        <v/>
      </c>
      <c r="B49" s="30" t="str">
        <f ca="1">IF(ISBLANK(INDIRECT("'Friday REQ'!B43")),"",INDIRECT("'Friday REQ'!B43"))</f>
        <v/>
      </c>
      <c r="C49" s="31" t="str">
        <f ca="1">IF(ISBLANK(INDIRECT("'Friday REQ'!C43")),"",INDIRECT("'Friday REQ'!C43"))</f>
        <v/>
      </c>
      <c r="D49" s="31" t="str">
        <f ca="1">IF(ISBLANK(INDIRECT("'Friday REQ'!D43")),"",INDIRECT("'Friday REQ'!D43"))</f>
        <v/>
      </c>
      <c r="E49" s="160" t="str">
        <f ca="1">IF(ISBLANK(INDIRECT("'Friday REQ'!E43")),"",INDIRECT("'Friday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-44554</v>
      </c>
      <c r="AF49" s="267"/>
      <c r="AG49" s="267"/>
      <c r="AH49" s="267"/>
    </row>
    <row r="50" spans="1:34" x14ac:dyDescent="0.25">
      <c r="A50" s="30" t="str">
        <f ca="1">IF(ISBLANK(INDIRECT("'Friday REQ'!A44")),"",INDIRECT("'Friday REQ'!A44"))</f>
        <v/>
      </c>
      <c r="B50" s="30" t="str">
        <f ca="1">IF(ISBLANK(INDIRECT("'Friday REQ'!B44")),"",INDIRECT("'Friday REQ'!B44"))</f>
        <v/>
      </c>
      <c r="C50" s="31" t="str">
        <f ca="1">IF(ISBLANK(INDIRECT("'Friday REQ'!C44")),"",INDIRECT("'Friday REQ'!C44"))</f>
        <v/>
      </c>
      <c r="D50" s="31" t="str">
        <f ca="1">IF(ISBLANK(INDIRECT("'Friday REQ'!D44")),"",INDIRECT("'Friday REQ'!D44"))</f>
        <v/>
      </c>
      <c r="E50" s="160" t="str">
        <f ca="1">IF(ISBLANK(INDIRECT("'Friday REQ'!E44")),"",INDIRECT("'Friday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-44554</v>
      </c>
      <c r="AF50" s="267"/>
      <c r="AG50" s="267"/>
      <c r="AH50" s="267"/>
    </row>
    <row r="51" spans="1:34" x14ac:dyDescent="0.25">
      <c r="A51" s="30" t="str">
        <f ca="1">IF(ISBLANK(INDIRECT("'Friday REQ'!A45")),"",INDIRECT("'Friday REQ'!A45"))</f>
        <v/>
      </c>
      <c r="B51" s="30" t="str">
        <f ca="1">IF(ISBLANK(INDIRECT("'Friday REQ'!B45")),"",INDIRECT("'Friday REQ'!B45"))</f>
        <v/>
      </c>
      <c r="C51" s="31" t="str">
        <f ca="1">IF(ISBLANK(INDIRECT("'Friday REQ'!C45")),"",INDIRECT("'Friday REQ'!C45"))</f>
        <v/>
      </c>
      <c r="D51" s="31" t="str">
        <f ca="1">IF(ISBLANK(INDIRECT("'Friday REQ'!D45")),"",INDIRECT("'Friday REQ'!D45"))</f>
        <v/>
      </c>
      <c r="E51" s="160" t="str">
        <f ca="1">IF(ISBLANK(INDIRECT("'Friday REQ'!E45")),"",INDIRECT("'Friday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-44554</v>
      </c>
      <c r="AF51" s="267"/>
      <c r="AG51" s="267"/>
      <c r="AH51" s="267"/>
    </row>
    <row r="52" spans="1:34" x14ac:dyDescent="0.25">
      <c r="A52" s="30" t="str">
        <f ca="1">IF(ISBLANK(INDIRECT("'Friday REQ'!A46")),"",INDIRECT("'Friday REQ'!A46"))</f>
        <v/>
      </c>
      <c r="B52" s="30" t="str">
        <f ca="1">IF(ISBLANK(INDIRECT("'Friday REQ'!B46")),"",INDIRECT("'Friday REQ'!B46"))</f>
        <v/>
      </c>
      <c r="C52" s="31" t="str">
        <f ca="1">IF(ISBLANK(INDIRECT("'Friday REQ'!C46")),"",INDIRECT("'Friday REQ'!C46"))</f>
        <v/>
      </c>
      <c r="D52" s="31" t="str">
        <f ca="1">IF(ISBLANK(INDIRECT("'Friday REQ'!D46")),"",INDIRECT("'Friday REQ'!D46"))</f>
        <v/>
      </c>
      <c r="E52" s="160" t="str">
        <f ca="1">IF(ISBLANK(INDIRECT("'Friday REQ'!E46")),"",INDIRECT("'Friday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-44554</v>
      </c>
      <c r="AF52" s="267"/>
      <c r="AG52" s="267"/>
      <c r="AH52" s="267"/>
    </row>
    <row r="53" spans="1:34" x14ac:dyDescent="0.25">
      <c r="A53" s="30" t="str">
        <f ca="1">IF(ISBLANK(INDIRECT("'Friday REQ'!A47")),"",INDIRECT("'Friday REQ'!A47"))</f>
        <v/>
      </c>
      <c r="B53" s="30" t="str">
        <f ca="1">IF(ISBLANK(INDIRECT("'Friday REQ'!B47")),"",INDIRECT("'Friday REQ'!B47"))</f>
        <v/>
      </c>
      <c r="C53" s="31" t="str">
        <f ca="1">IF(ISBLANK(INDIRECT("'Friday REQ'!C47")),"",INDIRECT("'Friday REQ'!C47"))</f>
        <v/>
      </c>
      <c r="D53" s="31" t="str">
        <f ca="1">IF(ISBLANK(INDIRECT("'Friday REQ'!D47")),"",INDIRECT("'Friday REQ'!D47"))</f>
        <v/>
      </c>
      <c r="E53" s="160" t="str">
        <f ca="1">IF(ISBLANK(INDIRECT("'Friday REQ'!E47")),"",INDIRECT("'Friday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-44554</v>
      </c>
      <c r="AF53" s="267"/>
      <c r="AG53" s="267"/>
      <c r="AH53" s="267"/>
    </row>
    <row r="54" spans="1:34" x14ac:dyDescent="0.25">
      <c r="A54" s="30" t="str">
        <f ca="1">IF(ISBLANK(INDIRECT("'Friday REQ'!A48")),"",INDIRECT("'Friday REQ'!A48"))</f>
        <v/>
      </c>
      <c r="B54" s="30" t="str">
        <f ca="1">IF(ISBLANK(INDIRECT("'Friday REQ'!B48")),"",INDIRECT("'Friday REQ'!B48"))</f>
        <v/>
      </c>
      <c r="C54" s="31" t="str">
        <f ca="1">IF(ISBLANK(INDIRECT("'Friday REQ'!C48")),"",INDIRECT("'Friday REQ'!C48"))</f>
        <v/>
      </c>
      <c r="D54" s="31" t="str">
        <f ca="1">IF(ISBLANK(INDIRECT("'Friday REQ'!D48")),"",INDIRECT("'Friday REQ'!D48"))</f>
        <v/>
      </c>
      <c r="E54" s="160" t="str">
        <f ca="1">IF(ISBLANK(INDIRECT("'Friday REQ'!E48")),"",INDIRECT("'Friday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-44554</v>
      </c>
      <c r="AF54" s="267"/>
      <c r="AG54" s="267"/>
      <c r="AH54" s="267"/>
    </row>
    <row r="55" spans="1:34" x14ac:dyDescent="0.25">
      <c r="A55" s="30" t="str">
        <f ca="1">IF(ISBLANK(INDIRECT("'Friday REQ'!A49")),"",INDIRECT("'Friday REQ'!A49"))</f>
        <v/>
      </c>
      <c r="B55" s="30" t="str">
        <f ca="1">IF(ISBLANK(INDIRECT("'Friday REQ'!B49")),"",INDIRECT("'Friday REQ'!B49"))</f>
        <v/>
      </c>
      <c r="C55" s="31" t="str">
        <f ca="1">IF(ISBLANK(INDIRECT("'Friday REQ'!C49")),"",INDIRECT("'Friday REQ'!C49"))</f>
        <v/>
      </c>
      <c r="D55" s="31" t="str">
        <f ca="1">IF(ISBLANK(INDIRECT("'Friday REQ'!D49")),"",INDIRECT("'Friday REQ'!D49"))</f>
        <v/>
      </c>
      <c r="E55" s="160" t="str">
        <f ca="1">IF(ISBLANK(INDIRECT("'Friday REQ'!E49")),"",INDIRECT("'Friday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-44554</v>
      </c>
      <c r="AF55" s="267"/>
      <c r="AG55" s="267"/>
      <c r="AH55" s="267"/>
    </row>
    <row r="56" spans="1:34" x14ac:dyDescent="0.25">
      <c r="A56" s="30" t="str">
        <f ca="1">IF(ISBLANK(INDIRECT("'Friday REQ'!A50")),"",INDIRECT("'Friday REQ'!A50"))</f>
        <v/>
      </c>
      <c r="B56" s="30" t="str">
        <f ca="1">IF(ISBLANK(INDIRECT("'Friday REQ'!B50")),"",INDIRECT("'Friday REQ'!B50"))</f>
        <v/>
      </c>
      <c r="C56" s="31" t="str">
        <f ca="1">IF(ISBLANK(INDIRECT("'Friday REQ'!C50")),"",INDIRECT("'Friday REQ'!C50"))</f>
        <v/>
      </c>
      <c r="D56" s="31" t="str">
        <f ca="1">IF(ISBLANK(INDIRECT("'Friday REQ'!D50")),"",INDIRECT("'Friday REQ'!D50"))</f>
        <v/>
      </c>
      <c r="E56" s="160" t="str">
        <f ca="1">IF(ISBLANK(INDIRECT("'Friday REQ'!E50")),"",INDIRECT("'Friday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1"/>
        <v/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1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-44554</v>
      </c>
      <c r="AF56" s="267"/>
      <c r="AG56" s="267"/>
      <c r="AH56" s="267"/>
    </row>
    <row r="57" spans="1:34" x14ac:dyDescent="0.25">
      <c r="A57" s="30" t="str">
        <f ca="1">IF(ISBLANK(INDIRECT("'Friday REQ'!A51")),"",INDIRECT("'Friday REQ'!A51"))</f>
        <v/>
      </c>
      <c r="B57" s="30" t="str">
        <f ca="1">IF(ISBLANK(INDIRECT("'Friday REQ'!B51")),"",INDIRECT("'Friday REQ'!B51"))</f>
        <v/>
      </c>
      <c r="C57" s="31" t="str">
        <f ca="1">IF(ISBLANK(INDIRECT("'Friday REQ'!C51")),"",INDIRECT("'Friday REQ'!C51"))</f>
        <v/>
      </c>
      <c r="D57" s="31" t="str">
        <f ca="1">IF(ISBLANK(INDIRECT("'Friday REQ'!D51")),"",INDIRECT("'Friday REQ'!D51"))</f>
        <v/>
      </c>
      <c r="E57" s="160" t="str">
        <f ca="1">IF(ISBLANK(INDIRECT("'Friday REQ'!E51")),"",INDIRECT("'Friday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-44554</v>
      </c>
      <c r="AF57" s="267"/>
      <c r="AG57" s="267"/>
      <c r="AH57" s="267"/>
    </row>
    <row r="58" spans="1:34" x14ac:dyDescent="0.25">
      <c r="A58" s="30" t="str">
        <f ca="1">IF(ISBLANK(INDIRECT("'Friday REQ'!A52")),"",INDIRECT("'Friday REQ'!A52"))</f>
        <v/>
      </c>
      <c r="B58" s="30" t="str">
        <f ca="1">IF(ISBLANK(INDIRECT("'Friday REQ'!B52")),"",INDIRECT("'Friday REQ'!B52"))</f>
        <v/>
      </c>
      <c r="C58" s="31" t="str">
        <f ca="1">IF(ISBLANK(INDIRECT("'Friday REQ'!C52")),"",INDIRECT("'Friday REQ'!C52"))</f>
        <v/>
      </c>
      <c r="D58" s="31" t="str">
        <f ca="1">IF(ISBLANK(INDIRECT("'Friday REQ'!D52")),"",INDIRECT("'Friday REQ'!D52"))</f>
        <v/>
      </c>
      <c r="E58" s="160" t="str">
        <f ca="1">IF(ISBLANK(INDIRECT("'Friday REQ'!E52")),"",INDIRECT("'Friday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-44554</v>
      </c>
      <c r="AF58" s="267"/>
      <c r="AG58" s="267"/>
      <c r="AH58" s="267"/>
    </row>
    <row r="59" spans="1:34" x14ac:dyDescent="0.25">
      <c r="A59" s="30" t="str">
        <f ca="1">IF(ISBLANK(INDIRECT("'Friday REQ'!A53")),"",INDIRECT("'Friday REQ'!A53"))</f>
        <v/>
      </c>
      <c r="B59" s="30" t="str">
        <f ca="1">IF(ISBLANK(INDIRECT("'Friday REQ'!B53")),"",INDIRECT("'Friday REQ'!B53"))</f>
        <v/>
      </c>
      <c r="C59" s="31" t="str">
        <f ca="1">IF(ISBLANK(INDIRECT("'Friday REQ'!C53")),"",INDIRECT("'Friday REQ'!C53"))</f>
        <v/>
      </c>
      <c r="D59" s="31" t="str">
        <f ca="1">IF(ISBLANK(INDIRECT("'Friday REQ'!D53")),"",INDIRECT("'Friday REQ'!D53"))</f>
        <v/>
      </c>
      <c r="E59" s="160" t="str">
        <f ca="1">IF(ISBLANK(INDIRECT("'Friday REQ'!E53")),"",INDIRECT("'Friday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-44554</v>
      </c>
      <c r="AF59" s="267"/>
      <c r="AG59" s="267"/>
      <c r="AH59" s="267"/>
    </row>
    <row r="60" spans="1:34" x14ac:dyDescent="0.25">
      <c r="A60" s="30" t="str">
        <f ca="1">IF(ISBLANK(INDIRECT("'Friday REQ'!A54")),"",INDIRECT("'Friday REQ'!A54"))</f>
        <v/>
      </c>
      <c r="B60" s="30" t="str">
        <f ca="1">IF(ISBLANK(INDIRECT("'Friday REQ'!B54")),"",INDIRECT("'Friday REQ'!B54"))</f>
        <v/>
      </c>
      <c r="C60" s="31" t="str">
        <f ca="1">IF(ISBLANK(INDIRECT("'Friday REQ'!C54")),"",INDIRECT("'Friday REQ'!C54"))</f>
        <v/>
      </c>
      <c r="D60" s="31" t="str">
        <f ca="1">IF(ISBLANK(INDIRECT("'Friday REQ'!D54")),"",INDIRECT("'Friday REQ'!D54"))</f>
        <v/>
      </c>
      <c r="E60" s="160" t="str">
        <f ca="1">IF(ISBLANK(INDIRECT("'Friday REQ'!E54")),"",INDIRECT("'Friday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-44554</v>
      </c>
      <c r="AF60" s="267"/>
      <c r="AG60" s="267"/>
      <c r="AH60" s="267"/>
    </row>
  </sheetData>
  <sheetProtection algorithmName="SHA-512" hashValue="6pGpY1hJd7Fr0jLltZuwuwzn8GMZgXq4ZBZCzwGH6Wu3qehiehnTj24XWwttsWUMIO3Miy5pXZWscRZMaJjnxA==" saltValue="ItxcBruZa5xECgozAOCWVQ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M8:P8"/>
    <mergeCell ref="A1:W3"/>
    <mergeCell ref="I4:L4"/>
    <mergeCell ref="A7:E7"/>
    <mergeCell ref="F7:H7"/>
    <mergeCell ref="I7:L7"/>
    <mergeCell ref="S7:Y7"/>
  </mergeCells>
  <conditionalFormatting sqref="I9:L9 J10:L59 I10:I60">
    <cfRule type="expression" dxfId="10" priority="6">
      <formula>IF(Z9=FALSE,1,0)</formula>
    </cfRule>
  </conditionalFormatting>
  <conditionalFormatting sqref="A1:W3">
    <cfRule type="cellIs" dxfId="9" priority="4" operator="equal">
      <formula>"SAFE TO SEND, SHEETS PROTECTED"</formula>
    </cfRule>
  </conditionalFormatting>
  <conditionalFormatting sqref="G9:G24 G26:G60">
    <cfRule type="duplicateValues" dxfId="8" priority="3"/>
  </conditionalFormatting>
  <conditionalFormatting sqref="G25">
    <cfRule type="duplicateValues" dxfId="7" priority="1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'Agency Rates'!$I$1:$I$4</xm:f>
          </x14:formula1>
          <xm:sqref>H9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turday">
    <tabColor theme="7" tint="0.79998168889431442"/>
  </sheetPr>
  <dimension ref="A1:AH60"/>
  <sheetViews>
    <sheetView zoomScale="80" zoomScaleNormal="80" workbookViewId="0">
      <pane ySplit="8" topLeftCell="A9" activePane="bottomLeft" state="frozen"/>
      <selection pane="bottomLeft" activeCell="A11" sqref="A11"/>
    </sheetView>
  </sheetViews>
  <sheetFormatPr defaultColWidth="8.85546875" defaultRowHeight="15" x14ac:dyDescent="0.25"/>
  <cols>
    <col min="1" max="1" width="17.42578125" style="22" customWidth="1"/>
    <col min="2" max="2" width="9.85546875" style="22" customWidth="1"/>
    <col min="3" max="3" width="11.85546875" style="22" customWidth="1"/>
    <col min="4" max="4" width="11.85546875" style="23" customWidth="1"/>
    <col min="5" max="5" width="21" style="23" customWidth="1"/>
    <col min="6" max="6" width="21" style="25" customWidth="1"/>
    <col min="7" max="7" width="8.85546875" style="27"/>
    <col min="8" max="8" width="14.7109375" style="27" customWidth="1"/>
    <col min="9" max="12" width="8.85546875" style="23"/>
    <col min="13" max="16" width="0" style="23" hidden="1" customWidth="1"/>
    <col min="17" max="17" width="39.7109375" style="23" customWidth="1"/>
    <col min="18" max="18" width="10.85546875" style="164" customWidth="1"/>
    <col min="19" max="19" width="13.42578125" style="22" customWidth="1"/>
    <col min="20" max="23" width="9.28515625" style="22" customWidth="1"/>
    <col min="24" max="24" width="8.85546875" style="45" customWidth="1"/>
    <col min="25" max="25" width="8.85546875" style="22"/>
    <col min="26" max="30" width="8.85546875" style="22" hidden="1" customWidth="1"/>
    <col min="31" max="31" width="0" style="22" hidden="1" customWidth="1"/>
    <col min="32" max="16384" width="8.85546875" style="22"/>
  </cols>
  <sheetData>
    <row r="1" spans="1:34" ht="15" customHeight="1" x14ac:dyDescent="0.25">
      <c r="A1" s="262" t="s">
        <v>130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</row>
    <row r="2" spans="1:34" ht="15" customHeight="1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</row>
    <row r="3" spans="1:34" ht="15" customHeight="1" x14ac:dyDescent="0.25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34" ht="14.45" customHeight="1" x14ac:dyDescent="0.25">
      <c r="G4" s="25"/>
      <c r="H4" s="25"/>
      <c r="I4" s="260"/>
      <c r="J4" s="260"/>
      <c r="K4" s="260"/>
      <c r="L4" s="260"/>
    </row>
    <row r="5" spans="1:34" ht="14.45" customHeight="1" x14ac:dyDescent="0.25">
      <c r="A5" s="21">
        <f>Info!B5</f>
        <v>44555</v>
      </c>
      <c r="G5" s="25"/>
      <c r="H5" s="25"/>
      <c r="I5" s="28"/>
      <c r="J5" s="29" t="s">
        <v>51</v>
      </c>
      <c r="K5" s="164"/>
      <c r="L5" s="164"/>
    </row>
    <row r="6" spans="1:34" ht="14.45" customHeight="1" x14ac:dyDescent="0.25">
      <c r="A6" s="21"/>
      <c r="G6" s="25"/>
      <c r="H6" s="25"/>
      <c r="I6" s="164"/>
      <c r="J6" s="164"/>
      <c r="K6" s="164"/>
      <c r="L6" s="164"/>
    </row>
    <row r="7" spans="1:34" x14ac:dyDescent="0.25">
      <c r="A7" s="265" t="s">
        <v>35</v>
      </c>
      <c r="B7" s="265"/>
      <c r="C7" s="265"/>
      <c r="D7" s="265"/>
      <c r="E7" s="265"/>
      <c r="F7" s="264" t="str">
        <f>UPPER(Info!B3)&amp;" TO COMPLETE"</f>
        <v>STAFFLINE TO COMPLETE</v>
      </c>
      <c r="G7" s="264"/>
      <c r="H7" s="264"/>
      <c r="I7" s="261" t="s">
        <v>36</v>
      </c>
      <c r="J7" s="261"/>
      <c r="K7" s="261"/>
      <c r="L7" s="261"/>
      <c r="M7" s="24"/>
      <c r="N7" s="24"/>
      <c r="O7" s="24"/>
      <c r="P7" s="24"/>
      <c r="Q7" s="47" t="s">
        <v>41</v>
      </c>
      <c r="R7" s="47"/>
      <c r="S7" s="266" t="s">
        <v>42</v>
      </c>
      <c r="T7" s="266"/>
      <c r="U7" s="266"/>
      <c r="V7" s="266"/>
      <c r="W7" s="266"/>
      <c r="X7" s="266"/>
      <c r="Y7" s="266"/>
      <c r="AF7" s="266" t="s">
        <v>114</v>
      </c>
      <c r="AG7" s="266"/>
      <c r="AH7" s="266"/>
    </row>
    <row r="8" spans="1:34" ht="75" x14ac:dyDescent="0.25">
      <c r="A8" s="20" t="s">
        <v>0</v>
      </c>
      <c r="B8" s="20" t="s">
        <v>12</v>
      </c>
      <c r="C8" s="20" t="s">
        <v>1</v>
      </c>
      <c r="D8" s="20" t="s">
        <v>2</v>
      </c>
      <c r="E8" s="20" t="s">
        <v>49</v>
      </c>
      <c r="F8" s="26" t="s">
        <v>4</v>
      </c>
      <c r="G8" s="26" t="s">
        <v>3</v>
      </c>
      <c r="H8" s="26" t="s">
        <v>45</v>
      </c>
      <c r="I8" s="20" t="s">
        <v>5</v>
      </c>
      <c r="J8" s="20" t="s">
        <v>7</v>
      </c>
      <c r="K8" s="20" t="s">
        <v>8</v>
      </c>
      <c r="L8" s="20" t="s">
        <v>6</v>
      </c>
      <c r="M8" s="263" t="s">
        <v>44</v>
      </c>
      <c r="N8" s="263"/>
      <c r="O8" s="263"/>
      <c r="P8" s="263"/>
      <c r="Q8" s="20" t="s">
        <v>50</v>
      </c>
      <c r="R8" s="20" t="s">
        <v>34</v>
      </c>
      <c r="S8" s="20" t="s">
        <v>37</v>
      </c>
      <c r="T8" s="20" t="s">
        <v>38</v>
      </c>
      <c r="U8" s="20" t="s">
        <v>39</v>
      </c>
      <c r="V8" s="20" t="s">
        <v>40</v>
      </c>
      <c r="W8" s="20" t="s">
        <v>43</v>
      </c>
      <c r="X8" s="20" t="s">
        <v>45</v>
      </c>
      <c r="Y8" s="20" t="s">
        <v>73</v>
      </c>
      <c r="Z8" s="20" t="s">
        <v>94</v>
      </c>
      <c r="AA8" s="20" t="s">
        <v>95</v>
      </c>
      <c r="AB8" s="20" t="s">
        <v>96</v>
      </c>
      <c r="AC8" s="20" t="s">
        <v>97</v>
      </c>
      <c r="AD8" s="20" t="s">
        <v>98</v>
      </c>
      <c r="AE8" s="20" t="s">
        <v>99</v>
      </c>
      <c r="AF8" s="266"/>
      <c r="AG8" s="266"/>
      <c r="AH8" s="266"/>
    </row>
    <row r="9" spans="1:34" x14ac:dyDescent="0.25">
      <c r="A9" s="30" t="str">
        <f ca="1">IF(ISBLANK(INDIRECT("'Saturday REQ'!A3")),"",INDIRECT("'Saturday REQ'!A3"))</f>
        <v/>
      </c>
      <c r="B9" s="30" t="str">
        <f ca="1">IF(ISBLANK(INDIRECT("'Saturday REQ'!B3")),"",INDIRECT("'Saturday REQ'!B3"))</f>
        <v/>
      </c>
      <c r="C9" s="31" t="str">
        <f ca="1">IF(ISBLANK(INDIRECT("'Saturday REQ'!C3")),"",INDIRECT("'Saturday REQ'!C3"))</f>
        <v/>
      </c>
      <c r="D9" s="31" t="str">
        <f ca="1">IF(ISBLANK(INDIRECT("'Saturday REQ'!D3")),"",INDIRECT("'Saturday REQ'!D3"))</f>
        <v/>
      </c>
      <c r="E9" s="160" t="str">
        <f ca="1">IF(ISBLANK(INDIRECT("'Saturday REQ'!E3")),"",INDIRECT("'Saturday REQ'!E3"))</f>
        <v/>
      </c>
      <c r="F9" s="161"/>
      <c r="G9" s="40"/>
      <c r="H9" s="32"/>
      <c r="I9" s="33" t="str">
        <f>IFERROR(IF(VLOOKUP(G9 &amp; "-" &amp; $A$5, 'Vanquish Data'!A:I, 6, FALSE)=0,"",VLOOKUP(G9 &amp; "-" &amp; $A$5, 'Vanquish Data'!A:I, 6, FALSE)),"")</f>
        <v/>
      </c>
      <c r="J9" s="33" t="str">
        <f>IFERROR(IF(VLOOKUP(G9 &amp; "-" &amp; $A$5, 'Vanquish Data'!A:I, 7, FALSE)=0,"",IFERROR(VLOOKUP(G9 &amp; "-" &amp; $A$5, 'Vanquish Data'!A:I, 7, FALSE),"")),"")</f>
        <v/>
      </c>
      <c r="K9" s="33" t="str">
        <f>IFERROR(IF(VLOOKUP(G9 &amp; "-" &amp; $A$5, 'Vanquish Data'!A:I, 8, FALSE)=0,"",IFERROR(VLOOKUP(G9 &amp; "-" &amp; $A$5, 'Vanquish Data'!A:I, 8, FALSE),"")),"")</f>
        <v/>
      </c>
      <c r="L9" s="33" t="str">
        <f>IFERROR(IF(VLOOKUP(G9 &amp; "-" &amp; $A$5, 'Vanquish Data'!A:I, 9, FALSE)=0,"",IFERROR(VLOOKUP(G9 &amp; "-" &amp; $A$5, 'Vanquish Data'!A:I, 9, FALSE),"")),"")</f>
        <v/>
      </c>
      <c r="M9" s="34" t="str">
        <f t="shared" ref="M9:M25" si="0">IF(ISNUMBER(I9),I9,LEFT(I9,5))</f>
        <v/>
      </c>
      <c r="N9" s="34" t="str">
        <f t="shared" ref="N9:P24" si="1">IF(ISNUMBER(J9),J9,LEFT(J9,5))</f>
        <v/>
      </c>
      <c r="O9" s="34" t="str">
        <f t="shared" si="1"/>
        <v/>
      </c>
      <c r="P9" s="34" t="str">
        <f t="shared" si="1"/>
        <v/>
      </c>
      <c r="Q9" s="214"/>
      <c r="R9" s="215"/>
      <c r="S9" s="35" t="str">
        <f t="shared" ref="S9:S60" si="2">IFERROR(IF(P9&lt;M9,P9+(1-M9),P9-M9),"")</f>
        <v/>
      </c>
      <c r="T9" s="35" t="str">
        <f t="shared" ref="T9:T60" si="3">IF(P9="","",IFERROR(O9-N9,""))</f>
        <v/>
      </c>
      <c r="U9" s="33" t="str">
        <f t="shared" ref="U9:U60" si="4">IF(P9="","",IF(S9&gt;0.25,0.0208333333333333,0))</f>
        <v/>
      </c>
      <c r="V9" s="35" t="str">
        <f>IFERROR(S9-U9,"")</f>
        <v/>
      </c>
      <c r="W9" s="36" t="str">
        <f>IFERROR((HOUR(V9)+MINUTE(V9)/60),"")</f>
        <v/>
      </c>
      <c r="X9" s="36" t="str">
        <f>IFERROR(VLOOKUP(Info!$B$3&amp;"-"&amp;H9,'Agency Rates'!A:D,4,FALSE),"")</f>
        <v/>
      </c>
      <c r="Y9" s="48" t="str">
        <f>IFERROR(X9*W9,"")</f>
        <v/>
      </c>
      <c r="Z9" s="22" t="b">
        <f t="shared" ref="Z9:AC40" si="5">_xlfn.ISFORMULA(I9)</f>
        <v>1</v>
      </c>
      <c r="AA9" s="22" t="b">
        <f t="shared" si="5"/>
        <v>1</v>
      </c>
      <c r="AB9" s="22" t="b">
        <f t="shared" si="5"/>
        <v>1</v>
      </c>
      <c r="AC9" s="22" t="b">
        <f t="shared" si="5"/>
        <v>1</v>
      </c>
      <c r="AD9" s="51" t="b">
        <f>_xlfn.ISFORMULA(U9)</f>
        <v>1</v>
      </c>
      <c r="AE9" s="51" t="str">
        <f>CONCATENATE(G9,"-",$A$5)</f>
        <v>-44555</v>
      </c>
      <c r="AF9" s="267"/>
      <c r="AG9" s="267"/>
      <c r="AH9" s="267"/>
    </row>
    <row r="10" spans="1:34" x14ac:dyDescent="0.25">
      <c r="A10" s="30" t="str">
        <f ca="1">IF(ISBLANK(INDIRECT("'Saturday REQ'!A4")),"",INDIRECT("'Saturday REQ'!A4"))</f>
        <v/>
      </c>
      <c r="B10" s="30" t="str">
        <f ca="1">IF(ISBLANK(INDIRECT("'Saturday REQ'!B4")),"",INDIRECT("'Saturday REQ'!B4"))</f>
        <v/>
      </c>
      <c r="C10" s="31" t="str">
        <f ca="1">IF(ISBLANK(INDIRECT("'Saturday REQ'!C4")),"",INDIRECT("'Saturday REQ'!C4"))</f>
        <v/>
      </c>
      <c r="D10" s="31" t="str">
        <f ca="1">IF(ISBLANK(INDIRECT("'Saturday REQ'!D4")),"",INDIRECT("'Saturday REQ'!D4"))</f>
        <v/>
      </c>
      <c r="E10" s="160" t="str">
        <f ca="1">IF(ISBLANK(INDIRECT("'Saturday REQ'!E4")),"",INDIRECT("'Saturday REQ'!E4"))</f>
        <v/>
      </c>
      <c r="F10" s="161"/>
      <c r="G10" s="32"/>
      <c r="H10" s="32"/>
      <c r="I10" s="33" t="str">
        <f>IFERROR(IF(VLOOKUP(G10 &amp; "-" &amp; $A$5, 'Vanquish Data'!A:I, 6, FALSE)=0,"",VLOOKUP(G10 &amp; "-" &amp; $A$5, 'Vanquish Data'!A:I, 6, FALSE)),"")</f>
        <v/>
      </c>
      <c r="J10" s="33" t="str">
        <f>IFERROR(IF(VLOOKUP(G10 &amp; "-" &amp; $A$5, 'Vanquish Data'!A:I, 7, FALSE)=0,"",IFERROR(VLOOKUP(G10 &amp; "-" &amp; $A$5, 'Vanquish Data'!A:I, 7, FALSE),"")),"")</f>
        <v/>
      </c>
      <c r="K10" s="33" t="str">
        <f>IFERROR(IF(VLOOKUP(G10 &amp; "-" &amp; $A$5, 'Vanquish Data'!A:I, 8, FALSE)=0,"",IFERROR(VLOOKUP(G10 &amp; "-" &amp; $A$5, 'Vanquish Data'!A:I, 8, FALSE),"")),"")</f>
        <v/>
      </c>
      <c r="L10" s="33" t="str">
        <f>IFERROR(IF(VLOOKUP(G10 &amp; "-" &amp; $A$5, 'Vanquish Data'!A:I, 9, FALSE)=0,"",IFERROR(VLOOKUP(G10 &amp; "-" &amp; $A$5, 'Vanquish Data'!A:I, 9, FALSE),"")),"")</f>
        <v/>
      </c>
      <c r="M10" s="34" t="str">
        <f t="shared" si="0"/>
        <v/>
      </c>
      <c r="N10" s="34" t="str">
        <f t="shared" si="1"/>
        <v/>
      </c>
      <c r="O10" s="34" t="str">
        <f t="shared" si="1"/>
        <v/>
      </c>
      <c r="P10" s="34" t="str">
        <f t="shared" si="1"/>
        <v/>
      </c>
      <c r="Q10" s="214"/>
      <c r="R10" s="215"/>
      <c r="S10" s="35" t="str">
        <f t="shared" si="2"/>
        <v/>
      </c>
      <c r="T10" s="35" t="str">
        <f t="shared" si="3"/>
        <v/>
      </c>
      <c r="U10" s="33" t="str">
        <f t="shared" si="4"/>
        <v/>
      </c>
      <c r="V10" s="35" t="str">
        <f t="shared" ref="V10:V60" si="6">IFERROR(S10-U10,"")</f>
        <v/>
      </c>
      <c r="W10" s="36" t="str">
        <f t="shared" ref="W10:W60" si="7">IFERROR((HOUR(V10)+MINUTE(V10)/60),"")</f>
        <v/>
      </c>
      <c r="X10" s="36" t="str">
        <f>IFERROR(VLOOKUP(Info!$B$3&amp;"-"&amp;H10,'Agency Rates'!A:D,4,FALSE),"")</f>
        <v/>
      </c>
      <c r="Y10" s="48" t="str">
        <f t="shared" ref="Y10:Y60" si="8">IFERROR(X10*W10,"")</f>
        <v/>
      </c>
      <c r="Z10" s="22" t="b">
        <f t="shared" si="5"/>
        <v>1</v>
      </c>
      <c r="AA10" s="22" t="b">
        <f t="shared" si="5"/>
        <v>1</v>
      </c>
      <c r="AB10" s="22" t="b">
        <f t="shared" si="5"/>
        <v>1</v>
      </c>
      <c r="AC10" s="22" t="b">
        <f t="shared" si="5"/>
        <v>1</v>
      </c>
      <c r="AD10" s="51" t="b">
        <f t="shared" ref="AD10:AD60" si="9">_xlfn.ISFORMULA(U10)</f>
        <v>1</v>
      </c>
      <c r="AE10" s="51" t="str">
        <f t="shared" ref="AE10:AE60" si="10">CONCATENATE(G10,"-",$A$5)</f>
        <v>-44555</v>
      </c>
      <c r="AF10" s="267"/>
      <c r="AG10" s="267"/>
      <c r="AH10" s="267"/>
    </row>
    <row r="11" spans="1:34" x14ac:dyDescent="0.25">
      <c r="A11" s="30" t="str">
        <f ca="1">IF(ISBLANK(INDIRECT("'Saturday REQ'!A5")),"",INDIRECT("'Saturday REQ'!A5"))</f>
        <v/>
      </c>
      <c r="B11" s="30" t="str">
        <f ca="1">IF(ISBLANK(INDIRECT("'Saturday REQ'!B5")),"",INDIRECT("'Saturday REQ'!B5"))</f>
        <v/>
      </c>
      <c r="C11" s="31" t="str">
        <f ca="1">IF(ISBLANK(INDIRECT("'Saturday REQ'!C5")),"",INDIRECT("'Saturday REQ'!C5"))</f>
        <v/>
      </c>
      <c r="D11" s="31" t="str">
        <f ca="1">IF(ISBLANK(INDIRECT("'Saturday REQ'!D5")),"",INDIRECT("'Saturday REQ'!D5"))</f>
        <v/>
      </c>
      <c r="E11" s="160" t="str">
        <f ca="1">IF(ISBLANK(INDIRECT("'Saturday REQ'!E5")),"",INDIRECT("'Saturday REQ'!E5"))</f>
        <v/>
      </c>
      <c r="F11" s="161"/>
      <c r="G11" s="32"/>
      <c r="H11" s="32"/>
      <c r="I11" s="33" t="str">
        <f>IFERROR(IF(VLOOKUP(G11 &amp; "-" &amp; $A$5, 'Vanquish Data'!A:I, 6, FALSE)=0,"",VLOOKUP(G11 &amp; "-" &amp; $A$5, 'Vanquish Data'!A:I, 6, FALSE)),"")</f>
        <v/>
      </c>
      <c r="J11" s="33" t="str">
        <f>IFERROR(IF(VLOOKUP(G11 &amp; "-" &amp; $A$5, 'Vanquish Data'!A:I, 7, FALSE)=0,"",IFERROR(VLOOKUP(G11 &amp; "-" &amp; $A$5, 'Vanquish Data'!A:I, 7, FALSE),"")),"")</f>
        <v/>
      </c>
      <c r="K11" s="33" t="str">
        <f>IFERROR(IF(VLOOKUP(G11 &amp; "-" &amp; $A$5, 'Vanquish Data'!A:I, 8, FALSE)=0,"",IFERROR(VLOOKUP(G11 &amp; "-" &amp; $A$5, 'Vanquish Data'!A:I, 8, FALSE),"")),"")</f>
        <v/>
      </c>
      <c r="L11" s="33" t="str">
        <f>IFERROR(IF(VLOOKUP(G11 &amp; "-" &amp; $A$5, 'Vanquish Data'!A:I, 9, FALSE)=0,"",IFERROR(VLOOKUP(G11 &amp; "-" &amp; $A$5, 'Vanquish Data'!A:I, 9, FALSE),"")),"")</f>
        <v/>
      </c>
      <c r="M11" s="34" t="str">
        <f t="shared" si="0"/>
        <v/>
      </c>
      <c r="N11" s="34" t="str">
        <f t="shared" si="1"/>
        <v/>
      </c>
      <c r="O11" s="34" t="str">
        <f t="shared" si="1"/>
        <v/>
      </c>
      <c r="P11" s="34" t="str">
        <f t="shared" si="1"/>
        <v/>
      </c>
      <c r="Q11" s="214"/>
      <c r="R11" s="215"/>
      <c r="S11" s="35" t="str">
        <f t="shared" si="2"/>
        <v/>
      </c>
      <c r="T11" s="35" t="str">
        <f t="shared" si="3"/>
        <v/>
      </c>
      <c r="U11" s="33" t="str">
        <f t="shared" si="4"/>
        <v/>
      </c>
      <c r="V11" s="35" t="str">
        <f t="shared" si="6"/>
        <v/>
      </c>
      <c r="W11" s="36" t="str">
        <f t="shared" si="7"/>
        <v/>
      </c>
      <c r="X11" s="36" t="str">
        <f>IFERROR(VLOOKUP(Info!$B$3&amp;"-"&amp;H11,'Agency Rates'!A:D,4,FALSE),"")</f>
        <v/>
      </c>
      <c r="Y11" s="48" t="str">
        <f t="shared" si="8"/>
        <v/>
      </c>
      <c r="Z11" s="22" t="b">
        <f t="shared" si="5"/>
        <v>1</v>
      </c>
      <c r="AA11" s="22" t="b">
        <f t="shared" si="5"/>
        <v>1</v>
      </c>
      <c r="AB11" s="22" t="b">
        <f t="shared" si="5"/>
        <v>1</v>
      </c>
      <c r="AC11" s="22" t="b">
        <f t="shared" si="5"/>
        <v>1</v>
      </c>
      <c r="AD11" s="51" t="b">
        <f t="shared" si="9"/>
        <v>1</v>
      </c>
      <c r="AE11" s="51" t="str">
        <f t="shared" si="10"/>
        <v>-44555</v>
      </c>
      <c r="AF11" s="267"/>
      <c r="AG11" s="267"/>
      <c r="AH11" s="267"/>
    </row>
    <row r="12" spans="1:34" x14ac:dyDescent="0.25">
      <c r="A12" s="30" t="str">
        <f ca="1">IF(ISBLANK(INDIRECT("'Saturday REQ'!A6")),"",INDIRECT("'Saturday REQ'!A6"))</f>
        <v/>
      </c>
      <c r="B12" s="30" t="str">
        <f ca="1">IF(ISBLANK(INDIRECT("'Saturday REQ'!B6")),"",INDIRECT("'Saturday REQ'!B6"))</f>
        <v/>
      </c>
      <c r="C12" s="31" t="str">
        <f ca="1">IF(ISBLANK(INDIRECT("'Saturday REQ'!C6")),"",INDIRECT("'Saturday REQ'!C6"))</f>
        <v/>
      </c>
      <c r="D12" s="31" t="str">
        <f ca="1">IF(ISBLANK(INDIRECT("'Saturday REQ'!D6")),"",INDIRECT("'Saturday REQ'!D6"))</f>
        <v/>
      </c>
      <c r="E12" s="160" t="str">
        <f ca="1">IF(ISBLANK(INDIRECT("'Saturday REQ'!E6")),"",INDIRECT("'Saturday REQ'!E6"))</f>
        <v/>
      </c>
      <c r="F12" s="161"/>
      <c r="G12" s="32"/>
      <c r="H12" s="32"/>
      <c r="I12" s="33" t="str">
        <f>IFERROR(IF(VLOOKUP(G12 &amp; "-" &amp; $A$5, 'Vanquish Data'!A:I, 6, FALSE)=0,"",VLOOKUP(G12 &amp; "-" &amp; $A$5, 'Vanquish Data'!A:I, 6, FALSE)),"")</f>
        <v/>
      </c>
      <c r="J12" s="33" t="str">
        <f>IFERROR(IF(VLOOKUP(G12 &amp; "-" &amp; $A$5, 'Vanquish Data'!A:I, 7, FALSE)=0,"",IFERROR(VLOOKUP(G12 &amp; "-" &amp; $A$5, 'Vanquish Data'!A:I, 7, FALSE),"")),"")</f>
        <v/>
      </c>
      <c r="K12" s="33" t="str">
        <f>IFERROR(IF(VLOOKUP(G12 &amp; "-" &amp; $A$5, 'Vanquish Data'!A:I, 8, FALSE)=0,"",IFERROR(VLOOKUP(G12 &amp; "-" &amp; $A$5, 'Vanquish Data'!A:I, 8, FALSE),"")),"")</f>
        <v/>
      </c>
      <c r="L12" s="33" t="str">
        <f>IFERROR(IF(VLOOKUP(G12 &amp; "-" &amp; $A$5, 'Vanquish Data'!A:I, 9, FALSE)=0,"",IFERROR(VLOOKUP(G12 &amp; "-" &amp; $A$5, 'Vanquish Data'!A:I, 9, FALSE),"")),"")</f>
        <v/>
      </c>
      <c r="M12" s="34" t="str">
        <f t="shared" si="0"/>
        <v/>
      </c>
      <c r="N12" s="34" t="str">
        <f t="shared" si="1"/>
        <v/>
      </c>
      <c r="O12" s="34" t="str">
        <f t="shared" si="1"/>
        <v/>
      </c>
      <c r="P12" s="34" t="str">
        <f t="shared" si="1"/>
        <v/>
      </c>
      <c r="Q12" s="214"/>
      <c r="R12" s="215"/>
      <c r="S12" s="35" t="str">
        <f t="shared" si="2"/>
        <v/>
      </c>
      <c r="T12" s="35" t="str">
        <f t="shared" si="3"/>
        <v/>
      </c>
      <c r="U12" s="33" t="str">
        <f t="shared" si="4"/>
        <v/>
      </c>
      <c r="V12" s="35" t="str">
        <f t="shared" si="6"/>
        <v/>
      </c>
      <c r="W12" s="36" t="str">
        <f t="shared" si="7"/>
        <v/>
      </c>
      <c r="X12" s="36" t="str">
        <f>IFERROR(VLOOKUP(Info!$B$3&amp;"-"&amp;H12,'Agency Rates'!A:D,4,FALSE),"")</f>
        <v/>
      </c>
      <c r="Y12" s="48" t="str">
        <f t="shared" si="8"/>
        <v/>
      </c>
      <c r="Z12" s="22" t="b">
        <f t="shared" si="5"/>
        <v>1</v>
      </c>
      <c r="AA12" s="22" t="b">
        <f t="shared" si="5"/>
        <v>1</v>
      </c>
      <c r="AB12" s="22" t="b">
        <f t="shared" si="5"/>
        <v>1</v>
      </c>
      <c r="AC12" s="22" t="b">
        <f t="shared" si="5"/>
        <v>1</v>
      </c>
      <c r="AD12" s="51" t="b">
        <f t="shared" si="9"/>
        <v>1</v>
      </c>
      <c r="AE12" s="51" t="str">
        <f t="shared" si="10"/>
        <v>-44555</v>
      </c>
      <c r="AF12" s="267"/>
      <c r="AG12" s="267"/>
      <c r="AH12" s="267"/>
    </row>
    <row r="13" spans="1:34" x14ac:dyDescent="0.25">
      <c r="A13" s="30" t="str">
        <f ca="1">IF(ISBLANK(INDIRECT("'Saturday REQ'!A7")),"",INDIRECT("'Saturday REQ'!A7"))</f>
        <v/>
      </c>
      <c r="B13" s="30" t="str">
        <f ca="1">IF(ISBLANK(INDIRECT("'Saturday REQ'!B7")),"",INDIRECT("'Saturday REQ'!B7"))</f>
        <v/>
      </c>
      <c r="C13" s="31" t="str">
        <f ca="1">IF(ISBLANK(INDIRECT("'Saturday REQ'!C7")),"",INDIRECT("'Saturday REQ'!C7"))</f>
        <v/>
      </c>
      <c r="D13" s="31" t="str">
        <f ca="1">IF(ISBLANK(INDIRECT("'Saturday REQ'!D7")),"",INDIRECT("'Saturday REQ'!D7"))</f>
        <v/>
      </c>
      <c r="E13" s="160" t="str">
        <f ca="1">IF(ISBLANK(INDIRECT("'Saturday REQ'!E7")),"",INDIRECT("'Saturday REQ'!E7"))</f>
        <v/>
      </c>
      <c r="F13" s="161"/>
      <c r="G13" s="32"/>
      <c r="H13" s="32"/>
      <c r="I13" s="33" t="str">
        <f>IFERROR(IF(VLOOKUP(G13 &amp; "-" &amp; $A$5, 'Vanquish Data'!A:I, 6, FALSE)=0,"",VLOOKUP(G13 &amp; "-" &amp; $A$5, 'Vanquish Data'!A:I, 6, FALSE)),"")</f>
        <v/>
      </c>
      <c r="J13" s="33" t="str">
        <f>IFERROR(IF(VLOOKUP(G13 &amp; "-" &amp; $A$5, 'Vanquish Data'!A:I, 7, FALSE)=0,"",IFERROR(VLOOKUP(G13 &amp; "-" &amp; $A$5, 'Vanquish Data'!A:I, 7, FALSE),"")),"")</f>
        <v/>
      </c>
      <c r="K13" s="33" t="str">
        <f>IFERROR(IF(VLOOKUP(G13 &amp; "-" &amp; $A$5, 'Vanquish Data'!A:I, 8, FALSE)=0,"",IFERROR(VLOOKUP(G13 &amp; "-" &amp; $A$5, 'Vanquish Data'!A:I, 8, FALSE),"")),"")</f>
        <v/>
      </c>
      <c r="L13" s="33" t="str">
        <f>IFERROR(IF(VLOOKUP(G13 &amp; "-" &amp; $A$5, 'Vanquish Data'!A:I, 9, FALSE)=0,"",IFERROR(VLOOKUP(G13 &amp; "-" &amp; $A$5, 'Vanquish Data'!A:I, 9, FALSE),"")),"")</f>
        <v/>
      </c>
      <c r="M13" s="34" t="str">
        <f t="shared" si="0"/>
        <v/>
      </c>
      <c r="N13" s="34" t="str">
        <f t="shared" si="1"/>
        <v/>
      </c>
      <c r="O13" s="34" t="str">
        <f t="shared" si="1"/>
        <v/>
      </c>
      <c r="P13" s="34" t="str">
        <f t="shared" si="1"/>
        <v/>
      </c>
      <c r="Q13" s="214"/>
      <c r="R13" s="215"/>
      <c r="S13" s="35" t="str">
        <f t="shared" si="2"/>
        <v/>
      </c>
      <c r="T13" s="35" t="str">
        <f t="shared" si="3"/>
        <v/>
      </c>
      <c r="U13" s="33" t="str">
        <f t="shared" si="4"/>
        <v/>
      </c>
      <c r="V13" s="35" t="str">
        <f t="shared" si="6"/>
        <v/>
      </c>
      <c r="W13" s="36" t="str">
        <f t="shared" si="7"/>
        <v/>
      </c>
      <c r="X13" s="36" t="str">
        <f>IFERROR(VLOOKUP(Info!$B$3&amp;"-"&amp;H13,'Agency Rates'!A:D,4,FALSE),"")</f>
        <v/>
      </c>
      <c r="Y13" s="48" t="str">
        <f t="shared" si="8"/>
        <v/>
      </c>
      <c r="Z13" s="22" t="b">
        <f t="shared" si="5"/>
        <v>1</v>
      </c>
      <c r="AA13" s="22" t="b">
        <f t="shared" si="5"/>
        <v>1</v>
      </c>
      <c r="AB13" s="22" t="b">
        <f t="shared" si="5"/>
        <v>1</v>
      </c>
      <c r="AC13" s="22" t="b">
        <f t="shared" si="5"/>
        <v>1</v>
      </c>
      <c r="AD13" s="51" t="b">
        <f t="shared" si="9"/>
        <v>1</v>
      </c>
      <c r="AE13" s="51" t="str">
        <f t="shared" si="10"/>
        <v>-44555</v>
      </c>
      <c r="AF13" s="267"/>
      <c r="AG13" s="267"/>
      <c r="AH13" s="267"/>
    </row>
    <row r="14" spans="1:34" x14ac:dyDescent="0.25">
      <c r="A14" s="30" t="str">
        <f ca="1">IF(ISBLANK(INDIRECT("'Saturday REQ'!A8")),"",INDIRECT("'Saturday REQ'!A8"))</f>
        <v/>
      </c>
      <c r="B14" s="30" t="str">
        <f ca="1">IF(ISBLANK(INDIRECT("'Saturday REQ'!B8")),"",INDIRECT("'Saturday REQ'!B8"))</f>
        <v/>
      </c>
      <c r="C14" s="31" t="str">
        <f ca="1">IF(ISBLANK(INDIRECT("'Saturday REQ'!C8")),"",INDIRECT("'Saturday REQ'!C8"))</f>
        <v/>
      </c>
      <c r="D14" s="31" t="str">
        <f ca="1">IF(ISBLANK(INDIRECT("'Saturday REQ'!D8")),"",INDIRECT("'Saturday REQ'!D8"))</f>
        <v/>
      </c>
      <c r="E14" s="160" t="str">
        <f ca="1">IF(ISBLANK(INDIRECT("'Saturday REQ'!E8")),"",INDIRECT("'Saturday REQ'!E8"))</f>
        <v/>
      </c>
      <c r="F14" s="161"/>
      <c r="G14" s="32"/>
      <c r="H14" s="32"/>
      <c r="I14" s="33" t="str">
        <f>IFERROR(IF(VLOOKUP(G14 &amp; "-" &amp; $A$5, 'Vanquish Data'!A:I, 6, FALSE)=0,"",VLOOKUP(G14 &amp; "-" &amp; $A$5, 'Vanquish Data'!A:I, 6, FALSE)),"")</f>
        <v/>
      </c>
      <c r="J14" s="33" t="str">
        <f>IFERROR(IF(VLOOKUP(G14 &amp; "-" &amp; $A$5, 'Vanquish Data'!A:I, 7, FALSE)=0,"",IFERROR(VLOOKUP(G14 &amp; "-" &amp; $A$5, 'Vanquish Data'!A:I, 7, FALSE),"")),"")</f>
        <v/>
      </c>
      <c r="K14" s="33" t="str">
        <f>IFERROR(IF(VLOOKUP(G14 &amp; "-" &amp; $A$5, 'Vanquish Data'!A:I, 8, FALSE)=0,"",IFERROR(VLOOKUP(G14 &amp; "-" &amp; $A$5, 'Vanquish Data'!A:I, 8, FALSE),"")),"")</f>
        <v/>
      </c>
      <c r="L14" s="33" t="str">
        <f>IFERROR(IF(VLOOKUP(G14 &amp; "-" &amp; $A$5, 'Vanquish Data'!A:I, 9, FALSE)=0,"",IFERROR(VLOOKUP(G14 &amp; "-" &amp; $A$5, 'Vanquish Data'!A:I, 9, FALSE),"")),"")</f>
        <v/>
      </c>
      <c r="M14" s="34" t="str">
        <f t="shared" si="0"/>
        <v/>
      </c>
      <c r="N14" s="34" t="str">
        <f t="shared" si="1"/>
        <v/>
      </c>
      <c r="O14" s="34" t="str">
        <f t="shared" si="1"/>
        <v/>
      </c>
      <c r="P14" s="34" t="str">
        <f t="shared" si="1"/>
        <v/>
      </c>
      <c r="Q14" s="214"/>
      <c r="R14" s="215"/>
      <c r="S14" s="35" t="str">
        <f t="shared" si="2"/>
        <v/>
      </c>
      <c r="T14" s="35" t="str">
        <f t="shared" si="3"/>
        <v/>
      </c>
      <c r="U14" s="33" t="str">
        <f t="shared" si="4"/>
        <v/>
      </c>
      <c r="V14" s="35" t="str">
        <f t="shared" si="6"/>
        <v/>
      </c>
      <c r="W14" s="36" t="str">
        <f t="shared" si="7"/>
        <v/>
      </c>
      <c r="X14" s="36" t="str">
        <f>IFERROR(VLOOKUP(Info!$B$3&amp;"-"&amp;H14,'Agency Rates'!A:D,4,FALSE),"")</f>
        <v/>
      </c>
      <c r="Y14" s="48" t="str">
        <f t="shared" si="8"/>
        <v/>
      </c>
      <c r="Z14" s="22" t="b">
        <f t="shared" si="5"/>
        <v>1</v>
      </c>
      <c r="AA14" s="22" t="b">
        <f t="shared" si="5"/>
        <v>1</v>
      </c>
      <c r="AB14" s="22" t="b">
        <f t="shared" si="5"/>
        <v>1</v>
      </c>
      <c r="AC14" s="22" t="b">
        <f t="shared" si="5"/>
        <v>1</v>
      </c>
      <c r="AD14" s="51" t="b">
        <f t="shared" si="9"/>
        <v>1</v>
      </c>
      <c r="AE14" s="51" t="str">
        <f t="shared" si="10"/>
        <v>-44555</v>
      </c>
      <c r="AF14" s="267"/>
      <c r="AG14" s="267"/>
      <c r="AH14" s="267"/>
    </row>
    <row r="15" spans="1:34" x14ac:dyDescent="0.25">
      <c r="A15" s="30" t="str">
        <f ca="1">IF(ISBLANK(INDIRECT("'Saturday REQ'!A9")),"",INDIRECT("'Saturday REQ'!A9"))</f>
        <v/>
      </c>
      <c r="B15" s="30" t="str">
        <f ca="1">IF(ISBLANK(INDIRECT("'Saturday REQ'!B9")),"",INDIRECT("'Saturday REQ'!B9"))</f>
        <v/>
      </c>
      <c r="C15" s="31" t="str">
        <f ca="1">IF(ISBLANK(INDIRECT("'Saturday REQ'!C9")),"",INDIRECT("'Saturday REQ'!C9"))</f>
        <v/>
      </c>
      <c r="D15" s="31" t="str">
        <f ca="1">IF(ISBLANK(INDIRECT("'Saturday REQ'!D9")),"",INDIRECT("'Saturday REQ'!D9"))</f>
        <v/>
      </c>
      <c r="E15" s="160" t="str">
        <f ca="1">IF(ISBLANK(INDIRECT("'Saturday REQ'!E9")),"",INDIRECT("'Saturday REQ'!E9"))</f>
        <v/>
      </c>
      <c r="F15" s="161"/>
      <c r="G15" s="32"/>
      <c r="H15" s="32"/>
      <c r="I15" s="33" t="str">
        <f>IFERROR(IF(VLOOKUP(G15 &amp; "-" &amp; $A$5, 'Vanquish Data'!A:I, 6, FALSE)=0,"",VLOOKUP(G15 &amp; "-" &amp; $A$5, 'Vanquish Data'!A:I, 6, FALSE)),"")</f>
        <v/>
      </c>
      <c r="J15" s="33" t="str">
        <f>IFERROR(IF(VLOOKUP(G15 &amp; "-" &amp; $A$5, 'Vanquish Data'!A:I, 7, FALSE)=0,"",IFERROR(VLOOKUP(G15 &amp; "-" &amp; $A$5, 'Vanquish Data'!A:I, 7, FALSE),"")),"")</f>
        <v/>
      </c>
      <c r="K15" s="33" t="str">
        <f>IFERROR(IF(VLOOKUP(G15 &amp; "-" &amp; $A$5, 'Vanquish Data'!A:I, 8, FALSE)=0,"",IFERROR(VLOOKUP(G15 &amp; "-" &amp; $A$5, 'Vanquish Data'!A:I, 8, FALSE),"")),"")</f>
        <v/>
      </c>
      <c r="L15" s="33" t="str">
        <f>IFERROR(IF(VLOOKUP(G15 &amp; "-" &amp; $A$5, 'Vanquish Data'!A:I, 9, FALSE)=0,"",IFERROR(VLOOKUP(G15 &amp; "-" &amp; $A$5, 'Vanquish Data'!A:I, 9, FALSE),"")),"")</f>
        <v/>
      </c>
      <c r="M15" s="34" t="str">
        <f t="shared" si="0"/>
        <v/>
      </c>
      <c r="N15" s="34" t="str">
        <f t="shared" si="1"/>
        <v/>
      </c>
      <c r="O15" s="34" t="str">
        <f t="shared" si="1"/>
        <v/>
      </c>
      <c r="P15" s="34" t="str">
        <f t="shared" si="1"/>
        <v/>
      </c>
      <c r="Q15" s="214"/>
      <c r="R15" s="215"/>
      <c r="S15" s="35" t="str">
        <f t="shared" si="2"/>
        <v/>
      </c>
      <c r="T15" s="35" t="str">
        <f t="shared" si="3"/>
        <v/>
      </c>
      <c r="U15" s="33" t="str">
        <f t="shared" si="4"/>
        <v/>
      </c>
      <c r="V15" s="35" t="str">
        <f t="shared" si="6"/>
        <v/>
      </c>
      <c r="W15" s="36" t="str">
        <f t="shared" si="7"/>
        <v/>
      </c>
      <c r="X15" s="36" t="str">
        <f>IFERROR(VLOOKUP(Info!$B$3&amp;"-"&amp;H15,'Agency Rates'!A:D,4,FALSE),"")</f>
        <v/>
      </c>
      <c r="Y15" s="48" t="str">
        <f t="shared" si="8"/>
        <v/>
      </c>
      <c r="Z15" s="22" t="b">
        <f t="shared" si="5"/>
        <v>1</v>
      </c>
      <c r="AA15" s="22" t="b">
        <f t="shared" si="5"/>
        <v>1</v>
      </c>
      <c r="AB15" s="22" t="b">
        <f t="shared" si="5"/>
        <v>1</v>
      </c>
      <c r="AC15" s="22" t="b">
        <f t="shared" si="5"/>
        <v>1</v>
      </c>
      <c r="AD15" s="51" t="b">
        <f t="shared" si="9"/>
        <v>1</v>
      </c>
      <c r="AE15" s="51" t="str">
        <f t="shared" si="10"/>
        <v>-44555</v>
      </c>
      <c r="AF15" s="267"/>
      <c r="AG15" s="267"/>
      <c r="AH15" s="267"/>
    </row>
    <row r="16" spans="1:34" x14ac:dyDescent="0.25">
      <c r="A16" s="30" t="str">
        <f ca="1">IF(ISBLANK(INDIRECT("'Saturday REQ'!A10")),"",INDIRECT("'Saturday REQ'!A10"))</f>
        <v/>
      </c>
      <c r="B16" s="30" t="str">
        <f ca="1">IF(ISBLANK(INDIRECT("'Saturday REQ'!B10")),"",INDIRECT("'Saturday REQ'!B10"))</f>
        <v/>
      </c>
      <c r="C16" s="31" t="str">
        <f ca="1">IF(ISBLANK(INDIRECT("'Saturday REQ'!C10")),"",INDIRECT("'Saturday REQ'!C10"))</f>
        <v/>
      </c>
      <c r="D16" s="31" t="str">
        <f ca="1">IF(ISBLANK(INDIRECT("'Saturday REQ'!D10")),"",INDIRECT("'Saturday REQ'!D10"))</f>
        <v/>
      </c>
      <c r="E16" s="160" t="str">
        <f ca="1">IF(ISBLANK(INDIRECT("'Saturday REQ'!E10")),"",INDIRECT("'Saturday REQ'!E10"))</f>
        <v/>
      </c>
      <c r="F16" s="161"/>
      <c r="G16" s="32"/>
      <c r="H16" s="32"/>
      <c r="I16" s="33" t="str">
        <f>IFERROR(IF(VLOOKUP(G16 &amp; "-" &amp; $A$5, 'Vanquish Data'!A:I, 6, FALSE)=0,"",VLOOKUP(G16 &amp; "-" &amp; $A$5, 'Vanquish Data'!A:I, 6, FALSE)),"")</f>
        <v/>
      </c>
      <c r="J16" s="33" t="str">
        <f>IFERROR(IF(VLOOKUP(G16 &amp; "-" &amp; $A$5, 'Vanquish Data'!A:I, 7, FALSE)=0,"",IFERROR(VLOOKUP(G16 &amp; "-" &amp; $A$5, 'Vanquish Data'!A:I, 7, FALSE),"")),"")</f>
        <v/>
      </c>
      <c r="K16" s="33" t="str">
        <f>IFERROR(IF(VLOOKUP(G16 &amp; "-" &amp; $A$5, 'Vanquish Data'!A:I, 8, FALSE)=0,"",IFERROR(VLOOKUP(G16 &amp; "-" &amp; $A$5, 'Vanquish Data'!A:I, 8, FALSE),"")),"")</f>
        <v/>
      </c>
      <c r="L16" s="33" t="str">
        <f>IFERROR(IF(VLOOKUP(G16 &amp; "-" &amp; $A$5, 'Vanquish Data'!A:I, 9, FALSE)=0,"",IFERROR(VLOOKUP(G16 &amp; "-" &amp; $A$5, 'Vanquish Data'!A:I, 9, FALSE),"")),"")</f>
        <v/>
      </c>
      <c r="M16" s="34" t="str">
        <f t="shared" si="0"/>
        <v/>
      </c>
      <c r="N16" s="34" t="str">
        <f t="shared" si="1"/>
        <v/>
      </c>
      <c r="O16" s="34" t="str">
        <f t="shared" si="1"/>
        <v/>
      </c>
      <c r="P16" s="34" t="str">
        <f t="shared" si="1"/>
        <v/>
      </c>
      <c r="Q16" s="214"/>
      <c r="R16" s="215"/>
      <c r="S16" s="35" t="str">
        <f t="shared" si="2"/>
        <v/>
      </c>
      <c r="T16" s="35" t="str">
        <f t="shared" si="3"/>
        <v/>
      </c>
      <c r="U16" s="33" t="str">
        <f t="shared" si="4"/>
        <v/>
      </c>
      <c r="V16" s="35" t="str">
        <f t="shared" si="6"/>
        <v/>
      </c>
      <c r="W16" s="36" t="str">
        <f t="shared" si="7"/>
        <v/>
      </c>
      <c r="X16" s="36" t="str">
        <f>IFERROR(VLOOKUP(Info!$B$3&amp;"-"&amp;H16,'Agency Rates'!A:D,4,FALSE),"")</f>
        <v/>
      </c>
      <c r="Y16" s="48" t="str">
        <f t="shared" si="8"/>
        <v/>
      </c>
      <c r="Z16" s="22" t="b">
        <f t="shared" si="5"/>
        <v>1</v>
      </c>
      <c r="AA16" s="22" t="b">
        <f t="shared" si="5"/>
        <v>1</v>
      </c>
      <c r="AB16" s="22" t="b">
        <f t="shared" si="5"/>
        <v>1</v>
      </c>
      <c r="AC16" s="22" t="b">
        <f t="shared" si="5"/>
        <v>1</v>
      </c>
      <c r="AD16" s="51" t="b">
        <f t="shared" si="9"/>
        <v>1</v>
      </c>
      <c r="AE16" s="51" t="str">
        <f t="shared" si="10"/>
        <v>-44555</v>
      </c>
      <c r="AF16" s="267"/>
      <c r="AG16" s="267"/>
      <c r="AH16" s="267"/>
    </row>
    <row r="17" spans="1:34" x14ac:dyDescent="0.25">
      <c r="A17" s="30" t="str">
        <f ca="1">IF(ISBLANK(INDIRECT("'Saturday REQ'!A11")),"",INDIRECT("'Saturday REQ'!A11"))</f>
        <v/>
      </c>
      <c r="B17" s="30" t="str">
        <f ca="1">IF(ISBLANK(INDIRECT("'Saturday REQ'!B11")),"",INDIRECT("'Saturday REQ'!B11"))</f>
        <v/>
      </c>
      <c r="C17" s="31" t="str">
        <f ca="1">IF(ISBLANK(INDIRECT("'Saturday REQ'!C11")),"",INDIRECT("'Saturday REQ'!C11"))</f>
        <v/>
      </c>
      <c r="D17" s="31" t="str">
        <f ca="1">IF(ISBLANK(INDIRECT("'Saturday REQ'!D11")),"",INDIRECT("'Saturday REQ'!D11"))</f>
        <v/>
      </c>
      <c r="E17" s="160" t="str">
        <f ca="1">IF(ISBLANK(INDIRECT("'Saturday REQ'!E11")),"",INDIRECT("'Saturday REQ'!E11"))</f>
        <v/>
      </c>
      <c r="F17" s="161"/>
      <c r="G17" s="32"/>
      <c r="H17" s="32"/>
      <c r="I17" s="33" t="str">
        <f>IFERROR(IF(VLOOKUP(G17 &amp; "-" &amp; $A$5, 'Vanquish Data'!A:I, 6, FALSE)=0,"",VLOOKUP(G17 &amp; "-" &amp; $A$5, 'Vanquish Data'!A:I, 6, FALSE)),"")</f>
        <v/>
      </c>
      <c r="J17" s="33" t="str">
        <f>IFERROR(IF(VLOOKUP(G17 &amp; "-" &amp; $A$5, 'Vanquish Data'!A:I, 7, FALSE)=0,"",IFERROR(VLOOKUP(G17 &amp; "-" &amp; $A$5, 'Vanquish Data'!A:I, 7, FALSE),"")),"")</f>
        <v/>
      </c>
      <c r="K17" s="33" t="str">
        <f>IFERROR(IF(VLOOKUP(G17 &amp; "-" &amp; $A$5, 'Vanquish Data'!A:I, 8, FALSE)=0,"",IFERROR(VLOOKUP(G17 &amp; "-" &amp; $A$5, 'Vanquish Data'!A:I, 8, FALSE),"")),"")</f>
        <v/>
      </c>
      <c r="L17" s="33" t="str">
        <f>IFERROR(IF(VLOOKUP(G17 &amp; "-" &amp; $A$5, 'Vanquish Data'!A:I, 9, FALSE)=0,"",IFERROR(VLOOKUP(G17 &amp; "-" &amp; $A$5, 'Vanquish Data'!A:I, 9, FALSE),"")),"")</f>
        <v/>
      </c>
      <c r="M17" s="34" t="str">
        <f t="shared" si="0"/>
        <v/>
      </c>
      <c r="N17" s="34" t="str">
        <f t="shared" si="1"/>
        <v/>
      </c>
      <c r="O17" s="34" t="str">
        <f t="shared" si="1"/>
        <v/>
      </c>
      <c r="P17" s="34" t="str">
        <f t="shared" si="1"/>
        <v/>
      </c>
      <c r="Q17" s="214"/>
      <c r="R17" s="215"/>
      <c r="S17" s="35" t="str">
        <f t="shared" si="2"/>
        <v/>
      </c>
      <c r="T17" s="35" t="str">
        <f t="shared" si="3"/>
        <v/>
      </c>
      <c r="U17" s="33" t="str">
        <f t="shared" si="4"/>
        <v/>
      </c>
      <c r="V17" s="35" t="str">
        <f t="shared" si="6"/>
        <v/>
      </c>
      <c r="W17" s="36" t="str">
        <f t="shared" si="7"/>
        <v/>
      </c>
      <c r="X17" s="36" t="str">
        <f>IFERROR(VLOOKUP(Info!$B$3&amp;"-"&amp;H17,'Agency Rates'!A:D,4,FALSE),"")</f>
        <v/>
      </c>
      <c r="Y17" s="48" t="str">
        <f t="shared" si="8"/>
        <v/>
      </c>
      <c r="Z17" s="22" t="b">
        <f t="shared" si="5"/>
        <v>1</v>
      </c>
      <c r="AA17" s="22" t="b">
        <f t="shared" si="5"/>
        <v>1</v>
      </c>
      <c r="AB17" s="22" t="b">
        <f t="shared" si="5"/>
        <v>1</v>
      </c>
      <c r="AC17" s="22" t="b">
        <f t="shared" si="5"/>
        <v>1</v>
      </c>
      <c r="AD17" s="51" t="b">
        <f t="shared" si="9"/>
        <v>1</v>
      </c>
      <c r="AE17" s="51" t="str">
        <f t="shared" si="10"/>
        <v>-44555</v>
      </c>
      <c r="AF17" s="267"/>
      <c r="AG17" s="267"/>
      <c r="AH17" s="267"/>
    </row>
    <row r="18" spans="1:34" x14ac:dyDescent="0.25">
      <c r="A18" s="30" t="str">
        <f ca="1">IF(ISBLANK(INDIRECT("'Saturday REQ'!A12")),"",INDIRECT("'Saturday REQ'!A12"))</f>
        <v/>
      </c>
      <c r="B18" s="30" t="str">
        <f ca="1">IF(ISBLANK(INDIRECT("'Saturday REQ'!B12")),"",INDIRECT("'Saturday REQ'!B12"))</f>
        <v/>
      </c>
      <c r="C18" s="31" t="str">
        <f ca="1">IF(ISBLANK(INDIRECT("'Saturday REQ'!C12")),"",INDIRECT("'Saturday REQ'!C12"))</f>
        <v/>
      </c>
      <c r="D18" s="31" t="str">
        <f ca="1">IF(ISBLANK(INDIRECT("'Saturday REQ'!D12")),"",INDIRECT("'Saturday REQ'!D12"))</f>
        <v/>
      </c>
      <c r="E18" s="160" t="str">
        <f ca="1">IF(ISBLANK(INDIRECT("'Saturday REQ'!E12")),"",INDIRECT("'Saturday REQ'!E12"))</f>
        <v/>
      </c>
      <c r="F18" s="161"/>
      <c r="G18" s="32"/>
      <c r="H18" s="32"/>
      <c r="I18" s="33" t="str">
        <f>IFERROR(IF(VLOOKUP(G18 &amp; "-" &amp; $A$5, 'Vanquish Data'!A:I, 6, FALSE)=0,"",VLOOKUP(G18 &amp; "-" &amp; $A$5, 'Vanquish Data'!A:I, 6, FALSE)),"")</f>
        <v/>
      </c>
      <c r="J18" s="33" t="str">
        <f>IFERROR(IF(VLOOKUP(G18 &amp; "-" &amp; $A$5, 'Vanquish Data'!A:I, 7, FALSE)=0,"",IFERROR(VLOOKUP(G18 &amp; "-" &amp; $A$5, 'Vanquish Data'!A:I, 7, FALSE),"")),"")</f>
        <v/>
      </c>
      <c r="K18" s="33" t="str">
        <f>IFERROR(IF(VLOOKUP(G18 &amp; "-" &amp; $A$5, 'Vanquish Data'!A:I, 8, FALSE)=0,"",IFERROR(VLOOKUP(G18 &amp; "-" &amp; $A$5, 'Vanquish Data'!A:I, 8, FALSE),"")),"")</f>
        <v/>
      </c>
      <c r="L18" s="33" t="str">
        <f>IFERROR(IF(VLOOKUP(G18 &amp; "-" &amp; $A$5, 'Vanquish Data'!A:I, 9, FALSE)=0,"",IFERROR(VLOOKUP(G18 &amp; "-" &amp; $A$5, 'Vanquish Data'!A:I, 9, FALSE),"")),"")</f>
        <v/>
      </c>
      <c r="M18" s="34" t="str">
        <f t="shared" si="0"/>
        <v/>
      </c>
      <c r="N18" s="34" t="str">
        <f t="shared" si="1"/>
        <v/>
      </c>
      <c r="O18" s="34" t="str">
        <f t="shared" si="1"/>
        <v/>
      </c>
      <c r="P18" s="34" t="str">
        <f t="shared" si="1"/>
        <v/>
      </c>
      <c r="Q18" s="214"/>
      <c r="R18" s="215"/>
      <c r="S18" s="35" t="str">
        <f t="shared" si="2"/>
        <v/>
      </c>
      <c r="T18" s="35" t="str">
        <f t="shared" si="3"/>
        <v/>
      </c>
      <c r="U18" s="33" t="str">
        <f t="shared" si="4"/>
        <v/>
      </c>
      <c r="V18" s="35" t="str">
        <f t="shared" si="6"/>
        <v/>
      </c>
      <c r="W18" s="36" t="str">
        <f t="shared" si="7"/>
        <v/>
      </c>
      <c r="X18" s="36" t="str">
        <f>IFERROR(VLOOKUP(Info!$B$3&amp;"-"&amp;H18,'Agency Rates'!A:D,4,FALSE),"")</f>
        <v/>
      </c>
      <c r="Y18" s="48" t="str">
        <f t="shared" si="8"/>
        <v/>
      </c>
      <c r="Z18" s="22" t="b">
        <f t="shared" si="5"/>
        <v>1</v>
      </c>
      <c r="AA18" s="22" t="b">
        <f t="shared" si="5"/>
        <v>1</v>
      </c>
      <c r="AB18" s="22" t="b">
        <f t="shared" si="5"/>
        <v>1</v>
      </c>
      <c r="AC18" s="22" t="b">
        <f t="shared" si="5"/>
        <v>1</v>
      </c>
      <c r="AD18" s="51" t="b">
        <f t="shared" si="9"/>
        <v>1</v>
      </c>
      <c r="AE18" s="51" t="str">
        <f t="shared" si="10"/>
        <v>-44555</v>
      </c>
      <c r="AF18" s="267"/>
      <c r="AG18" s="267"/>
      <c r="AH18" s="267"/>
    </row>
    <row r="19" spans="1:34" x14ac:dyDescent="0.25">
      <c r="A19" s="30" t="str">
        <f ca="1">IF(ISBLANK(INDIRECT("'Saturday REQ'!A13")),"",INDIRECT("'Saturday REQ'!A13"))</f>
        <v/>
      </c>
      <c r="B19" s="30" t="str">
        <f ca="1">IF(ISBLANK(INDIRECT("'Saturday REQ'!B13")),"",INDIRECT("'Saturday REQ'!B13"))</f>
        <v/>
      </c>
      <c r="C19" s="31" t="str">
        <f ca="1">IF(ISBLANK(INDIRECT("'Saturday REQ'!C13")),"",INDIRECT("'Saturday REQ'!C13"))</f>
        <v/>
      </c>
      <c r="D19" s="31" t="str">
        <f ca="1">IF(ISBLANK(INDIRECT("'Saturday REQ'!D13")),"",INDIRECT("'Saturday REQ'!D13"))</f>
        <v/>
      </c>
      <c r="E19" s="160" t="str">
        <f ca="1">IF(ISBLANK(INDIRECT("'Saturday REQ'!E13")),"",INDIRECT("'Saturday REQ'!E13"))</f>
        <v/>
      </c>
      <c r="F19" s="161"/>
      <c r="G19" s="32"/>
      <c r="H19" s="32"/>
      <c r="I19" s="33" t="str">
        <f>IFERROR(IF(VLOOKUP(G19 &amp; "-" &amp; $A$5, 'Vanquish Data'!A:I, 6, FALSE)=0,"",VLOOKUP(G19 &amp; "-" &amp; $A$5, 'Vanquish Data'!A:I, 6, FALSE)),"")</f>
        <v/>
      </c>
      <c r="J19" s="33" t="str">
        <f>IFERROR(IF(VLOOKUP(G19 &amp; "-" &amp; $A$5, 'Vanquish Data'!A:I, 7, FALSE)=0,"",IFERROR(VLOOKUP(G19 &amp; "-" &amp; $A$5, 'Vanquish Data'!A:I, 7, FALSE),"")),"")</f>
        <v/>
      </c>
      <c r="K19" s="33" t="str">
        <f>IFERROR(IF(VLOOKUP(G19 &amp; "-" &amp; $A$5, 'Vanquish Data'!A:I, 8, FALSE)=0,"",IFERROR(VLOOKUP(G19 &amp; "-" &amp; $A$5, 'Vanquish Data'!A:I, 8, FALSE),"")),"")</f>
        <v/>
      </c>
      <c r="L19" s="33" t="str">
        <f>IFERROR(IF(VLOOKUP(G19 &amp; "-" &amp; $A$5, 'Vanquish Data'!A:I, 9, FALSE)=0,"",IFERROR(VLOOKUP(G19 &amp; "-" &amp; $A$5, 'Vanquish Data'!A:I, 9, FALSE),"")),"")</f>
        <v/>
      </c>
      <c r="M19" s="34" t="str">
        <f t="shared" si="0"/>
        <v/>
      </c>
      <c r="N19" s="34" t="str">
        <f t="shared" si="1"/>
        <v/>
      </c>
      <c r="O19" s="34" t="str">
        <f t="shared" si="1"/>
        <v/>
      </c>
      <c r="P19" s="34" t="str">
        <f t="shared" si="1"/>
        <v/>
      </c>
      <c r="Q19" s="214"/>
      <c r="R19" s="215"/>
      <c r="S19" s="35" t="str">
        <f t="shared" si="2"/>
        <v/>
      </c>
      <c r="T19" s="35" t="str">
        <f t="shared" si="3"/>
        <v/>
      </c>
      <c r="U19" s="33" t="str">
        <f t="shared" si="4"/>
        <v/>
      </c>
      <c r="V19" s="35" t="str">
        <f t="shared" si="6"/>
        <v/>
      </c>
      <c r="W19" s="36" t="str">
        <f t="shared" si="7"/>
        <v/>
      </c>
      <c r="X19" s="36" t="str">
        <f>IFERROR(VLOOKUP(Info!$B$3&amp;"-"&amp;H19,'Agency Rates'!A:D,4,FALSE),"")</f>
        <v/>
      </c>
      <c r="Y19" s="48" t="str">
        <f t="shared" si="8"/>
        <v/>
      </c>
      <c r="Z19" s="22" t="b">
        <f t="shared" si="5"/>
        <v>1</v>
      </c>
      <c r="AA19" s="22" t="b">
        <f t="shared" si="5"/>
        <v>1</v>
      </c>
      <c r="AB19" s="22" t="b">
        <f t="shared" si="5"/>
        <v>1</v>
      </c>
      <c r="AC19" s="22" t="b">
        <f t="shared" si="5"/>
        <v>1</v>
      </c>
      <c r="AD19" s="51" t="b">
        <f t="shared" si="9"/>
        <v>1</v>
      </c>
      <c r="AE19" s="51" t="str">
        <f t="shared" si="10"/>
        <v>-44555</v>
      </c>
      <c r="AF19" s="267"/>
      <c r="AG19" s="267"/>
      <c r="AH19" s="267"/>
    </row>
    <row r="20" spans="1:34" x14ac:dyDescent="0.25">
      <c r="A20" s="30" t="str">
        <f ca="1">IF(ISBLANK(INDIRECT("'Saturday REQ'!A14")),"",INDIRECT("'Saturday REQ'!A14"))</f>
        <v/>
      </c>
      <c r="B20" s="30" t="str">
        <f ca="1">IF(ISBLANK(INDIRECT("'Saturday REQ'!B14")),"",INDIRECT("'Saturday REQ'!B14"))</f>
        <v/>
      </c>
      <c r="C20" s="31" t="str">
        <f ca="1">IF(ISBLANK(INDIRECT("'Saturday REQ'!C14")),"",INDIRECT("'Saturday REQ'!C14"))</f>
        <v/>
      </c>
      <c r="D20" s="31" t="str">
        <f ca="1">IF(ISBLANK(INDIRECT("'Saturday REQ'!D14")),"",INDIRECT("'Saturday REQ'!D14"))</f>
        <v/>
      </c>
      <c r="E20" s="160" t="str">
        <f ca="1">IF(ISBLANK(INDIRECT("'Saturday REQ'!E14")),"",INDIRECT("'Saturday REQ'!E14"))</f>
        <v/>
      </c>
      <c r="F20" s="161"/>
      <c r="G20" s="32"/>
      <c r="H20" s="32"/>
      <c r="I20" s="33" t="str">
        <f>IFERROR(IF(VLOOKUP(G20 &amp; "-" &amp; $A$5, 'Vanquish Data'!A:I, 6, FALSE)=0,"",VLOOKUP(G20 &amp; "-" &amp; $A$5, 'Vanquish Data'!A:I, 6, FALSE)),"")</f>
        <v/>
      </c>
      <c r="J20" s="33" t="str">
        <f>IFERROR(IF(VLOOKUP(G20 &amp; "-" &amp; $A$5, 'Vanquish Data'!A:I, 7, FALSE)=0,"",IFERROR(VLOOKUP(G20 &amp; "-" &amp; $A$5, 'Vanquish Data'!A:I, 7, FALSE),"")),"")</f>
        <v/>
      </c>
      <c r="K20" s="33" t="str">
        <f>IFERROR(IF(VLOOKUP(G20 &amp; "-" &amp; $A$5, 'Vanquish Data'!A:I, 8, FALSE)=0,"",IFERROR(VLOOKUP(G20 &amp; "-" &amp; $A$5, 'Vanquish Data'!A:I, 8, FALSE),"")),"")</f>
        <v/>
      </c>
      <c r="L20" s="33" t="str">
        <f>IFERROR(IF(VLOOKUP(G20 &amp; "-" &amp; $A$5, 'Vanquish Data'!A:I, 9, FALSE)=0,"",IFERROR(VLOOKUP(G20 &amp; "-" &amp; $A$5, 'Vanquish Data'!A:I, 9, FALSE),"")),"")</f>
        <v/>
      </c>
      <c r="M20" s="34" t="str">
        <f t="shared" si="0"/>
        <v/>
      </c>
      <c r="N20" s="34" t="str">
        <f t="shared" si="1"/>
        <v/>
      </c>
      <c r="O20" s="34" t="str">
        <f t="shared" si="1"/>
        <v/>
      </c>
      <c r="P20" s="34" t="str">
        <f t="shared" si="1"/>
        <v/>
      </c>
      <c r="Q20" s="214"/>
      <c r="R20" s="215"/>
      <c r="S20" s="35" t="str">
        <f t="shared" si="2"/>
        <v/>
      </c>
      <c r="T20" s="35" t="str">
        <f t="shared" si="3"/>
        <v/>
      </c>
      <c r="U20" s="33" t="str">
        <f t="shared" si="4"/>
        <v/>
      </c>
      <c r="V20" s="35" t="str">
        <f t="shared" si="6"/>
        <v/>
      </c>
      <c r="W20" s="36" t="str">
        <f t="shared" si="7"/>
        <v/>
      </c>
      <c r="X20" s="36" t="str">
        <f>IFERROR(VLOOKUP(Info!$B$3&amp;"-"&amp;H20,'Agency Rates'!A:D,4,FALSE),"")</f>
        <v/>
      </c>
      <c r="Y20" s="48" t="str">
        <f t="shared" si="8"/>
        <v/>
      </c>
      <c r="Z20" s="22" t="b">
        <f t="shared" si="5"/>
        <v>1</v>
      </c>
      <c r="AA20" s="22" t="b">
        <f t="shared" si="5"/>
        <v>1</v>
      </c>
      <c r="AB20" s="22" t="b">
        <f t="shared" si="5"/>
        <v>1</v>
      </c>
      <c r="AC20" s="22" t="b">
        <f t="shared" si="5"/>
        <v>1</v>
      </c>
      <c r="AD20" s="51" t="b">
        <f t="shared" si="9"/>
        <v>1</v>
      </c>
      <c r="AE20" s="51" t="str">
        <f t="shared" si="10"/>
        <v>-44555</v>
      </c>
      <c r="AF20" s="267"/>
      <c r="AG20" s="267"/>
      <c r="AH20" s="267"/>
    </row>
    <row r="21" spans="1:34" x14ac:dyDescent="0.25">
      <c r="A21" s="30" t="str">
        <f ca="1">IF(ISBLANK(INDIRECT("'Saturday REQ'!A15")),"",INDIRECT("'Saturday REQ'!A15"))</f>
        <v/>
      </c>
      <c r="B21" s="30" t="str">
        <f ca="1">IF(ISBLANK(INDIRECT("'Saturday REQ'!B15")),"",INDIRECT("'Saturday REQ'!B15"))</f>
        <v/>
      </c>
      <c r="C21" s="31" t="str">
        <f ca="1">IF(ISBLANK(INDIRECT("'Saturday REQ'!C15")),"",INDIRECT("'Saturday REQ'!C15"))</f>
        <v/>
      </c>
      <c r="D21" s="31" t="str">
        <f ca="1">IF(ISBLANK(INDIRECT("'Saturday REQ'!D15")),"",INDIRECT("'Saturday REQ'!D15"))</f>
        <v/>
      </c>
      <c r="E21" s="160" t="str">
        <f ca="1">IF(ISBLANK(INDIRECT("'Saturday REQ'!E15")),"",INDIRECT("'Saturday REQ'!E15"))</f>
        <v/>
      </c>
      <c r="F21" s="161"/>
      <c r="G21" s="32"/>
      <c r="H21" s="32"/>
      <c r="I21" s="33" t="str">
        <f>IFERROR(IF(VLOOKUP(G21 &amp; "-" &amp; $A$5, 'Vanquish Data'!A:I, 6, FALSE)=0,"",VLOOKUP(G21 &amp; "-" &amp; $A$5, 'Vanquish Data'!A:I, 6, FALSE)),"")</f>
        <v/>
      </c>
      <c r="J21" s="33" t="str">
        <f>IFERROR(IF(VLOOKUP(G21 &amp; "-" &amp; $A$5, 'Vanquish Data'!A:I, 7, FALSE)=0,"",IFERROR(VLOOKUP(G21 &amp; "-" &amp; $A$5, 'Vanquish Data'!A:I, 7, FALSE),"")),"")</f>
        <v/>
      </c>
      <c r="K21" s="33" t="str">
        <f>IFERROR(IF(VLOOKUP(G21 &amp; "-" &amp; $A$5, 'Vanquish Data'!A:I, 8, FALSE)=0,"",IFERROR(VLOOKUP(G21 &amp; "-" &amp; $A$5, 'Vanquish Data'!A:I, 8, FALSE),"")),"")</f>
        <v/>
      </c>
      <c r="L21" s="33" t="str">
        <f>IFERROR(IF(VLOOKUP(G21 &amp; "-" &amp; $A$5, 'Vanquish Data'!A:I, 9, FALSE)=0,"",IFERROR(VLOOKUP(G21 &amp; "-" &amp; $A$5, 'Vanquish Data'!A:I, 9, FALSE),"")),"")</f>
        <v/>
      </c>
      <c r="M21" s="34" t="str">
        <f t="shared" si="0"/>
        <v/>
      </c>
      <c r="N21" s="34" t="str">
        <f t="shared" si="1"/>
        <v/>
      </c>
      <c r="O21" s="34" t="str">
        <f t="shared" si="1"/>
        <v/>
      </c>
      <c r="P21" s="34" t="str">
        <f t="shared" si="1"/>
        <v/>
      </c>
      <c r="Q21" s="214"/>
      <c r="R21" s="215"/>
      <c r="S21" s="35" t="str">
        <f t="shared" si="2"/>
        <v/>
      </c>
      <c r="T21" s="35" t="str">
        <f t="shared" si="3"/>
        <v/>
      </c>
      <c r="U21" s="33" t="str">
        <f t="shared" si="4"/>
        <v/>
      </c>
      <c r="V21" s="35" t="str">
        <f t="shared" si="6"/>
        <v/>
      </c>
      <c r="W21" s="36" t="str">
        <f t="shared" si="7"/>
        <v/>
      </c>
      <c r="X21" s="36" t="str">
        <f>IFERROR(VLOOKUP(Info!$B$3&amp;"-"&amp;H21,'Agency Rates'!A:D,4,FALSE),"")</f>
        <v/>
      </c>
      <c r="Y21" s="48" t="str">
        <f t="shared" si="8"/>
        <v/>
      </c>
      <c r="Z21" s="22" t="b">
        <f t="shared" si="5"/>
        <v>1</v>
      </c>
      <c r="AA21" s="22" t="b">
        <f t="shared" si="5"/>
        <v>1</v>
      </c>
      <c r="AB21" s="22" t="b">
        <f t="shared" si="5"/>
        <v>1</v>
      </c>
      <c r="AC21" s="22" t="b">
        <f t="shared" si="5"/>
        <v>1</v>
      </c>
      <c r="AD21" s="51" t="b">
        <f t="shared" si="9"/>
        <v>1</v>
      </c>
      <c r="AE21" s="51" t="str">
        <f t="shared" si="10"/>
        <v>-44555</v>
      </c>
      <c r="AF21" s="267"/>
      <c r="AG21" s="267"/>
      <c r="AH21" s="267"/>
    </row>
    <row r="22" spans="1:34" x14ac:dyDescent="0.25">
      <c r="A22" s="30" t="str">
        <f ca="1">IF(ISBLANK(INDIRECT("'Saturday REQ'!A16")),"",INDIRECT("'Saturday REQ'!A16"))</f>
        <v/>
      </c>
      <c r="B22" s="30" t="str">
        <f ca="1">IF(ISBLANK(INDIRECT("'Saturday REQ'!B16")),"",INDIRECT("'Saturday REQ'!B16"))</f>
        <v/>
      </c>
      <c r="C22" s="31" t="str">
        <f ca="1">IF(ISBLANK(INDIRECT("'Saturday REQ'!C16")),"",INDIRECT("'Saturday REQ'!C16"))</f>
        <v/>
      </c>
      <c r="D22" s="31" t="str">
        <f ca="1">IF(ISBLANK(INDIRECT("'Saturday REQ'!D16")),"",INDIRECT("'Saturday REQ'!D16"))</f>
        <v/>
      </c>
      <c r="E22" s="160" t="str">
        <f ca="1">IF(ISBLANK(INDIRECT("'Saturday REQ'!E16")),"",INDIRECT("'Saturday REQ'!E16"))</f>
        <v/>
      </c>
      <c r="F22" s="161"/>
      <c r="G22" s="32"/>
      <c r="H22" s="32"/>
      <c r="I22" s="33" t="str">
        <f>IFERROR(IF(VLOOKUP(G22 &amp; "-" &amp; $A$5, 'Vanquish Data'!A:I, 6, FALSE)=0,"",VLOOKUP(G22 &amp; "-" &amp; $A$5, 'Vanquish Data'!A:I, 6, FALSE)),"")</f>
        <v/>
      </c>
      <c r="J22" s="33" t="str">
        <f>IFERROR(IF(VLOOKUP(G22 &amp; "-" &amp; $A$5, 'Vanquish Data'!A:I, 7, FALSE)=0,"",IFERROR(VLOOKUP(G22 &amp; "-" &amp; $A$5, 'Vanquish Data'!A:I, 7, FALSE),"")),"")</f>
        <v/>
      </c>
      <c r="K22" s="33" t="str">
        <f>IFERROR(IF(VLOOKUP(G22 &amp; "-" &amp; $A$5, 'Vanquish Data'!A:I, 8, FALSE)=0,"",IFERROR(VLOOKUP(G22 &amp; "-" &amp; $A$5, 'Vanquish Data'!A:I, 8, FALSE),"")),"")</f>
        <v/>
      </c>
      <c r="L22" s="33" t="str">
        <f>IFERROR(IF(VLOOKUP(G22 &amp; "-" &amp; $A$5, 'Vanquish Data'!A:I, 9, FALSE)=0,"",IFERROR(VLOOKUP(G22 &amp; "-" &amp; $A$5, 'Vanquish Data'!A:I, 9, FALSE),"")),"")</f>
        <v/>
      </c>
      <c r="M22" s="34" t="str">
        <f t="shared" si="0"/>
        <v/>
      </c>
      <c r="N22" s="34" t="str">
        <f t="shared" si="1"/>
        <v/>
      </c>
      <c r="O22" s="34" t="str">
        <f t="shared" si="1"/>
        <v/>
      </c>
      <c r="P22" s="34" t="str">
        <f t="shared" si="1"/>
        <v/>
      </c>
      <c r="Q22" s="214"/>
      <c r="R22" s="215"/>
      <c r="S22" s="35" t="str">
        <f t="shared" si="2"/>
        <v/>
      </c>
      <c r="T22" s="35" t="str">
        <f t="shared" si="3"/>
        <v/>
      </c>
      <c r="U22" s="33" t="str">
        <f t="shared" si="4"/>
        <v/>
      </c>
      <c r="V22" s="35" t="str">
        <f t="shared" si="6"/>
        <v/>
      </c>
      <c r="W22" s="36" t="str">
        <f t="shared" si="7"/>
        <v/>
      </c>
      <c r="X22" s="36" t="str">
        <f>IFERROR(VLOOKUP(Info!$B$3&amp;"-"&amp;H22,'Agency Rates'!A:D,4,FALSE),"")</f>
        <v/>
      </c>
      <c r="Y22" s="48" t="str">
        <f t="shared" si="8"/>
        <v/>
      </c>
      <c r="Z22" s="22" t="b">
        <f t="shared" si="5"/>
        <v>1</v>
      </c>
      <c r="AA22" s="22" t="b">
        <f t="shared" si="5"/>
        <v>1</v>
      </c>
      <c r="AB22" s="22" t="b">
        <f t="shared" si="5"/>
        <v>1</v>
      </c>
      <c r="AC22" s="22" t="b">
        <f t="shared" si="5"/>
        <v>1</v>
      </c>
      <c r="AD22" s="51" t="b">
        <f t="shared" si="9"/>
        <v>1</v>
      </c>
      <c r="AE22" s="51" t="str">
        <f t="shared" si="10"/>
        <v>-44555</v>
      </c>
      <c r="AF22" s="267"/>
      <c r="AG22" s="267"/>
      <c r="AH22" s="267"/>
    </row>
    <row r="23" spans="1:34" x14ac:dyDescent="0.25">
      <c r="A23" s="30" t="str">
        <f ca="1">IF(ISBLANK(INDIRECT("'Saturday REQ'!A17")),"",INDIRECT("'Saturday REQ'!A17"))</f>
        <v/>
      </c>
      <c r="B23" s="30" t="str">
        <f ca="1">IF(ISBLANK(INDIRECT("'Saturday REQ'!B17")),"",INDIRECT("'Saturday REQ'!B17"))</f>
        <v/>
      </c>
      <c r="C23" s="31" t="str">
        <f ca="1">IF(ISBLANK(INDIRECT("'Saturday REQ'!C17")),"",INDIRECT("'Saturday REQ'!C17"))</f>
        <v/>
      </c>
      <c r="D23" s="31" t="str">
        <f ca="1">IF(ISBLANK(INDIRECT("'Saturday REQ'!D17")),"",INDIRECT("'Saturday REQ'!D17"))</f>
        <v/>
      </c>
      <c r="E23" s="160" t="str">
        <f ca="1">IF(ISBLANK(INDIRECT("'Saturday REQ'!E17")),"",INDIRECT("'Saturday REQ'!E17"))</f>
        <v/>
      </c>
      <c r="F23" s="161"/>
      <c r="G23" s="32"/>
      <c r="H23" s="32"/>
      <c r="I23" s="33" t="str">
        <f>IFERROR(IF(VLOOKUP(G23 &amp; "-" &amp; $A$5, 'Vanquish Data'!A:I, 6, FALSE)=0,"",VLOOKUP(G23 &amp; "-" &amp; $A$5, 'Vanquish Data'!A:I, 6, FALSE)),"")</f>
        <v/>
      </c>
      <c r="J23" s="33" t="str">
        <f>IFERROR(IF(VLOOKUP(G23 &amp; "-" &amp; $A$5, 'Vanquish Data'!A:I, 7, FALSE)=0,"",IFERROR(VLOOKUP(G23 &amp; "-" &amp; $A$5, 'Vanquish Data'!A:I, 7, FALSE),"")),"")</f>
        <v/>
      </c>
      <c r="K23" s="33" t="str">
        <f>IFERROR(IF(VLOOKUP(G23 &amp; "-" &amp; $A$5, 'Vanquish Data'!A:I, 8, FALSE)=0,"",IFERROR(VLOOKUP(G23 &amp; "-" &amp; $A$5, 'Vanquish Data'!A:I, 8, FALSE),"")),"")</f>
        <v/>
      </c>
      <c r="L23" s="33" t="str">
        <f>IFERROR(IF(VLOOKUP(G23 &amp; "-" &amp; $A$5, 'Vanquish Data'!A:I, 9, FALSE)=0,"",IFERROR(VLOOKUP(G23 &amp; "-" &amp; $A$5, 'Vanquish Data'!A:I, 9, FALSE),"")),"")</f>
        <v/>
      </c>
      <c r="M23" s="34" t="str">
        <f t="shared" si="0"/>
        <v/>
      </c>
      <c r="N23" s="34" t="str">
        <f t="shared" si="1"/>
        <v/>
      </c>
      <c r="O23" s="34" t="str">
        <f t="shared" si="1"/>
        <v/>
      </c>
      <c r="P23" s="34" t="str">
        <f t="shared" si="1"/>
        <v/>
      </c>
      <c r="Q23" s="214"/>
      <c r="R23" s="215"/>
      <c r="S23" s="35" t="str">
        <f t="shared" si="2"/>
        <v/>
      </c>
      <c r="T23" s="35" t="str">
        <f t="shared" si="3"/>
        <v/>
      </c>
      <c r="U23" s="33" t="str">
        <f t="shared" si="4"/>
        <v/>
      </c>
      <c r="V23" s="35" t="str">
        <f t="shared" si="6"/>
        <v/>
      </c>
      <c r="W23" s="36" t="str">
        <f t="shared" si="7"/>
        <v/>
      </c>
      <c r="X23" s="36" t="str">
        <f>IFERROR(VLOOKUP(Info!$B$3&amp;"-"&amp;H23,'Agency Rates'!A:D,4,FALSE),"")</f>
        <v/>
      </c>
      <c r="Y23" s="48" t="str">
        <f t="shared" si="8"/>
        <v/>
      </c>
      <c r="Z23" s="22" t="b">
        <f t="shared" si="5"/>
        <v>1</v>
      </c>
      <c r="AA23" s="22" t="b">
        <f t="shared" si="5"/>
        <v>1</v>
      </c>
      <c r="AB23" s="22" t="b">
        <f t="shared" si="5"/>
        <v>1</v>
      </c>
      <c r="AC23" s="22" t="b">
        <f t="shared" si="5"/>
        <v>1</v>
      </c>
      <c r="AD23" s="51" t="b">
        <f t="shared" si="9"/>
        <v>1</v>
      </c>
      <c r="AE23" s="51" t="str">
        <f t="shared" si="10"/>
        <v>-44555</v>
      </c>
      <c r="AF23" s="267"/>
      <c r="AG23" s="267"/>
      <c r="AH23" s="267"/>
    </row>
    <row r="24" spans="1:34" x14ac:dyDescent="0.25">
      <c r="A24" s="30" t="str">
        <f ca="1">IF(ISBLANK(INDIRECT("'Saturday REQ'!A18")),"",INDIRECT("'Saturday REQ'!A18"))</f>
        <v/>
      </c>
      <c r="B24" s="30" t="str">
        <f ca="1">IF(ISBLANK(INDIRECT("'Saturday REQ'!B18")),"",INDIRECT("'Saturday REQ'!B18"))</f>
        <v/>
      </c>
      <c r="C24" s="31" t="str">
        <f ca="1">IF(ISBLANK(INDIRECT("'Saturday REQ'!C18")),"",INDIRECT("'Saturday REQ'!C18"))</f>
        <v/>
      </c>
      <c r="D24" s="31" t="str">
        <f ca="1">IF(ISBLANK(INDIRECT("'Saturday REQ'!D18")),"",INDIRECT("'Saturday REQ'!D18"))</f>
        <v/>
      </c>
      <c r="E24" s="160" t="str">
        <f ca="1">IF(ISBLANK(INDIRECT("'Saturday REQ'!E18")),"",INDIRECT("'Saturday REQ'!E18"))</f>
        <v/>
      </c>
      <c r="F24" s="161"/>
      <c r="G24" s="32"/>
      <c r="H24" s="32"/>
      <c r="I24" s="33" t="str">
        <f>IFERROR(IF(VLOOKUP(G24 &amp; "-" &amp; $A$5, 'Vanquish Data'!A:I, 6, FALSE)=0,"",VLOOKUP(G24 &amp; "-" &amp; $A$5, 'Vanquish Data'!A:I, 6, FALSE)),"")</f>
        <v/>
      </c>
      <c r="J24" s="33" t="str">
        <f>IFERROR(IF(VLOOKUP(G24 &amp; "-" &amp; $A$5, 'Vanquish Data'!A:I, 7, FALSE)=0,"",IFERROR(VLOOKUP(G24 &amp; "-" &amp; $A$5, 'Vanquish Data'!A:I, 7, FALSE),"")),"")</f>
        <v/>
      </c>
      <c r="K24" s="33" t="str">
        <f>IFERROR(IF(VLOOKUP(G24 &amp; "-" &amp; $A$5, 'Vanquish Data'!A:I, 8, FALSE)=0,"",IFERROR(VLOOKUP(G24 &amp; "-" &amp; $A$5, 'Vanquish Data'!A:I, 8, FALSE),"")),"")</f>
        <v/>
      </c>
      <c r="L24" s="33" t="str">
        <f>IFERROR(IF(VLOOKUP(G24 &amp; "-" &amp; $A$5, 'Vanquish Data'!A:I, 9, FALSE)=0,"",IFERROR(VLOOKUP(G24 &amp; "-" &amp; $A$5, 'Vanquish Data'!A:I, 9, FALSE),"")),"")</f>
        <v/>
      </c>
      <c r="M24" s="34" t="str">
        <f t="shared" si="0"/>
        <v/>
      </c>
      <c r="N24" s="34" t="str">
        <f t="shared" si="1"/>
        <v/>
      </c>
      <c r="O24" s="34" t="str">
        <f t="shared" si="1"/>
        <v/>
      </c>
      <c r="P24" s="34" t="str">
        <f t="shared" si="1"/>
        <v/>
      </c>
      <c r="Q24" s="214"/>
      <c r="R24" s="215"/>
      <c r="S24" s="35" t="str">
        <f t="shared" si="2"/>
        <v/>
      </c>
      <c r="T24" s="35" t="str">
        <f t="shared" si="3"/>
        <v/>
      </c>
      <c r="U24" s="33" t="str">
        <f t="shared" si="4"/>
        <v/>
      </c>
      <c r="V24" s="35" t="str">
        <f t="shared" si="6"/>
        <v/>
      </c>
      <c r="W24" s="36" t="str">
        <f t="shared" si="7"/>
        <v/>
      </c>
      <c r="X24" s="36" t="str">
        <f>IFERROR(VLOOKUP(Info!$B$3&amp;"-"&amp;H24,'Agency Rates'!A:D,4,FALSE),"")</f>
        <v/>
      </c>
      <c r="Y24" s="48" t="str">
        <f t="shared" si="8"/>
        <v/>
      </c>
      <c r="Z24" s="22" t="b">
        <f t="shared" si="5"/>
        <v>1</v>
      </c>
      <c r="AA24" s="22" t="b">
        <f t="shared" si="5"/>
        <v>1</v>
      </c>
      <c r="AB24" s="22" t="b">
        <f t="shared" si="5"/>
        <v>1</v>
      </c>
      <c r="AC24" s="22" t="b">
        <f t="shared" si="5"/>
        <v>1</v>
      </c>
      <c r="AD24" s="51" t="b">
        <f t="shared" si="9"/>
        <v>1</v>
      </c>
      <c r="AE24" s="51" t="str">
        <f t="shared" si="10"/>
        <v>-44555</v>
      </c>
      <c r="AF24" s="267"/>
      <c r="AG24" s="267"/>
      <c r="AH24" s="267"/>
    </row>
    <row r="25" spans="1:34" x14ac:dyDescent="0.25">
      <c r="A25" s="30" t="str">
        <f ca="1">IF(ISBLANK(INDIRECT("'Saturday REQ'!A19")),"",INDIRECT("'Saturday REQ'!A19"))</f>
        <v/>
      </c>
      <c r="B25" s="30" t="str">
        <f ca="1">IF(ISBLANK(INDIRECT("'Saturday REQ'!B19")),"",INDIRECT("'Saturday REQ'!B19"))</f>
        <v/>
      </c>
      <c r="C25" s="31" t="str">
        <f ca="1">IF(ISBLANK(INDIRECT("'Saturday REQ'!C19")),"",INDIRECT("'Saturday REQ'!C19"))</f>
        <v/>
      </c>
      <c r="D25" s="31" t="str">
        <f ca="1">IF(ISBLANK(INDIRECT("'Saturday REQ'!D19")),"",INDIRECT("'Saturday REQ'!D19"))</f>
        <v/>
      </c>
      <c r="E25" s="160" t="str">
        <f ca="1">IF(ISBLANK(INDIRECT("'Saturday REQ'!E19")),"",INDIRECT("'Saturday REQ'!E19"))</f>
        <v/>
      </c>
      <c r="F25" s="161"/>
      <c r="G25" s="32"/>
      <c r="H25" s="32"/>
      <c r="I25" s="33" t="str">
        <f>IFERROR(IF(VLOOKUP(G25 &amp; "-" &amp; $A$5, 'Vanquish Data'!A:I, 6, FALSE)=0,"",VLOOKUP(G25 &amp; "-" &amp; $A$5, 'Vanquish Data'!A:I, 6, FALSE)),"")</f>
        <v/>
      </c>
      <c r="J25" s="33" t="str">
        <f>IFERROR(IF(VLOOKUP(G25 &amp; "-" &amp; $A$5, 'Vanquish Data'!A:I, 7, FALSE)=0,"",IFERROR(VLOOKUP(G25 &amp; "-" &amp; $A$5, 'Vanquish Data'!A:I, 7, FALSE),"")),"")</f>
        <v/>
      </c>
      <c r="K25" s="33" t="str">
        <f>IFERROR(IF(VLOOKUP(G25 &amp; "-" &amp; $A$5, 'Vanquish Data'!A:I, 8, FALSE)=0,"",IFERROR(VLOOKUP(G25 &amp; "-" &amp; $A$5, 'Vanquish Data'!A:I, 8, FALSE),"")),"")</f>
        <v/>
      </c>
      <c r="L25" s="33" t="str">
        <f>IFERROR(IF(VLOOKUP(G25 &amp; "-" &amp; $A$5, 'Vanquish Data'!A:I, 9, FALSE)=0,"",IFERROR(VLOOKUP(G25 &amp; "-" &amp; $A$5, 'Vanquish Data'!A:I, 9, FALSE),"")),"")</f>
        <v/>
      </c>
      <c r="M25" s="34" t="str">
        <f t="shared" si="0"/>
        <v/>
      </c>
      <c r="N25" s="34" t="str">
        <f>IF(ISNUMBER(J25),J25,LEFT(J25,5))</f>
        <v/>
      </c>
      <c r="O25" s="34" t="str">
        <f>IF(ISNUMBER(K25),K25,LEFT(K25,5))</f>
        <v/>
      </c>
      <c r="P25" s="34" t="str">
        <f>IF(ISNUMBER(L25),L25,LEFT(L25,5))</f>
        <v/>
      </c>
      <c r="Q25" s="214"/>
      <c r="R25" s="215"/>
      <c r="S25" s="35" t="str">
        <f t="shared" si="2"/>
        <v/>
      </c>
      <c r="T25" s="35" t="str">
        <f t="shared" si="3"/>
        <v/>
      </c>
      <c r="U25" s="33" t="str">
        <f t="shared" si="4"/>
        <v/>
      </c>
      <c r="V25" s="35" t="str">
        <f t="shared" si="6"/>
        <v/>
      </c>
      <c r="W25" s="36" t="str">
        <f t="shared" si="7"/>
        <v/>
      </c>
      <c r="X25" s="36" t="str">
        <f>IFERROR(VLOOKUP(Info!$B$3&amp;"-"&amp;H25,'Agency Rates'!A:D,4,FALSE),"")</f>
        <v/>
      </c>
      <c r="Y25" s="48" t="str">
        <f t="shared" si="8"/>
        <v/>
      </c>
      <c r="Z25" s="22" t="b">
        <f t="shared" si="5"/>
        <v>1</v>
      </c>
      <c r="AA25" s="22" t="b">
        <f t="shared" si="5"/>
        <v>1</v>
      </c>
      <c r="AB25" s="22" t="b">
        <f t="shared" si="5"/>
        <v>1</v>
      </c>
      <c r="AC25" s="22" t="b">
        <f t="shared" si="5"/>
        <v>1</v>
      </c>
      <c r="AD25" s="51" t="b">
        <f t="shared" si="9"/>
        <v>1</v>
      </c>
      <c r="AE25" s="51" t="str">
        <f t="shared" si="10"/>
        <v>-44555</v>
      </c>
      <c r="AF25" s="267"/>
      <c r="AG25" s="267"/>
      <c r="AH25" s="267"/>
    </row>
    <row r="26" spans="1:34" x14ac:dyDescent="0.25">
      <c r="A26" s="30" t="str">
        <f ca="1">IF(ISBLANK(INDIRECT("'Saturday REQ'!A20")),"",INDIRECT("'Saturday REQ'!A20"))</f>
        <v/>
      </c>
      <c r="B26" s="30" t="str">
        <f ca="1">IF(ISBLANK(INDIRECT("'Saturday REQ'!B20")),"",INDIRECT("'Saturday REQ'!B20"))</f>
        <v/>
      </c>
      <c r="C26" s="31" t="str">
        <f ca="1">IF(ISBLANK(INDIRECT("'Saturday REQ'!C20")),"",INDIRECT("'Saturday REQ'!C20"))</f>
        <v/>
      </c>
      <c r="D26" s="31" t="str">
        <f ca="1">IF(ISBLANK(INDIRECT("'Saturday REQ'!D20")),"",INDIRECT("'Saturday REQ'!D20"))</f>
        <v/>
      </c>
      <c r="E26" s="160" t="str">
        <f ca="1">IF(ISBLANK(INDIRECT("'Saturday REQ'!E20")),"",INDIRECT("'Saturday REQ'!E20"))</f>
        <v/>
      </c>
      <c r="F26" s="161"/>
      <c r="G26" s="32"/>
      <c r="H26" s="32"/>
      <c r="I26" s="33" t="str">
        <f>IFERROR(IF(VLOOKUP(G26 &amp; "-" &amp; $A$5, 'Vanquish Data'!A:I, 6, FALSE)=0,"",VLOOKUP(G26 &amp; "-" &amp; $A$5, 'Vanquish Data'!A:I, 6, FALSE)),"")</f>
        <v/>
      </c>
      <c r="J26" s="33" t="str">
        <f>IFERROR(IF(VLOOKUP(G26 &amp; "-" &amp; $A$5, 'Vanquish Data'!A:I, 7, FALSE)=0,"",IFERROR(VLOOKUP(G26 &amp; "-" &amp; $A$5, 'Vanquish Data'!A:I, 7, FALSE),"")),"")</f>
        <v/>
      </c>
      <c r="K26" s="33" t="str">
        <f>IFERROR(IF(VLOOKUP(G26 &amp; "-" &amp; $A$5, 'Vanquish Data'!A:I, 8, FALSE)=0,"",IFERROR(VLOOKUP(G26 &amp; "-" &amp; $A$5, 'Vanquish Data'!A:I, 8, FALSE),"")),"")</f>
        <v/>
      </c>
      <c r="L26" s="33" t="str">
        <f>IFERROR(IF(VLOOKUP(G26 &amp; "-" &amp; $A$5, 'Vanquish Data'!A:I, 9, FALSE)=0,"",IFERROR(VLOOKUP(G26 &amp; "-" &amp; $A$5, 'Vanquish Data'!A:I, 9, FALSE),"")),"")</f>
        <v/>
      </c>
      <c r="M26" s="34" t="str">
        <f t="shared" ref="M26:P60" si="11">IF(ISNUMBER(I26),I26,LEFT(I26,5))</f>
        <v/>
      </c>
      <c r="N26" s="34" t="str">
        <f t="shared" si="11"/>
        <v/>
      </c>
      <c r="O26" s="34" t="str">
        <f t="shared" si="11"/>
        <v/>
      </c>
      <c r="P26" s="34" t="str">
        <f t="shared" si="11"/>
        <v/>
      </c>
      <c r="Q26" s="214"/>
      <c r="R26" s="215"/>
      <c r="S26" s="35" t="str">
        <f t="shared" si="2"/>
        <v/>
      </c>
      <c r="T26" s="35" t="str">
        <f t="shared" si="3"/>
        <v/>
      </c>
      <c r="U26" s="33" t="str">
        <f t="shared" si="4"/>
        <v/>
      </c>
      <c r="V26" s="35" t="str">
        <f t="shared" si="6"/>
        <v/>
      </c>
      <c r="W26" s="36" t="str">
        <f t="shared" si="7"/>
        <v/>
      </c>
      <c r="X26" s="36" t="str">
        <f>IFERROR(VLOOKUP(Info!$B$3&amp;"-"&amp;H26,'Agency Rates'!A:D,4,FALSE),"")</f>
        <v/>
      </c>
      <c r="Y26" s="48" t="str">
        <f t="shared" si="8"/>
        <v/>
      </c>
      <c r="Z26" s="22" t="b">
        <f t="shared" si="5"/>
        <v>1</v>
      </c>
      <c r="AA26" s="22" t="b">
        <f t="shared" si="5"/>
        <v>1</v>
      </c>
      <c r="AB26" s="22" t="b">
        <f t="shared" si="5"/>
        <v>1</v>
      </c>
      <c r="AC26" s="22" t="b">
        <f t="shared" si="5"/>
        <v>1</v>
      </c>
      <c r="AD26" s="51" t="b">
        <f t="shared" si="9"/>
        <v>1</v>
      </c>
      <c r="AE26" s="51" t="str">
        <f t="shared" si="10"/>
        <v>-44555</v>
      </c>
      <c r="AF26" s="267"/>
      <c r="AG26" s="267"/>
      <c r="AH26" s="267"/>
    </row>
    <row r="27" spans="1:34" x14ac:dyDescent="0.25">
      <c r="A27" s="30" t="str">
        <f ca="1">IF(ISBLANK(INDIRECT("'Saturday REQ'!A21")),"",INDIRECT("'Saturday REQ'!A21"))</f>
        <v/>
      </c>
      <c r="B27" s="30" t="str">
        <f ca="1">IF(ISBLANK(INDIRECT("'Saturday REQ'!B21")),"",INDIRECT("'Saturday REQ'!B21"))</f>
        <v/>
      </c>
      <c r="C27" s="31" t="str">
        <f ca="1">IF(ISBLANK(INDIRECT("'Saturday REQ'!C21")),"",INDIRECT("'Saturday REQ'!C21"))</f>
        <v/>
      </c>
      <c r="D27" s="31" t="str">
        <f ca="1">IF(ISBLANK(INDIRECT("'Saturday REQ'!D21")),"",INDIRECT("'Saturday REQ'!D21"))</f>
        <v/>
      </c>
      <c r="E27" s="160" t="str">
        <f ca="1">IF(ISBLANK(INDIRECT("'Saturday REQ'!E21")),"",INDIRECT("'Saturday REQ'!E21"))</f>
        <v/>
      </c>
      <c r="F27" s="161"/>
      <c r="G27" s="32"/>
      <c r="H27" s="32"/>
      <c r="I27" s="33" t="str">
        <f>IFERROR(IF(VLOOKUP(G27 &amp; "-" &amp; $A$5, 'Vanquish Data'!A:I, 6, FALSE)=0,"",VLOOKUP(G27 &amp; "-" &amp; $A$5, 'Vanquish Data'!A:I, 6, FALSE)),"")</f>
        <v/>
      </c>
      <c r="J27" s="33" t="str">
        <f>IFERROR(IF(VLOOKUP(G27 &amp; "-" &amp; $A$5, 'Vanquish Data'!A:I, 7, FALSE)=0,"",IFERROR(VLOOKUP(G27 &amp; "-" &amp; $A$5, 'Vanquish Data'!A:I, 7, FALSE),"")),"")</f>
        <v/>
      </c>
      <c r="K27" s="33" t="str">
        <f>IFERROR(IF(VLOOKUP(G27 &amp; "-" &amp; $A$5, 'Vanquish Data'!A:I, 8, FALSE)=0,"",IFERROR(VLOOKUP(G27 &amp; "-" &amp; $A$5, 'Vanquish Data'!A:I, 8, FALSE),"")),"")</f>
        <v/>
      </c>
      <c r="L27" s="33" t="str">
        <f>IFERROR(IF(VLOOKUP(G27 &amp; "-" &amp; $A$5, 'Vanquish Data'!A:I, 9, FALSE)=0,"",IFERROR(VLOOKUP(G27 &amp; "-" &amp; $A$5, 'Vanquish Data'!A:I, 9, FALSE),"")),"")</f>
        <v/>
      </c>
      <c r="M27" s="34" t="str">
        <f t="shared" si="11"/>
        <v/>
      </c>
      <c r="N27" s="34" t="str">
        <f t="shared" si="11"/>
        <v/>
      </c>
      <c r="O27" s="34" t="str">
        <f t="shared" si="11"/>
        <v/>
      </c>
      <c r="P27" s="34" t="str">
        <f t="shared" si="11"/>
        <v/>
      </c>
      <c r="Q27" s="214"/>
      <c r="R27" s="215"/>
      <c r="S27" s="35" t="str">
        <f t="shared" si="2"/>
        <v/>
      </c>
      <c r="T27" s="35" t="str">
        <f t="shared" si="3"/>
        <v/>
      </c>
      <c r="U27" s="33" t="str">
        <f t="shared" si="4"/>
        <v/>
      </c>
      <c r="V27" s="35" t="str">
        <f t="shared" si="6"/>
        <v/>
      </c>
      <c r="W27" s="36" t="str">
        <f t="shared" si="7"/>
        <v/>
      </c>
      <c r="X27" s="36" t="str">
        <f>IFERROR(VLOOKUP(Info!$B$3&amp;"-"&amp;H27,'Agency Rates'!A:D,4,FALSE),"")</f>
        <v/>
      </c>
      <c r="Y27" s="48" t="str">
        <f t="shared" si="8"/>
        <v/>
      </c>
      <c r="Z27" s="22" t="b">
        <f t="shared" si="5"/>
        <v>1</v>
      </c>
      <c r="AA27" s="22" t="b">
        <f t="shared" si="5"/>
        <v>1</v>
      </c>
      <c r="AB27" s="22" t="b">
        <f t="shared" si="5"/>
        <v>1</v>
      </c>
      <c r="AC27" s="22" t="b">
        <f t="shared" si="5"/>
        <v>1</v>
      </c>
      <c r="AD27" s="51" t="b">
        <f t="shared" si="9"/>
        <v>1</v>
      </c>
      <c r="AE27" s="51" t="str">
        <f t="shared" si="10"/>
        <v>-44555</v>
      </c>
      <c r="AF27" s="267"/>
      <c r="AG27" s="267"/>
      <c r="AH27" s="267"/>
    </row>
    <row r="28" spans="1:34" x14ac:dyDescent="0.25">
      <c r="A28" s="30" t="str">
        <f ca="1">IF(ISBLANK(INDIRECT("'Saturday REQ'!A22")),"",INDIRECT("'Saturday REQ'!A22"))</f>
        <v/>
      </c>
      <c r="B28" s="30" t="str">
        <f ca="1">IF(ISBLANK(INDIRECT("'Saturday REQ'!B22")),"",INDIRECT("'Saturday REQ'!B22"))</f>
        <v/>
      </c>
      <c r="C28" s="31" t="str">
        <f ca="1">IF(ISBLANK(INDIRECT("'Saturday REQ'!C22")),"",INDIRECT("'Saturday REQ'!C22"))</f>
        <v/>
      </c>
      <c r="D28" s="31" t="str">
        <f ca="1">IF(ISBLANK(INDIRECT("'Saturday REQ'!D22")),"",INDIRECT("'Saturday REQ'!D22"))</f>
        <v/>
      </c>
      <c r="E28" s="160" t="str">
        <f ca="1">IF(ISBLANK(INDIRECT("'Saturday REQ'!E22")),"",INDIRECT("'Saturday REQ'!E22"))</f>
        <v/>
      </c>
      <c r="F28" s="161"/>
      <c r="G28" s="32"/>
      <c r="H28" s="32"/>
      <c r="I28" s="33" t="str">
        <f>IFERROR(IF(VLOOKUP(G28 &amp; "-" &amp; $A$5, 'Vanquish Data'!A:I, 6, FALSE)=0,"",VLOOKUP(G28 &amp; "-" &amp; $A$5, 'Vanquish Data'!A:I, 6, FALSE)),"")</f>
        <v/>
      </c>
      <c r="J28" s="33" t="str">
        <f>IFERROR(IF(VLOOKUP(G28 &amp; "-" &amp; $A$5, 'Vanquish Data'!A:I, 7, FALSE)=0,"",IFERROR(VLOOKUP(G28 &amp; "-" &amp; $A$5, 'Vanquish Data'!A:I, 7, FALSE),"")),"")</f>
        <v/>
      </c>
      <c r="K28" s="33" t="str">
        <f>IFERROR(IF(VLOOKUP(G28 &amp; "-" &amp; $A$5, 'Vanquish Data'!A:I, 8, FALSE)=0,"",IFERROR(VLOOKUP(G28 &amp; "-" &amp; $A$5, 'Vanquish Data'!A:I, 8, FALSE),"")),"")</f>
        <v/>
      </c>
      <c r="L28" s="33" t="str">
        <f>IFERROR(IF(VLOOKUP(G28 &amp; "-" &amp; $A$5, 'Vanquish Data'!A:I, 9, FALSE)=0,"",IFERROR(VLOOKUP(G28 &amp; "-" &amp; $A$5, 'Vanquish Data'!A:I, 9, FALSE),"")),"")</f>
        <v/>
      </c>
      <c r="M28" s="34" t="str">
        <f t="shared" si="11"/>
        <v/>
      </c>
      <c r="N28" s="34" t="str">
        <f t="shared" si="11"/>
        <v/>
      </c>
      <c r="O28" s="34" t="str">
        <f t="shared" si="11"/>
        <v/>
      </c>
      <c r="P28" s="34" t="str">
        <f t="shared" si="11"/>
        <v/>
      </c>
      <c r="Q28" s="214"/>
      <c r="R28" s="215"/>
      <c r="S28" s="35" t="str">
        <f t="shared" si="2"/>
        <v/>
      </c>
      <c r="T28" s="35" t="str">
        <f t="shared" si="3"/>
        <v/>
      </c>
      <c r="U28" s="33" t="str">
        <f t="shared" si="4"/>
        <v/>
      </c>
      <c r="V28" s="35" t="str">
        <f t="shared" si="6"/>
        <v/>
      </c>
      <c r="W28" s="36" t="str">
        <f t="shared" si="7"/>
        <v/>
      </c>
      <c r="X28" s="36" t="str">
        <f>IFERROR(VLOOKUP(Info!$B$3&amp;"-"&amp;H28,'Agency Rates'!A:D,4,FALSE),"")</f>
        <v/>
      </c>
      <c r="Y28" s="48" t="str">
        <f t="shared" si="8"/>
        <v/>
      </c>
      <c r="Z28" s="22" t="b">
        <f t="shared" si="5"/>
        <v>1</v>
      </c>
      <c r="AA28" s="22" t="b">
        <f t="shared" si="5"/>
        <v>1</v>
      </c>
      <c r="AB28" s="22" t="b">
        <f t="shared" si="5"/>
        <v>1</v>
      </c>
      <c r="AC28" s="22" t="b">
        <f t="shared" si="5"/>
        <v>1</v>
      </c>
      <c r="AD28" s="51" t="b">
        <f t="shared" si="9"/>
        <v>1</v>
      </c>
      <c r="AE28" s="51" t="str">
        <f t="shared" si="10"/>
        <v>-44555</v>
      </c>
      <c r="AF28" s="267"/>
      <c r="AG28" s="267"/>
      <c r="AH28" s="267"/>
    </row>
    <row r="29" spans="1:34" x14ac:dyDescent="0.25">
      <c r="A29" s="30" t="str">
        <f ca="1">IF(ISBLANK(INDIRECT("'Saturday REQ'!A23")),"",INDIRECT("'Saturday REQ'!A23"))</f>
        <v/>
      </c>
      <c r="B29" s="30" t="str">
        <f ca="1">IF(ISBLANK(INDIRECT("'Saturday REQ'!B23")),"",INDIRECT("'Saturday REQ'!B23"))</f>
        <v/>
      </c>
      <c r="C29" s="31" t="str">
        <f ca="1">IF(ISBLANK(INDIRECT("'Saturday REQ'!C23")),"",INDIRECT("'Saturday REQ'!C23"))</f>
        <v/>
      </c>
      <c r="D29" s="31" t="str">
        <f ca="1">IF(ISBLANK(INDIRECT("'Saturday REQ'!D23")),"",INDIRECT("'Saturday REQ'!D23"))</f>
        <v/>
      </c>
      <c r="E29" s="160" t="str">
        <f ca="1">IF(ISBLANK(INDIRECT("'Saturday REQ'!E23")),"",INDIRECT("'Saturday REQ'!E23"))</f>
        <v/>
      </c>
      <c r="F29" s="161"/>
      <c r="G29" s="32"/>
      <c r="H29" s="32"/>
      <c r="I29" s="33" t="str">
        <f>IFERROR(IF(VLOOKUP(G29 &amp; "-" &amp; $A$5, 'Vanquish Data'!A:I, 6, FALSE)=0,"",VLOOKUP(G29 &amp; "-" &amp; $A$5, 'Vanquish Data'!A:I, 6, FALSE)),"")</f>
        <v/>
      </c>
      <c r="J29" s="33" t="str">
        <f>IFERROR(IF(VLOOKUP(G29 &amp; "-" &amp; $A$5, 'Vanquish Data'!A:I, 7, FALSE)=0,"",IFERROR(VLOOKUP(G29 &amp; "-" &amp; $A$5, 'Vanquish Data'!A:I, 7, FALSE),"")),"")</f>
        <v/>
      </c>
      <c r="K29" s="33" t="str">
        <f>IFERROR(IF(VLOOKUP(G29 &amp; "-" &amp; $A$5, 'Vanquish Data'!A:I, 8, FALSE)=0,"",IFERROR(VLOOKUP(G29 &amp; "-" &amp; $A$5, 'Vanquish Data'!A:I, 8, FALSE),"")),"")</f>
        <v/>
      </c>
      <c r="L29" s="33" t="str">
        <f>IFERROR(IF(VLOOKUP(G29 &amp; "-" &amp; $A$5, 'Vanquish Data'!A:I, 9, FALSE)=0,"",IFERROR(VLOOKUP(G29 &amp; "-" &amp; $A$5, 'Vanquish Data'!A:I, 9, FALSE),"")),"")</f>
        <v/>
      </c>
      <c r="M29" s="34" t="str">
        <f t="shared" si="11"/>
        <v/>
      </c>
      <c r="N29" s="34" t="str">
        <f t="shared" si="11"/>
        <v/>
      </c>
      <c r="O29" s="34" t="str">
        <f t="shared" si="11"/>
        <v/>
      </c>
      <c r="P29" s="34" t="str">
        <f t="shared" si="11"/>
        <v/>
      </c>
      <c r="Q29" s="214"/>
      <c r="R29" s="215"/>
      <c r="S29" s="35" t="str">
        <f t="shared" si="2"/>
        <v/>
      </c>
      <c r="T29" s="35" t="str">
        <f t="shared" si="3"/>
        <v/>
      </c>
      <c r="U29" s="33" t="str">
        <f t="shared" si="4"/>
        <v/>
      </c>
      <c r="V29" s="35" t="str">
        <f t="shared" si="6"/>
        <v/>
      </c>
      <c r="W29" s="36" t="str">
        <f t="shared" si="7"/>
        <v/>
      </c>
      <c r="X29" s="36" t="str">
        <f>IFERROR(VLOOKUP(Info!$B$3&amp;"-"&amp;H29,'Agency Rates'!A:D,4,FALSE),"")</f>
        <v/>
      </c>
      <c r="Y29" s="48" t="str">
        <f t="shared" si="8"/>
        <v/>
      </c>
      <c r="Z29" s="22" t="b">
        <f t="shared" si="5"/>
        <v>1</v>
      </c>
      <c r="AA29" s="22" t="b">
        <f t="shared" si="5"/>
        <v>1</v>
      </c>
      <c r="AB29" s="22" t="b">
        <f t="shared" si="5"/>
        <v>1</v>
      </c>
      <c r="AC29" s="22" t="b">
        <f t="shared" si="5"/>
        <v>1</v>
      </c>
      <c r="AD29" s="51" t="b">
        <f t="shared" si="9"/>
        <v>1</v>
      </c>
      <c r="AE29" s="51" t="str">
        <f t="shared" si="10"/>
        <v>-44555</v>
      </c>
      <c r="AF29" s="267"/>
      <c r="AG29" s="267"/>
      <c r="AH29" s="267"/>
    </row>
    <row r="30" spans="1:34" x14ac:dyDescent="0.25">
      <c r="A30" s="30" t="str">
        <f ca="1">IF(ISBLANK(INDIRECT("'Saturday REQ'!A24")),"",INDIRECT("'Saturday REQ'!A24"))</f>
        <v/>
      </c>
      <c r="B30" s="30" t="str">
        <f ca="1">IF(ISBLANK(INDIRECT("'Saturday REQ'!B24")),"",INDIRECT("'Saturday REQ'!B24"))</f>
        <v/>
      </c>
      <c r="C30" s="31" t="str">
        <f ca="1">IF(ISBLANK(INDIRECT("'Saturday REQ'!C24")),"",INDIRECT("'Saturday REQ'!C24"))</f>
        <v/>
      </c>
      <c r="D30" s="31" t="str">
        <f ca="1">IF(ISBLANK(INDIRECT("'Saturday REQ'!D24")),"",INDIRECT("'Saturday REQ'!D24"))</f>
        <v/>
      </c>
      <c r="E30" s="160" t="str">
        <f ca="1">IF(ISBLANK(INDIRECT("'Saturday REQ'!E24")),"",INDIRECT("'Saturday REQ'!E24"))</f>
        <v/>
      </c>
      <c r="F30" s="161"/>
      <c r="G30" s="32"/>
      <c r="H30" s="32"/>
      <c r="I30" s="33" t="str">
        <f>IFERROR(IF(VLOOKUP(G30 &amp; "-" &amp; $A$5, 'Vanquish Data'!A:I, 6, FALSE)=0,"",VLOOKUP(G30 &amp; "-" &amp; $A$5, 'Vanquish Data'!A:I, 6, FALSE)),"")</f>
        <v/>
      </c>
      <c r="J30" s="33" t="str">
        <f>IFERROR(IF(VLOOKUP(G30 &amp; "-" &amp; $A$5, 'Vanquish Data'!A:I, 7, FALSE)=0,"",IFERROR(VLOOKUP(G30 &amp; "-" &amp; $A$5, 'Vanquish Data'!A:I, 7, FALSE),"")),"")</f>
        <v/>
      </c>
      <c r="K30" s="33" t="str">
        <f>IFERROR(IF(VLOOKUP(G30 &amp; "-" &amp; $A$5, 'Vanquish Data'!A:I, 8, FALSE)=0,"",IFERROR(VLOOKUP(G30 &amp; "-" &amp; $A$5, 'Vanquish Data'!A:I, 8, FALSE),"")),"")</f>
        <v/>
      </c>
      <c r="L30" s="33" t="str">
        <f>IFERROR(IF(VLOOKUP(G30 &amp; "-" &amp; $A$5, 'Vanquish Data'!A:I, 9, FALSE)=0,"",IFERROR(VLOOKUP(G30 &amp; "-" &amp; $A$5, 'Vanquish Data'!A:I, 9, FALSE),"")),"")</f>
        <v/>
      </c>
      <c r="M30" s="34" t="str">
        <f t="shared" si="11"/>
        <v/>
      </c>
      <c r="N30" s="34" t="str">
        <f t="shared" si="11"/>
        <v/>
      </c>
      <c r="O30" s="34" t="str">
        <f t="shared" si="11"/>
        <v/>
      </c>
      <c r="P30" s="34" t="str">
        <f t="shared" si="11"/>
        <v/>
      </c>
      <c r="Q30" s="214"/>
      <c r="R30" s="215"/>
      <c r="S30" s="35" t="str">
        <f t="shared" si="2"/>
        <v/>
      </c>
      <c r="T30" s="35" t="str">
        <f t="shared" si="3"/>
        <v/>
      </c>
      <c r="U30" s="33" t="str">
        <f t="shared" si="4"/>
        <v/>
      </c>
      <c r="V30" s="35" t="str">
        <f t="shared" si="6"/>
        <v/>
      </c>
      <c r="W30" s="36" t="str">
        <f t="shared" si="7"/>
        <v/>
      </c>
      <c r="X30" s="36" t="str">
        <f>IFERROR(VLOOKUP(Info!$B$3&amp;"-"&amp;H30,'Agency Rates'!A:D,4,FALSE),"")</f>
        <v/>
      </c>
      <c r="Y30" s="48" t="str">
        <f t="shared" si="8"/>
        <v/>
      </c>
      <c r="Z30" s="22" t="b">
        <f t="shared" si="5"/>
        <v>1</v>
      </c>
      <c r="AA30" s="22" t="b">
        <f t="shared" si="5"/>
        <v>1</v>
      </c>
      <c r="AB30" s="22" t="b">
        <f t="shared" si="5"/>
        <v>1</v>
      </c>
      <c r="AC30" s="22" t="b">
        <f t="shared" si="5"/>
        <v>1</v>
      </c>
      <c r="AD30" s="51" t="b">
        <f t="shared" si="9"/>
        <v>1</v>
      </c>
      <c r="AE30" s="51" t="str">
        <f t="shared" si="10"/>
        <v>-44555</v>
      </c>
      <c r="AF30" s="267"/>
      <c r="AG30" s="267"/>
      <c r="AH30" s="267"/>
    </row>
    <row r="31" spans="1:34" x14ac:dyDescent="0.25">
      <c r="A31" s="30" t="str">
        <f ca="1">IF(ISBLANK(INDIRECT("'Saturday REQ'!A25")),"",INDIRECT("'Saturday REQ'!A25"))</f>
        <v/>
      </c>
      <c r="B31" s="30" t="str">
        <f ca="1">IF(ISBLANK(INDIRECT("'Saturday REQ'!B25")),"",INDIRECT("'Saturday REQ'!B25"))</f>
        <v/>
      </c>
      <c r="C31" s="31" t="str">
        <f ca="1">IF(ISBLANK(INDIRECT("'Saturday REQ'!C25")),"",INDIRECT("'Saturday REQ'!C25"))</f>
        <v/>
      </c>
      <c r="D31" s="31" t="str">
        <f ca="1">IF(ISBLANK(INDIRECT("'Saturday REQ'!D25")),"",INDIRECT("'Saturday REQ'!D25"))</f>
        <v/>
      </c>
      <c r="E31" s="160" t="str">
        <f ca="1">IF(ISBLANK(INDIRECT("'Saturday REQ'!E25")),"",INDIRECT("'Saturday REQ'!E25"))</f>
        <v/>
      </c>
      <c r="F31" s="161"/>
      <c r="G31" s="32"/>
      <c r="H31" s="32"/>
      <c r="I31" s="33" t="str">
        <f>IFERROR(IF(VLOOKUP(G31 &amp; "-" &amp; $A$5, 'Vanquish Data'!A:I, 6, FALSE)=0,"",VLOOKUP(G31 &amp; "-" &amp; $A$5, 'Vanquish Data'!A:I, 6, FALSE)),"")</f>
        <v/>
      </c>
      <c r="J31" s="33" t="str">
        <f>IFERROR(IF(VLOOKUP(G31 &amp; "-" &amp; $A$5, 'Vanquish Data'!A:I, 7, FALSE)=0,"",IFERROR(VLOOKUP(G31 &amp; "-" &amp; $A$5, 'Vanquish Data'!A:I, 7, FALSE),"")),"")</f>
        <v/>
      </c>
      <c r="K31" s="33" t="str">
        <f>IFERROR(IF(VLOOKUP(G31 &amp; "-" &amp; $A$5, 'Vanquish Data'!A:I, 8, FALSE)=0,"",IFERROR(VLOOKUP(G31 &amp; "-" &amp; $A$5, 'Vanquish Data'!A:I, 8, FALSE),"")),"")</f>
        <v/>
      </c>
      <c r="L31" s="33" t="str">
        <f>IFERROR(IF(VLOOKUP(G31 &amp; "-" &amp; $A$5, 'Vanquish Data'!A:I, 9, FALSE)=0,"",IFERROR(VLOOKUP(G31 &amp; "-" &amp; $A$5, 'Vanquish Data'!A:I, 9, FALSE),"")),"")</f>
        <v/>
      </c>
      <c r="M31" s="34" t="str">
        <f t="shared" si="11"/>
        <v/>
      </c>
      <c r="N31" s="34" t="str">
        <f t="shared" si="11"/>
        <v/>
      </c>
      <c r="O31" s="34" t="str">
        <f t="shared" si="11"/>
        <v/>
      </c>
      <c r="P31" s="34" t="str">
        <f t="shared" si="11"/>
        <v/>
      </c>
      <c r="Q31" s="214"/>
      <c r="R31" s="215"/>
      <c r="S31" s="35" t="str">
        <f t="shared" si="2"/>
        <v/>
      </c>
      <c r="T31" s="35" t="str">
        <f t="shared" si="3"/>
        <v/>
      </c>
      <c r="U31" s="33" t="str">
        <f t="shared" si="4"/>
        <v/>
      </c>
      <c r="V31" s="35" t="str">
        <f t="shared" si="6"/>
        <v/>
      </c>
      <c r="W31" s="36" t="str">
        <f t="shared" si="7"/>
        <v/>
      </c>
      <c r="X31" s="36" t="str">
        <f>IFERROR(VLOOKUP(Info!$B$3&amp;"-"&amp;H31,'Agency Rates'!A:D,4,FALSE),"")</f>
        <v/>
      </c>
      <c r="Y31" s="48" t="str">
        <f t="shared" si="8"/>
        <v/>
      </c>
      <c r="Z31" s="22" t="b">
        <f t="shared" si="5"/>
        <v>1</v>
      </c>
      <c r="AA31" s="22" t="b">
        <f t="shared" si="5"/>
        <v>1</v>
      </c>
      <c r="AB31" s="22" t="b">
        <f t="shared" si="5"/>
        <v>1</v>
      </c>
      <c r="AC31" s="22" t="b">
        <f t="shared" si="5"/>
        <v>1</v>
      </c>
      <c r="AD31" s="51" t="b">
        <f t="shared" si="9"/>
        <v>1</v>
      </c>
      <c r="AE31" s="51" t="str">
        <f t="shared" si="10"/>
        <v>-44555</v>
      </c>
      <c r="AF31" s="267"/>
      <c r="AG31" s="267"/>
      <c r="AH31" s="267"/>
    </row>
    <row r="32" spans="1:34" x14ac:dyDescent="0.25">
      <c r="A32" s="30" t="str">
        <f ca="1">IF(ISBLANK(INDIRECT("'Saturday REQ'!A26")),"",INDIRECT("'Saturday REQ'!A26"))</f>
        <v/>
      </c>
      <c r="B32" s="30" t="str">
        <f ca="1">IF(ISBLANK(INDIRECT("'Saturday REQ'!B26")),"",INDIRECT("'Saturday REQ'!B26"))</f>
        <v/>
      </c>
      <c r="C32" s="31" t="str">
        <f ca="1">IF(ISBLANK(INDIRECT("'Saturday REQ'!C26")),"",INDIRECT("'Saturday REQ'!C26"))</f>
        <v/>
      </c>
      <c r="D32" s="31" t="str">
        <f ca="1">IF(ISBLANK(INDIRECT("'Saturday REQ'!D26")),"",INDIRECT("'Saturday REQ'!D26"))</f>
        <v/>
      </c>
      <c r="E32" s="160" t="str">
        <f ca="1">IF(ISBLANK(INDIRECT("'Saturday REQ'!E26")),"",INDIRECT("'Saturday REQ'!E26"))</f>
        <v/>
      </c>
      <c r="F32" s="161"/>
      <c r="G32" s="32"/>
      <c r="H32" s="32"/>
      <c r="I32" s="33" t="str">
        <f>IFERROR(IF(VLOOKUP(G32 &amp; "-" &amp; $A$5, 'Vanquish Data'!A:I, 6, FALSE)=0,"",VLOOKUP(G32 &amp; "-" &amp; $A$5, 'Vanquish Data'!A:I, 6, FALSE)),"")</f>
        <v/>
      </c>
      <c r="J32" s="33" t="str">
        <f>IFERROR(IF(VLOOKUP(G32 &amp; "-" &amp; $A$5, 'Vanquish Data'!A:I, 7, FALSE)=0,"",IFERROR(VLOOKUP(G32 &amp; "-" &amp; $A$5, 'Vanquish Data'!A:I, 7, FALSE),"")),"")</f>
        <v/>
      </c>
      <c r="K32" s="33" t="str">
        <f>IFERROR(IF(VLOOKUP(G32 &amp; "-" &amp; $A$5, 'Vanquish Data'!A:I, 8, FALSE)=0,"",IFERROR(VLOOKUP(G32 &amp; "-" &amp; $A$5, 'Vanquish Data'!A:I, 8, FALSE),"")),"")</f>
        <v/>
      </c>
      <c r="L32" s="33" t="str">
        <f>IFERROR(IF(VLOOKUP(G32 &amp; "-" &amp; $A$5, 'Vanquish Data'!A:I, 9, FALSE)=0,"",IFERROR(VLOOKUP(G32 &amp; "-" &amp; $A$5, 'Vanquish Data'!A:I, 9, FALSE),"")),"")</f>
        <v/>
      </c>
      <c r="M32" s="34" t="str">
        <f t="shared" si="11"/>
        <v/>
      </c>
      <c r="N32" s="34" t="str">
        <f t="shared" si="11"/>
        <v/>
      </c>
      <c r="O32" s="34" t="str">
        <f t="shared" si="11"/>
        <v/>
      </c>
      <c r="P32" s="34" t="str">
        <f t="shared" si="11"/>
        <v/>
      </c>
      <c r="Q32" s="214"/>
      <c r="R32" s="215"/>
      <c r="S32" s="35" t="str">
        <f t="shared" si="2"/>
        <v/>
      </c>
      <c r="T32" s="35" t="str">
        <f t="shared" si="3"/>
        <v/>
      </c>
      <c r="U32" s="33" t="str">
        <f t="shared" si="4"/>
        <v/>
      </c>
      <c r="V32" s="35" t="str">
        <f t="shared" si="6"/>
        <v/>
      </c>
      <c r="W32" s="36" t="str">
        <f t="shared" si="7"/>
        <v/>
      </c>
      <c r="X32" s="36" t="str">
        <f>IFERROR(VLOOKUP(Info!$B$3&amp;"-"&amp;H32,'Agency Rates'!A:D,4,FALSE),"")</f>
        <v/>
      </c>
      <c r="Y32" s="48" t="str">
        <f t="shared" si="8"/>
        <v/>
      </c>
      <c r="Z32" s="22" t="b">
        <f t="shared" si="5"/>
        <v>1</v>
      </c>
      <c r="AA32" s="22" t="b">
        <f t="shared" si="5"/>
        <v>1</v>
      </c>
      <c r="AB32" s="22" t="b">
        <f t="shared" si="5"/>
        <v>1</v>
      </c>
      <c r="AC32" s="22" t="b">
        <f t="shared" si="5"/>
        <v>1</v>
      </c>
      <c r="AD32" s="51" t="b">
        <f t="shared" si="9"/>
        <v>1</v>
      </c>
      <c r="AE32" s="51" t="str">
        <f t="shared" si="10"/>
        <v>-44555</v>
      </c>
      <c r="AF32" s="267"/>
      <c r="AG32" s="267"/>
      <c r="AH32" s="267"/>
    </row>
    <row r="33" spans="1:34" x14ac:dyDescent="0.25">
      <c r="A33" s="30" t="str">
        <f ca="1">IF(ISBLANK(INDIRECT("'Saturday REQ'!A27")),"",INDIRECT("'Saturday REQ'!A27"))</f>
        <v/>
      </c>
      <c r="B33" s="30" t="str">
        <f ca="1">IF(ISBLANK(INDIRECT("'Saturday REQ'!B27")),"",INDIRECT("'Saturday REQ'!B27"))</f>
        <v/>
      </c>
      <c r="C33" s="31" t="str">
        <f ca="1">IF(ISBLANK(INDIRECT("'Saturday REQ'!C27")),"",INDIRECT("'Saturday REQ'!C27"))</f>
        <v/>
      </c>
      <c r="D33" s="31" t="str">
        <f ca="1">IF(ISBLANK(INDIRECT("'Saturday REQ'!D27")),"",INDIRECT("'Saturday REQ'!D27"))</f>
        <v/>
      </c>
      <c r="E33" s="160" t="str">
        <f ca="1">IF(ISBLANK(INDIRECT("'Saturday REQ'!E27")),"",INDIRECT("'Saturday REQ'!E27"))</f>
        <v/>
      </c>
      <c r="F33" s="161"/>
      <c r="G33" s="32"/>
      <c r="H33" s="32"/>
      <c r="I33" s="33" t="str">
        <f>IFERROR(IF(VLOOKUP(G33 &amp; "-" &amp; $A$5, 'Vanquish Data'!A:I, 6, FALSE)=0,"",VLOOKUP(G33 &amp; "-" &amp; $A$5, 'Vanquish Data'!A:I, 6, FALSE)),"")</f>
        <v/>
      </c>
      <c r="J33" s="33" t="str">
        <f>IFERROR(IF(VLOOKUP(G33 &amp; "-" &amp; $A$5, 'Vanquish Data'!A:I, 7, FALSE)=0,"",IFERROR(VLOOKUP(G33 &amp; "-" &amp; $A$5, 'Vanquish Data'!A:I, 7, FALSE),"")),"")</f>
        <v/>
      </c>
      <c r="K33" s="33" t="str">
        <f>IFERROR(IF(VLOOKUP(G33 &amp; "-" &amp; $A$5, 'Vanquish Data'!A:I, 8, FALSE)=0,"",IFERROR(VLOOKUP(G33 &amp; "-" &amp; $A$5, 'Vanquish Data'!A:I, 8, FALSE),"")),"")</f>
        <v/>
      </c>
      <c r="L33" s="33" t="str">
        <f>IFERROR(IF(VLOOKUP(G33 &amp; "-" &amp; $A$5, 'Vanquish Data'!A:I, 9, FALSE)=0,"",IFERROR(VLOOKUP(G33 &amp; "-" &amp; $A$5, 'Vanquish Data'!A:I, 9, FALSE),"")),"")</f>
        <v/>
      </c>
      <c r="M33" s="34" t="str">
        <f t="shared" si="11"/>
        <v/>
      </c>
      <c r="N33" s="34" t="str">
        <f t="shared" si="11"/>
        <v/>
      </c>
      <c r="O33" s="34" t="str">
        <f t="shared" si="11"/>
        <v/>
      </c>
      <c r="P33" s="34" t="str">
        <f t="shared" si="11"/>
        <v/>
      </c>
      <c r="Q33" s="214"/>
      <c r="R33" s="215"/>
      <c r="S33" s="35" t="str">
        <f t="shared" si="2"/>
        <v/>
      </c>
      <c r="T33" s="35" t="str">
        <f t="shared" si="3"/>
        <v/>
      </c>
      <c r="U33" s="33" t="str">
        <f t="shared" si="4"/>
        <v/>
      </c>
      <c r="V33" s="35" t="str">
        <f t="shared" si="6"/>
        <v/>
      </c>
      <c r="W33" s="36" t="str">
        <f t="shared" si="7"/>
        <v/>
      </c>
      <c r="X33" s="36" t="str">
        <f>IFERROR(VLOOKUP(Info!$B$3&amp;"-"&amp;H33,'Agency Rates'!A:D,4,FALSE),"")</f>
        <v/>
      </c>
      <c r="Y33" s="48" t="str">
        <f t="shared" si="8"/>
        <v/>
      </c>
      <c r="Z33" s="22" t="b">
        <f t="shared" si="5"/>
        <v>1</v>
      </c>
      <c r="AA33" s="22" t="b">
        <f t="shared" si="5"/>
        <v>1</v>
      </c>
      <c r="AB33" s="22" t="b">
        <f t="shared" si="5"/>
        <v>1</v>
      </c>
      <c r="AC33" s="22" t="b">
        <f t="shared" si="5"/>
        <v>1</v>
      </c>
      <c r="AD33" s="51" t="b">
        <f t="shared" si="9"/>
        <v>1</v>
      </c>
      <c r="AE33" s="51" t="str">
        <f t="shared" si="10"/>
        <v>-44555</v>
      </c>
      <c r="AF33" s="267"/>
      <c r="AG33" s="267"/>
      <c r="AH33" s="267"/>
    </row>
    <row r="34" spans="1:34" x14ac:dyDescent="0.25">
      <c r="A34" s="30" t="str">
        <f ca="1">IF(ISBLANK(INDIRECT("'Saturday REQ'!A28")),"",INDIRECT("'Saturday REQ'!A28"))</f>
        <v/>
      </c>
      <c r="B34" s="30" t="str">
        <f ca="1">IF(ISBLANK(INDIRECT("'Saturday REQ'!B28")),"",INDIRECT("'Saturday REQ'!B28"))</f>
        <v/>
      </c>
      <c r="C34" s="31" t="str">
        <f ca="1">IF(ISBLANK(INDIRECT("'Saturday REQ'!C28")),"",INDIRECT("'Saturday REQ'!C28"))</f>
        <v/>
      </c>
      <c r="D34" s="31" t="str">
        <f ca="1">IF(ISBLANK(INDIRECT("'Saturday REQ'!D28")),"",INDIRECT("'Saturday REQ'!D28"))</f>
        <v/>
      </c>
      <c r="E34" s="160" t="str">
        <f ca="1">IF(ISBLANK(INDIRECT("'Saturday REQ'!E28")),"",INDIRECT("'Saturday REQ'!E28"))</f>
        <v/>
      </c>
      <c r="F34" s="161"/>
      <c r="G34" s="32"/>
      <c r="H34" s="32"/>
      <c r="I34" s="33" t="str">
        <f>IFERROR(IF(VLOOKUP(G34 &amp; "-" &amp; $A$5, 'Vanquish Data'!A:I, 6, FALSE)=0,"",VLOOKUP(G34 &amp; "-" &amp; $A$5, 'Vanquish Data'!A:I, 6, FALSE)),"")</f>
        <v/>
      </c>
      <c r="J34" s="33" t="str">
        <f>IFERROR(IF(VLOOKUP(G34 &amp; "-" &amp; $A$5, 'Vanquish Data'!A:I, 7, FALSE)=0,"",IFERROR(VLOOKUP(G34 &amp; "-" &amp; $A$5, 'Vanquish Data'!A:I, 7, FALSE),"")),"")</f>
        <v/>
      </c>
      <c r="K34" s="33" t="str">
        <f>IFERROR(IF(VLOOKUP(G34 &amp; "-" &amp; $A$5, 'Vanquish Data'!A:I, 8, FALSE)=0,"",IFERROR(VLOOKUP(G34 &amp; "-" &amp; $A$5, 'Vanquish Data'!A:I, 8, FALSE),"")),"")</f>
        <v/>
      </c>
      <c r="L34" s="33" t="str">
        <f>IFERROR(IF(VLOOKUP(G34 &amp; "-" &amp; $A$5, 'Vanquish Data'!A:I, 9, FALSE)=0,"",IFERROR(VLOOKUP(G34 &amp; "-" &amp; $A$5, 'Vanquish Data'!A:I, 9, FALSE),"")),"")</f>
        <v/>
      </c>
      <c r="M34" s="34" t="str">
        <f t="shared" si="11"/>
        <v/>
      </c>
      <c r="N34" s="34" t="str">
        <f t="shared" si="11"/>
        <v/>
      </c>
      <c r="O34" s="34" t="str">
        <f t="shared" si="11"/>
        <v/>
      </c>
      <c r="P34" s="34" t="str">
        <f t="shared" si="11"/>
        <v/>
      </c>
      <c r="Q34" s="214"/>
      <c r="R34" s="215"/>
      <c r="S34" s="35" t="str">
        <f t="shared" si="2"/>
        <v/>
      </c>
      <c r="T34" s="35" t="str">
        <f t="shared" si="3"/>
        <v/>
      </c>
      <c r="U34" s="33" t="str">
        <f t="shared" si="4"/>
        <v/>
      </c>
      <c r="V34" s="35" t="str">
        <f t="shared" si="6"/>
        <v/>
      </c>
      <c r="W34" s="36" t="str">
        <f t="shared" si="7"/>
        <v/>
      </c>
      <c r="X34" s="36" t="str">
        <f>IFERROR(VLOOKUP(Info!$B$3&amp;"-"&amp;H34,'Agency Rates'!A:D,4,FALSE),"")</f>
        <v/>
      </c>
      <c r="Y34" s="48" t="str">
        <f t="shared" si="8"/>
        <v/>
      </c>
      <c r="Z34" s="22" t="b">
        <f t="shared" si="5"/>
        <v>1</v>
      </c>
      <c r="AA34" s="22" t="b">
        <f t="shared" si="5"/>
        <v>1</v>
      </c>
      <c r="AB34" s="22" t="b">
        <f t="shared" si="5"/>
        <v>1</v>
      </c>
      <c r="AC34" s="22" t="b">
        <f t="shared" si="5"/>
        <v>1</v>
      </c>
      <c r="AD34" s="51" t="b">
        <f t="shared" si="9"/>
        <v>1</v>
      </c>
      <c r="AE34" s="51" t="str">
        <f t="shared" si="10"/>
        <v>-44555</v>
      </c>
      <c r="AF34" s="267"/>
      <c r="AG34" s="267"/>
      <c r="AH34" s="267"/>
    </row>
    <row r="35" spans="1:34" x14ac:dyDescent="0.25">
      <c r="A35" s="30" t="str">
        <f ca="1">IF(ISBLANK(INDIRECT("'Saturday REQ'!A29")),"",INDIRECT("'Saturday REQ'!A29"))</f>
        <v/>
      </c>
      <c r="B35" s="30" t="str">
        <f ca="1">IF(ISBLANK(INDIRECT("'Saturday REQ'!B29")),"",INDIRECT("'Saturday REQ'!B29"))</f>
        <v/>
      </c>
      <c r="C35" s="31" t="str">
        <f ca="1">IF(ISBLANK(INDIRECT("'Saturday REQ'!C29")),"",INDIRECT("'Saturday REQ'!C29"))</f>
        <v/>
      </c>
      <c r="D35" s="31" t="str">
        <f ca="1">IF(ISBLANK(INDIRECT("'Saturday REQ'!D29")),"",INDIRECT("'Saturday REQ'!D29"))</f>
        <v/>
      </c>
      <c r="E35" s="160" t="str">
        <f ca="1">IF(ISBLANK(INDIRECT("'Saturday REQ'!E29")),"",INDIRECT("'Saturday REQ'!E29"))</f>
        <v/>
      </c>
      <c r="F35" s="161"/>
      <c r="G35" s="32"/>
      <c r="H35" s="32"/>
      <c r="I35" s="33" t="str">
        <f>IFERROR(IF(VLOOKUP(G35 &amp; "-" &amp; $A$5, 'Vanquish Data'!A:I, 6, FALSE)=0,"",VLOOKUP(G35 &amp; "-" &amp; $A$5, 'Vanquish Data'!A:I, 6, FALSE)),"")</f>
        <v/>
      </c>
      <c r="J35" s="33" t="str">
        <f>IFERROR(IF(VLOOKUP(G35 &amp; "-" &amp; $A$5, 'Vanquish Data'!A:I, 7, FALSE)=0,"",IFERROR(VLOOKUP(G35 &amp; "-" &amp; $A$5, 'Vanquish Data'!A:I, 7, FALSE),"")),"")</f>
        <v/>
      </c>
      <c r="K35" s="33" t="str">
        <f>IFERROR(IF(VLOOKUP(G35 &amp; "-" &amp; $A$5, 'Vanquish Data'!A:I, 8, FALSE)=0,"",IFERROR(VLOOKUP(G35 &amp; "-" &amp; $A$5, 'Vanquish Data'!A:I, 8, FALSE),"")),"")</f>
        <v/>
      </c>
      <c r="L35" s="33" t="str">
        <f>IFERROR(IF(VLOOKUP(G35 &amp; "-" &amp; $A$5, 'Vanquish Data'!A:I, 9, FALSE)=0,"",IFERROR(VLOOKUP(G35 &amp; "-" &amp; $A$5, 'Vanquish Data'!A:I, 9, FALSE),"")),"")</f>
        <v/>
      </c>
      <c r="M35" s="34" t="str">
        <f t="shared" si="11"/>
        <v/>
      </c>
      <c r="N35" s="34" t="str">
        <f t="shared" si="11"/>
        <v/>
      </c>
      <c r="O35" s="34" t="str">
        <f t="shared" si="11"/>
        <v/>
      </c>
      <c r="P35" s="34" t="str">
        <f t="shared" si="11"/>
        <v/>
      </c>
      <c r="Q35" s="214"/>
      <c r="R35" s="215"/>
      <c r="S35" s="35" t="str">
        <f t="shared" si="2"/>
        <v/>
      </c>
      <c r="T35" s="35" t="str">
        <f t="shared" si="3"/>
        <v/>
      </c>
      <c r="U35" s="33" t="str">
        <f t="shared" si="4"/>
        <v/>
      </c>
      <c r="V35" s="35" t="str">
        <f t="shared" si="6"/>
        <v/>
      </c>
      <c r="W35" s="36" t="str">
        <f t="shared" si="7"/>
        <v/>
      </c>
      <c r="X35" s="36" t="str">
        <f>IFERROR(VLOOKUP(Info!$B$3&amp;"-"&amp;H35,'Agency Rates'!A:D,4,FALSE),"")</f>
        <v/>
      </c>
      <c r="Y35" s="48" t="str">
        <f t="shared" si="8"/>
        <v/>
      </c>
      <c r="Z35" s="22" t="b">
        <f t="shared" si="5"/>
        <v>1</v>
      </c>
      <c r="AA35" s="22" t="b">
        <f t="shared" si="5"/>
        <v>1</v>
      </c>
      <c r="AB35" s="22" t="b">
        <f t="shared" si="5"/>
        <v>1</v>
      </c>
      <c r="AC35" s="22" t="b">
        <f t="shared" si="5"/>
        <v>1</v>
      </c>
      <c r="AD35" s="51" t="b">
        <f t="shared" si="9"/>
        <v>1</v>
      </c>
      <c r="AE35" s="51" t="str">
        <f t="shared" si="10"/>
        <v>-44555</v>
      </c>
      <c r="AF35" s="267"/>
      <c r="AG35" s="267"/>
      <c r="AH35" s="267"/>
    </row>
    <row r="36" spans="1:34" x14ac:dyDescent="0.25">
      <c r="A36" s="30" t="str">
        <f ca="1">IF(ISBLANK(INDIRECT("'Saturday REQ'!A30")),"",INDIRECT("'Saturday REQ'!A30"))</f>
        <v/>
      </c>
      <c r="B36" s="30" t="str">
        <f ca="1">IF(ISBLANK(INDIRECT("'Saturday REQ'!B30")),"",INDIRECT("'Saturday REQ'!B30"))</f>
        <v/>
      </c>
      <c r="C36" s="31" t="str">
        <f ca="1">IF(ISBLANK(INDIRECT("'Saturday REQ'!C30")),"",INDIRECT("'Saturday REQ'!C30"))</f>
        <v/>
      </c>
      <c r="D36" s="31" t="str">
        <f ca="1">IF(ISBLANK(INDIRECT("'Saturday REQ'!D30")),"",INDIRECT("'Saturday REQ'!D30"))</f>
        <v/>
      </c>
      <c r="E36" s="160" t="str">
        <f ca="1">IF(ISBLANK(INDIRECT("'Saturday REQ'!E30")),"",INDIRECT("'Saturday REQ'!E30"))</f>
        <v/>
      </c>
      <c r="F36" s="161"/>
      <c r="G36" s="32"/>
      <c r="H36" s="32"/>
      <c r="I36" s="33" t="str">
        <f>IFERROR(IF(VLOOKUP(G36 &amp; "-" &amp; $A$5, 'Vanquish Data'!A:I, 6, FALSE)=0,"",VLOOKUP(G36 &amp; "-" &amp; $A$5, 'Vanquish Data'!A:I, 6, FALSE)),"")</f>
        <v/>
      </c>
      <c r="J36" s="33" t="str">
        <f>IFERROR(IF(VLOOKUP(G36 &amp; "-" &amp; $A$5, 'Vanquish Data'!A:I, 7, FALSE)=0,"",IFERROR(VLOOKUP(G36 &amp; "-" &amp; $A$5, 'Vanquish Data'!A:I, 7, FALSE),"")),"")</f>
        <v/>
      </c>
      <c r="K36" s="33" t="str">
        <f>IFERROR(IF(VLOOKUP(G36 &amp; "-" &amp; $A$5, 'Vanquish Data'!A:I, 8, FALSE)=0,"",IFERROR(VLOOKUP(G36 &amp; "-" &amp; $A$5, 'Vanquish Data'!A:I, 8, FALSE),"")),"")</f>
        <v/>
      </c>
      <c r="L36" s="33" t="str">
        <f>IFERROR(IF(VLOOKUP(G36 &amp; "-" &amp; $A$5, 'Vanquish Data'!A:I, 9, FALSE)=0,"",IFERROR(VLOOKUP(G36 &amp; "-" &amp; $A$5, 'Vanquish Data'!A:I, 9, FALSE),"")),"")</f>
        <v/>
      </c>
      <c r="M36" s="34" t="str">
        <f t="shared" si="11"/>
        <v/>
      </c>
      <c r="N36" s="34" t="str">
        <f t="shared" si="11"/>
        <v/>
      </c>
      <c r="O36" s="34" t="str">
        <f t="shared" si="11"/>
        <v/>
      </c>
      <c r="P36" s="34" t="str">
        <f t="shared" si="11"/>
        <v/>
      </c>
      <c r="Q36" s="214"/>
      <c r="R36" s="215"/>
      <c r="S36" s="35" t="str">
        <f t="shared" si="2"/>
        <v/>
      </c>
      <c r="T36" s="35" t="str">
        <f t="shared" si="3"/>
        <v/>
      </c>
      <c r="U36" s="33" t="str">
        <f t="shared" si="4"/>
        <v/>
      </c>
      <c r="V36" s="35" t="str">
        <f t="shared" si="6"/>
        <v/>
      </c>
      <c r="W36" s="36" t="str">
        <f t="shared" si="7"/>
        <v/>
      </c>
      <c r="X36" s="36" t="str">
        <f>IFERROR(VLOOKUP(Info!$B$3&amp;"-"&amp;H36,'Agency Rates'!A:D,4,FALSE),"")</f>
        <v/>
      </c>
      <c r="Y36" s="48" t="str">
        <f t="shared" si="8"/>
        <v/>
      </c>
      <c r="Z36" s="22" t="b">
        <f t="shared" si="5"/>
        <v>1</v>
      </c>
      <c r="AA36" s="22" t="b">
        <f t="shared" si="5"/>
        <v>1</v>
      </c>
      <c r="AB36" s="22" t="b">
        <f t="shared" si="5"/>
        <v>1</v>
      </c>
      <c r="AC36" s="22" t="b">
        <f t="shared" si="5"/>
        <v>1</v>
      </c>
      <c r="AD36" s="51" t="b">
        <f t="shared" si="9"/>
        <v>1</v>
      </c>
      <c r="AE36" s="51" t="str">
        <f t="shared" si="10"/>
        <v>-44555</v>
      </c>
      <c r="AF36" s="267"/>
      <c r="AG36" s="267"/>
      <c r="AH36" s="267"/>
    </row>
    <row r="37" spans="1:34" x14ac:dyDescent="0.25">
      <c r="A37" s="30" t="str">
        <f ca="1">IF(ISBLANK(INDIRECT("'Saturday REQ'!A31")),"",INDIRECT("'Saturday REQ'!A31"))</f>
        <v/>
      </c>
      <c r="B37" s="30" t="str">
        <f ca="1">IF(ISBLANK(INDIRECT("'Saturday REQ'!B31")),"",INDIRECT("'Saturday REQ'!B31"))</f>
        <v/>
      </c>
      <c r="C37" s="31" t="str">
        <f ca="1">IF(ISBLANK(INDIRECT("'Saturday REQ'!C31")),"",INDIRECT("'Saturday REQ'!C31"))</f>
        <v/>
      </c>
      <c r="D37" s="31" t="str">
        <f ca="1">IF(ISBLANK(INDIRECT("'Saturday REQ'!D31")),"",INDIRECT("'Saturday REQ'!D31"))</f>
        <v/>
      </c>
      <c r="E37" s="160" t="str">
        <f ca="1">IF(ISBLANK(INDIRECT("'Saturday REQ'!E31")),"",INDIRECT("'Saturday REQ'!E31"))</f>
        <v/>
      </c>
      <c r="F37" s="161"/>
      <c r="G37" s="32"/>
      <c r="H37" s="32"/>
      <c r="I37" s="33" t="str">
        <f>IFERROR(IF(VLOOKUP(G37 &amp; "-" &amp; $A$5, 'Vanquish Data'!A:I, 6, FALSE)=0,"",VLOOKUP(G37 &amp; "-" &amp; $A$5, 'Vanquish Data'!A:I, 6, FALSE)),"")</f>
        <v/>
      </c>
      <c r="J37" s="33" t="str">
        <f>IFERROR(IF(VLOOKUP(G37 &amp; "-" &amp; $A$5, 'Vanquish Data'!A:I, 7, FALSE)=0,"",IFERROR(VLOOKUP(G37 &amp; "-" &amp; $A$5, 'Vanquish Data'!A:I, 7, FALSE),"")),"")</f>
        <v/>
      </c>
      <c r="K37" s="33" t="str">
        <f>IFERROR(IF(VLOOKUP(G37 &amp; "-" &amp; $A$5, 'Vanquish Data'!A:I, 8, FALSE)=0,"",IFERROR(VLOOKUP(G37 &amp; "-" &amp; $A$5, 'Vanquish Data'!A:I, 8, FALSE),"")),"")</f>
        <v/>
      </c>
      <c r="L37" s="33" t="str">
        <f>IFERROR(IF(VLOOKUP(G37 &amp; "-" &amp; $A$5, 'Vanquish Data'!A:I, 9, FALSE)=0,"",IFERROR(VLOOKUP(G37 &amp; "-" &amp; $A$5, 'Vanquish Data'!A:I, 9, FALSE),"")),"")</f>
        <v/>
      </c>
      <c r="M37" s="34" t="str">
        <f t="shared" si="11"/>
        <v/>
      </c>
      <c r="N37" s="34" t="str">
        <f t="shared" si="11"/>
        <v/>
      </c>
      <c r="O37" s="34" t="str">
        <f t="shared" si="11"/>
        <v/>
      </c>
      <c r="P37" s="34" t="str">
        <f t="shared" si="11"/>
        <v/>
      </c>
      <c r="Q37" s="214"/>
      <c r="R37" s="215"/>
      <c r="S37" s="35" t="str">
        <f t="shared" si="2"/>
        <v/>
      </c>
      <c r="T37" s="35" t="str">
        <f t="shared" si="3"/>
        <v/>
      </c>
      <c r="U37" s="33" t="str">
        <f t="shared" si="4"/>
        <v/>
      </c>
      <c r="V37" s="35" t="str">
        <f t="shared" si="6"/>
        <v/>
      </c>
      <c r="W37" s="36" t="str">
        <f t="shared" si="7"/>
        <v/>
      </c>
      <c r="X37" s="36" t="str">
        <f>IFERROR(VLOOKUP(Info!$B$3&amp;"-"&amp;H37,'Agency Rates'!A:D,4,FALSE),"")</f>
        <v/>
      </c>
      <c r="Y37" s="48" t="str">
        <f t="shared" si="8"/>
        <v/>
      </c>
      <c r="Z37" s="22" t="b">
        <f t="shared" si="5"/>
        <v>1</v>
      </c>
      <c r="AA37" s="22" t="b">
        <f t="shared" si="5"/>
        <v>1</v>
      </c>
      <c r="AB37" s="22" t="b">
        <f t="shared" si="5"/>
        <v>1</v>
      </c>
      <c r="AC37" s="22" t="b">
        <f t="shared" si="5"/>
        <v>1</v>
      </c>
      <c r="AD37" s="51" t="b">
        <f t="shared" si="9"/>
        <v>1</v>
      </c>
      <c r="AE37" s="51" t="str">
        <f t="shared" si="10"/>
        <v>-44555</v>
      </c>
      <c r="AF37" s="267"/>
      <c r="AG37" s="267"/>
      <c r="AH37" s="267"/>
    </row>
    <row r="38" spans="1:34" x14ac:dyDescent="0.25">
      <c r="A38" s="30" t="str">
        <f ca="1">IF(ISBLANK(INDIRECT("'Saturday REQ'!A32")),"",INDIRECT("'Saturday REQ'!A32"))</f>
        <v/>
      </c>
      <c r="B38" s="30" t="str">
        <f ca="1">IF(ISBLANK(INDIRECT("'Saturday REQ'!B32")),"",INDIRECT("'Saturday REQ'!B32"))</f>
        <v/>
      </c>
      <c r="C38" s="31" t="str">
        <f ca="1">IF(ISBLANK(INDIRECT("'Saturday REQ'!C32")),"",INDIRECT("'Saturday REQ'!C32"))</f>
        <v/>
      </c>
      <c r="D38" s="31" t="str">
        <f ca="1">IF(ISBLANK(INDIRECT("'Saturday REQ'!D32")),"",INDIRECT("'Saturday REQ'!D32"))</f>
        <v/>
      </c>
      <c r="E38" s="160" t="str">
        <f ca="1">IF(ISBLANK(INDIRECT("'Saturday REQ'!E32")),"",INDIRECT("'Saturday REQ'!E32"))</f>
        <v/>
      </c>
      <c r="F38" s="161"/>
      <c r="G38" s="32"/>
      <c r="H38" s="32"/>
      <c r="I38" s="33" t="str">
        <f>IFERROR(IF(VLOOKUP(G38 &amp; "-" &amp; $A$5, 'Vanquish Data'!A:I, 6, FALSE)=0,"",VLOOKUP(G38 &amp; "-" &amp; $A$5, 'Vanquish Data'!A:I, 6, FALSE)),"")</f>
        <v/>
      </c>
      <c r="J38" s="33" t="str">
        <f>IFERROR(IF(VLOOKUP(G38 &amp; "-" &amp; $A$5, 'Vanquish Data'!A:I, 7, FALSE)=0,"",IFERROR(VLOOKUP(G38 &amp; "-" &amp; $A$5, 'Vanquish Data'!A:I, 7, FALSE),"")),"")</f>
        <v/>
      </c>
      <c r="K38" s="33" t="str">
        <f>IFERROR(IF(VLOOKUP(G38 &amp; "-" &amp; $A$5, 'Vanquish Data'!A:I, 8, FALSE)=0,"",IFERROR(VLOOKUP(G38 &amp; "-" &amp; $A$5, 'Vanquish Data'!A:I, 8, FALSE),"")),"")</f>
        <v/>
      </c>
      <c r="L38" s="33" t="str">
        <f>IFERROR(IF(VLOOKUP(G38 &amp; "-" &amp; $A$5, 'Vanquish Data'!A:I, 9, FALSE)=0,"",IFERROR(VLOOKUP(G38 &amp; "-" &amp; $A$5, 'Vanquish Data'!A:I, 9, FALSE),"")),"")</f>
        <v/>
      </c>
      <c r="M38" s="34" t="str">
        <f t="shared" si="11"/>
        <v/>
      </c>
      <c r="N38" s="34" t="str">
        <f t="shared" si="11"/>
        <v/>
      </c>
      <c r="O38" s="34" t="str">
        <f t="shared" si="11"/>
        <v/>
      </c>
      <c r="P38" s="34" t="str">
        <f t="shared" si="11"/>
        <v/>
      </c>
      <c r="Q38" s="214"/>
      <c r="R38" s="215"/>
      <c r="S38" s="35" t="str">
        <f t="shared" si="2"/>
        <v/>
      </c>
      <c r="T38" s="35" t="str">
        <f t="shared" si="3"/>
        <v/>
      </c>
      <c r="U38" s="33" t="str">
        <f t="shared" si="4"/>
        <v/>
      </c>
      <c r="V38" s="35" t="str">
        <f t="shared" si="6"/>
        <v/>
      </c>
      <c r="W38" s="36" t="str">
        <f t="shared" si="7"/>
        <v/>
      </c>
      <c r="X38" s="36" t="str">
        <f>IFERROR(VLOOKUP(Info!$B$3&amp;"-"&amp;H38,'Agency Rates'!A:D,4,FALSE),"")</f>
        <v/>
      </c>
      <c r="Y38" s="48" t="str">
        <f t="shared" si="8"/>
        <v/>
      </c>
      <c r="Z38" s="22" t="b">
        <f t="shared" si="5"/>
        <v>1</v>
      </c>
      <c r="AA38" s="22" t="b">
        <f t="shared" si="5"/>
        <v>1</v>
      </c>
      <c r="AB38" s="22" t="b">
        <f t="shared" si="5"/>
        <v>1</v>
      </c>
      <c r="AC38" s="22" t="b">
        <f t="shared" si="5"/>
        <v>1</v>
      </c>
      <c r="AD38" s="51" t="b">
        <f t="shared" si="9"/>
        <v>1</v>
      </c>
      <c r="AE38" s="51" t="str">
        <f t="shared" si="10"/>
        <v>-44555</v>
      </c>
      <c r="AF38" s="267"/>
      <c r="AG38" s="267"/>
      <c r="AH38" s="267"/>
    </row>
    <row r="39" spans="1:34" x14ac:dyDescent="0.25">
      <c r="A39" s="30" t="str">
        <f ca="1">IF(ISBLANK(INDIRECT("'Saturday REQ'!A33")),"",INDIRECT("'Saturday REQ'!A33"))</f>
        <v/>
      </c>
      <c r="B39" s="30" t="str">
        <f ca="1">IF(ISBLANK(INDIRECT("'Saturday REQ'!B33")),"",INDIRECT("'Saturday REQ'!B33"))</f>
        <v/>
      </c>
      <c r="C39" s="31" t="str">
        <f ca="1">IF(ISBLANK(INDIRECT("'Saturday REQ'!C33")),"",INDIRECT("'Saturday REQ'!C33"))</f>
        <v/>
      </c>
      <c r="D39" s="31" t="str">
        <f ca="1">IF(ISBLANK(INDIRECT("'Saturday REQ'!D33")),"",INDIRECT("'Saturday REQ'!D33"))</f>
        <v/>
      </c>
      <c r="E39" s="160" t="str">
        <f ca="1">IF(ISBLANK(INDIRECT("'Saturday REQ'!E33")),"",INDIRECT("'Saturday REQ'!E33"))</f>
        <v/>
      </c>
      <c r="F39" s="161"/>
      <c r="G39" s="32"/>
      <c r="H39" s="32"/>
      <c r="I39" s="33" t="str">
        <f>IFERROR(IF(VLOOKUP(G39 &amp; "-" &amp; $A$5, 'Vanquish Data'!A:I, 6, FALSE)=0,"",VLOOKUP(G39 &amp; "-" &amp; $A$5, 'Vanquish Data'!A:I, 6, FALSE)),"")</f>
        <v/>
      </c>
      <c r="J39" s="33" t="str">
        <f>IFERROR(IF(VLOOKUP(G39 &amp; "-" &amp; $A$5, 'Vanquish Data'!A:I, 7, FALSE)=0,"",IFERROR(VLOOKUP(G39 &amp; "-" &amp; $A$5, 'Vanquish Data'!A:I, 7, FALSE),"")),"")</f>
        <v/>
      </c>
      <c r="K39" s="33" t="str">
        <f>IFERROR(IF(VLOOKUP(G39 &amp; "-" &amp; $A$5, 'Vanquish Data'!A:I, 8, FALSE)=0,"",IFERROR(VLOOKUP(G39 &amp; "-" &amp; $A$5, 'Vanquish Data'!A:I, 8, FALSE),"")),"")</f>
        <v/>
      </c>
      <c r="L39" s="33" t="str">
        <f>IFERROR(IF(VLOOKUP(G39 &amp; "-" &amp; $A$5, 'Vanquish Data'!A:I, 9, FALSE)=0,"",IFERROR(VLOOKUP(G39 &amp; "-" &amp; $A$5, 'Vanquish Data'!A:I, 9, FALSE),"")),"")</f>
        <v/>
      </c>
      <c r="M39" s="34" t="str">
        <f t="shared" si="11"/>
        <v/>
      </c>
      <c r="N39" s="34" t="str">
        <f t="shared" si="11"/>
        <v/>
      </c>
      <c r="O39" s="34" t="str">
        <f t="shared" si="11"/>
        <v/>
      </c>
      <c r="P39" s="34" t="str">
        <f t="shared" si="11"/>
        <v/>
      </c>
      <c r="Q39" s="214"/>
      <c r="R39" s="215"/>
      <c r="S39" s="35" t="str">
        <f t="shared" si="2"/>
        <v/>
      </c>
      <c r="T39" s="35" t="str">
        <f t="shared" si="3"/>
        <v/>
      </c>
      <c r="U39" s="33" t="str">
        <f t="shared" si="4"/>
        <v/>
      </c>
      <c r="V39" s="35" t="str">
        <f t="shared" si="6"/>
        <v/>
      </c>
      <c r="W39" s="36" t="str">
        <f t="shared" si="7"/>
        <v/>
      </c>
      <c r="X39" s="36" t="str">
        <f>IFERROR(VLOOKUP(Info!$B$3&amp;"-"&amp;H39,'Agency Rates'!A:D,4,FALSE),"")</f>
        <v/>
      </c>
      <c r="Y39" s="48" t="str">
        <f t="shared" si="8"/>
        <v/>
      </c>
      <c r="Z39" s="22" t="b">
        <f t="shared" si="5"/>
        <v>1</v>
      </c>
      <c r="AA39" s="22" t="b">
        <f t="shared" si="5"/>
        <v>1</v>
      </c>
      <c r="AB39" s="22" t="b">
        <f t="shared" si="5"/>
        <v>1</v>
      </c>
      <c r="AC39" s="22" t="b">
        <f t="shared" si="5"/>
        <v>1</v>
      </c>
      <c r="AD39" s="51" t="b">
        <f t="shared" si="9"/>
        <v>1</v>
      </c>
      <c r="AE39" s="51" t="str">
        <f t="shared" si="10"/>
        <v>-44555</v>
      </c>
      <c r="AF39" s="267"/>
      <c r="AG39" s="267"/>
      <c r="AH39" s="267"/>
    </row>
    <row r="40" spans="1:34" x14ac:dyDescent="0.25">
      <c r="A40" s="30" t="str">
        <f ca="1">IF(ISBLANK(INDIRECT("'Saturday REQ'!A34")),"",INDIRECT("'Saturday REQ'!A34"))</f>
        <v/>
      </c>
      <c r="B40" s="30" t="str">
        <f ca="1">IF(ISBLANK(INDIRECT("'Saturday REQ'!B34")),"",INDIRECT("'Saturday REQ'!B34"))</f>
        <v/>
      </c>
      <c r="C40" s="31" t="str">
        <f ca="1">IF(ISBLANK(INDIRECT("'Saturday REQ'!C34")),"",INDIRECT("'Saturday REQ'!C34"))</f>
        <v/>
      </c>
      <c r="D40" s="31" t="str">
        <f ca="1">IF(ISBLANK(INDIRECT("'Saturday REQ'!D34")),"",INDIRECT("'Saturday REQ'!D34"))</f>
        <v/>
      </c>
      <c r="E40" s="160" t="str">
        <f ca="1">IF(ISBLANK(INDIRECT("'Saturday REQ'!E34")),"",INDIRECT("'Saturday REQ'!E34"))</f>
        <v/>
      </c>
      <c r="F40" s="161"/>
      <c r="G40" s="32"/>
      <c r="H40" s="32"/>
      <c r="I40" s="33" t="str">
        <f>IFERROR(IF(VLOOKUP(G40 &amp; "-" &amp; $A$5, 'Vanquish Data'!A:I, 6, FALSE)=0,"",VLOOKUP(G40 &amp; "-" &amp; $A$5, 'Vanquish Data'!A:I, 6, FALSE)),"")</f>
        <v/>
      </c>
      <c r="J40" s="33" t="str">
        <f>IFERROR(IF(VLOOKUP(G40 &amp; "-" &amp; $A$5, 'Vanquish Data'!A:I, 7, FALSE)=0,"",IFERROR(VLOOKUP(G40 &amp; "-" &amp; $A$5, 'Vanquish Data'!A:I, 7, FALSE),"")),"")</f>
        <v/>
      </c>
      <c r="K40" s="33" t="str">
        <f>IFERROR(IF(VLOOKUP(G40 &amp; "-" &amp; $A$5, 'Vanquish Data'!A:I, 8, FALSE)=0,"",IFERROR(VLOOKUP(G40 &amp; "-" &amp; $A$5, 'Vanquish Data'!A:I, 8, FALSE),"")),"")</f>
        <v/>
      </c>
      <c r="L40" s="33" t="str">
        <f>IFERROR(IF(VLOOKUP(G40 &amp; "-" &amp; $A$5, 'Vanquish Data'!A:I, 9, FALSE)=0,"",IFERROR(VLOOKUP(G40 &amp; "-" &amp; $A$5, 'Vanquish Data'!A:I, 9, FALSE),"")),"")</f>
        <v/>
      </c>
      <c r="M40" s="34" t="str">
        <f t="shared" si="11"/>
        <v/>
      </c>
      <c r="N40" s="34" t="str">
        <f t="shared" si="11"/>
        <v/>
      </c>
      <c r="O40" s="34" t="str">
        <f t="shared" si="11"/>
        <v/>
      </c>
      <c r="P40" s="34" t="str">
        <f t="shared" si="11"/>
        <v/>
      </c>
      <c r="Q40" s="214"/>
      <c r="R40" s="215"/>
      <c r="S40" s="35" t="str">
        <f t="shared" si="2"/>
        <v/>
      </c>
      <c r="T40" s="35" t="str">
        <f t="shared" si="3"/>
        <v/>
      </c>
      <c r="U40" s="33" t="str">
        <f t="shared" si="4"/>
        <v/>
      </c>
      <c r="V40" s="35" t="str">
        <f t="shared" si="6"/>
        <v/>
      </c>
      <c r="W40" s="36" t="str">
        <f t="shared" si="7"/>
        <v/>
      </c>
      <c r="X40" s="36" t="str">
        <f>IFERROR(VLOOKUP(Info!$B$3&amp;"-"&amp;H40,'Agency Rates'!A:D,4,FALSE),"")</f>
        <v/>
      </c>
      <c r="Y40" s="48" t="str">
        <f t="shared" si="8"/>
        <v/>
      </c>
      <c r="Z40" s="22" t="b">
        <f t="shared" si="5"/>
        <v>1</v>
      </c>
      <c r="AA40" s="22" t="b">
        <f t="shared" si="5"/>
        <v>1</v>
      </c>
      <c r="AB40" s="22" t="b">
        <f t="shared" si="5"/>
        <v>1</v>
      </c>
      <c r="AC40" s="22" t="b">
        <f t="shared" si="5"/>
        <v>1</v>
      </c>
      <c r="AD40" s="51" t="b">
        <f t="shared" si="9"/>
        <v>1</v>
      </c>
      <c r="AE40" s="51" t="str">
        <f t="shared" si="10"/>
        <v>-44555</v>
      </c>
      <c r="AF40" s="267"/>
      <c r="AG40" s="267"/>
      <c r="AH40" s="267"/>
    </row>
    <row r="41" spans="1:34" x14ac:dyDescent="0.25">
      <c r="A41" s="30" t="str">
        <f ca="1">IF(ISBLANK(INDIRECT("'Saturday REQ'!A35")),"",INDIRECT("'Saturday REQ'!A35"))</f>
        <v/>
      </c>
      <c r="B41" s="30" t="str">
        <f ca="1">IF(ISBLANK(INDIRECT("'Saturday REQ'!B35")),"",INDIRECT("'Saturday REQ'!B35"))</f>
        <v/>
      </c>
      <c r="C41" s="31" t="str">
        <f ca="1">IF(ISBLANK(INDIRECT("'Saturday REQ'!C35")),"",INDIRECT("'Saturday REQ'!C35"))</f>
        <v/>
      </c>
      <c r="D41" s="31" t="str">
        <f ca="1">IF(ISBLANK(INDIRECT("'Saturday REQ'!D35")),"",INDIRECT("'Saturday REQ'!D35"))</f>
        <v/>
      </c>
      <c r="E41" s="160" t="str">
        <f ca="1">IF(ISBLANK(INDIRECT("'Saturday REQ'!E35")),"",INDIRECT("'Saturday REQ'!E35"))</f>
        <v/>
      </c>
      <c r="F41" s="161"/>
      <c r="G41" s="32"/>
      <c r="H41" s="32"/>
      <c r="I41" s="33" t="str">
        <f>IFERROR(IF(VLOOKUP(G41 &amp; "-" &amp; $A$5, 'Vanquish Data'!A:I, 6, FALSE)=0,"",VLOOKUP(G41 &amp; "-" &amp; $A$5, 'Vanquish Data'!A:I, 6, FALSE)),"")</f>
        <v/>
      </c>
      <c r="J41" s="33" t="str">
        <f>IFERROR(IF(VLOOKUP(G41 &amp; "-" &amp; $A$5, 'Vanquish Data'!A:I, 7, FALSE)=0,"",IFERROR(VLOOKUP(G41 &amp; "-" &amp; $A$5, 'Vanquish Data'!A:I, 7, FALSE),"")),"")</f>
        <v/>
      </c>
      <c r="K41" s="33" t="str">
        <f>IFERROR(IF(VLOOKUP(G41 &amp; "-" &amp; $A$5, 'Vanquish Data'!A:I, 8, FALSE)=0,"",IFERROR(VLOOKUP(G41 &amp; "-" &amp; $A$5, 'Vanquish Data'!A:I, 8, FALSE),"")),"")</f>
        <v/>
      </c>
      <c r="L41" s="33" t="str">
        <f>IFERROR(IF(VLOOKUP(G41 &amp; "-" &amp; $A$5, 'Vanquish Data'!A:I, 9, FALSE)=0,"",IFERROR(VLOOKUP(G41 &amp; "-" &amp; $A$5, 'Vanquish Data'!A:I, 9, FALSE),"")),"")</f>
        <v/>
      </c>
      <c r="M41" s="34" t="str">
        <f t="shared" si="11"/>
        <v/>
      </c>
      <c r="N41" s="34" t="str">
        <f t="shared" si="11"/>
        <v/>
      </c>
      <c r="O41" s="34" t="str">
        <f t="shared" si="11"/>
        <v/>
      </c>
      <c r="P41" s="34" t="str">
        <f t="shared" si="11"/>
        <v/>
      </c>
      <c r="Q41" s="214"/>
      <c r="R41" s="215"/>
      <c r="S41" s="35" t="str">
        <f t="shared" si="2"/>
        <v/>
      </c>
      <c r="T41" s="35" t="str">
        <f t="shared" si="3"/>
        <v/>
      </c>
      <c r="U41" s="33" t="str">
        <f t="shared" si="4"/>
        <v/>
      </c>
      <c r="V41" s="35" t="str">
        <f t="shared" si="6"/>
        <v/>
      </c>
      <c r="W41" s="36" t="str">
        <f t="shared" si="7"/>
        <v/>
      </c>
      <c r="X41" s="36" t="str">
        <f>IFERROR(VLOOKUP(Info!$B$3&amp;"-"&amp;H41,'Agency Rates'!A:D,4,FALSE),"")</f>
        <v/>
      </c>
      <c r="Y41" s="48" t="str">
        <f t="shared" si="8"/>
        <v/>
      </c>
      <c r="Z41" s="22" t="b">
        <f t="shared" ref="Z41:AC60" si="12">_xlfn.ISFORMULA(I41)</f>
        <v>1</v>
      </c>
      <c r="AA41" s="22" t="b">
        <f t="shared" si="12"/>
        <v>1</v>
      </c>
      <c r="AB41" s="22" t="b">
        <f t="shared" si="12"/>
        <v>1</v>
      </c>
      <c r="AC41" s="22" t="b">
        <f t="shared" si="12"/>
        <v>1</v>
      </c>
      <c r="AD41" s="51" t="b">
        <f t="shared" si="9"/>
        <v>1</v>
      </c>
      <c r="AE41" s="51" t="str">
        <f t="shared" si="10"/>
        <v>-44555</v>
      </c>
      <c r="AF41" s="267"/>
      <c r="AG41" s="267"/>
      <c r="AH41" s="267"/>
    </row>
    <row r="42" spans="1:34" x14ac:dyDescent="0.25">
      <c r="A42" s="30" t="str">
        <f ca="1">IF(ISBLANK(INDIRECT("'Saturday REQ'!A36")),"",INDIRECT("'Saturday REQ'!A36"))</f>
        <v/>
      </c>
      <c r="B42" s="30" t="str">
        <f ca="1">IF(ISBLANK(INDIRECT("'Saturday REQ'!B36")),"",INDIRECT("'Saturday REQ'!B36"))</f>
        <v/>
      </c>
      <c r="C42" s="31" t="str">
        <f ca="1">IF(ISBLANK(INDIRECT("'Saturday REQ'!C36")),"",INDIRECT("'Saturday REQ'!C36"))</f>
        <v/>
      </c>
      <c r="D42" s="31" t="str">
        <f ca="1">IF(ISBLANK(INDIRECT("'Saturday REQ'!D36")),"",INDIRECT("'Saturday REQ'!D36"))</f>
        <v/>
      </c>
      <c r="E42" s="160" t="str">
        <f ca="1">IF(ISBLANK(INDIRECT("'Saturday REQ'!E36")),"",INDIRECT("'Saturday REQ'!E36"))</f>
        <v/>
      </c>
      <c r="F42" s="161"/>
      <c r="G42" s="32"/>
      <c r="H42" s="32"/>
      <c r="I42" s="33" t="str">
        <f>IFERROR(IF(VLOOKUP(G42 &amp; "-" &amp; $A$5, 'Vanquish Data'!A:I, 6, FALSE)=0,"",VLOOKUP(G42 &amp; "-" &amp; $A$5, 'Vanquish Data'!A:I, 6, FALSE)),"")</f>
        <v/>
      </c>
      <c r="J42" s="33" t="str">
        <f>IFERROR(IF(VLOOKUP(G42 &amp; "-" &amp; $A$5, 'Vanquish Data'!A:I, 7, FALSE)=0,"",IFERROR(VLOOKUP(G42 &amp; "-" &amp; $A$5, 'Vanquish Data'!A:I, 7, FALSE),"")),"")</f>
        <v/>
      </c>
      <c r="K42" s="33" t="str">
        <f>IFERROR(IF(VLOOKUP(G42 &amp; "-" &amp; $A$5, 'Vanquish Data'!A:I, 8, FALSE)=0,"",IFERROR(VLOOKUP(G42 &amp; "-" &amp; $A$5, 'Vanquish Data'!A:I, 8, FALSE),"")),"")</f>
        <v/>
      </c>
      <c r="L42" s="33" t="str">
        <f>IFERROR(IF(VLOOKUP(G42 &amp; "-" &amp; $A$5, 'Vanquish Data'!A:I, 9, FALSE)=0,"",IFERROR(VLOOKUP(G42 &amp; "-" &amp; $A$5, 'Vanquish Data'!A:I, 9, FALSE),"")),"")</f>
        <v/>
      </c>
      <c r="M42" s="34" t="str">
        <f t="shared" si="11"/>
        <v/>
      </c>
      <c r="N42" s="34" t="str">
        <f t="shared" si="11"/>
        <v/>
      </c>
      <c r="O42" s="34" t="str">
        <f t="shared" si="11"/>
        <v/>
      </c>
      <c r="P42" s="34" t="str">
        <f t="shared" si="11"/>
        <v/>
      </c>
      <c r="Q42" s="214"/>
      <c r="R42" s="215"/>
      <c r="S42" s="35" t="str">
        <f t="shared" si="2"/>
        <v/>
      </c>
      <c r="T42" s="35" t="str">
        <f t="shared" si="3"/>
        <v/>
      </c>
      <c r="U42" s="33" t="str">
        <f t="shared" si="4"/>
        <v/>
      </c>
      <c r="V42" s="35" t="str">
        <f t="shared" si="6"/>
        <v/>
      </c>
      <c r="W42" s="36" t="str">
        <f t="shared" si="7"/>
        <v/>
      </c>
      <c r="X42" s="36" t="str">
        <f>IFERROR(VLOOKUP(Info!$B$3&amp;"-"&amp;H42,'Agency Rates'!A:D,4,FALSE),"")</f>
        <v/>
      </c>
      <c r="Y42" s="48" t="str">
        <f t="shared" si="8"/>
        <v/>
      </c>
      <c r="Z42" s="22" t="b">
        <f t="shared" si="12"/>
        <v>1</v>
      </c>
      <c r="AA42" s="22" t="b">
        <f t="shared" si="12"/>
        <v>1</v>
      </c>
      <c r="AB42" s="22" t="b">
        <f t="shared" si="12"/>
        <v>1</v>
      </c>
      <c r="AC42" s="22" t="b">
        <f t="shared" si="12"/>
        <v>1</v>
      </c>
      <c r="AD42" s="51" t="b">
        <f t="shared" si="9"/>
        <v>1</v>
      </c>
      <c r="AE42" s="51" t="str">
        <f t="shared" si="10"/>
        <v>-44555</v>
      </c>
      <c r="AF42" s="267"/>
      <c r="AG42" s="267"/>
      <c r="AH42" s="267"/>
    </row>
    <row r="43" spans="1:34" x14ac:dyDescent="0.25">
      <c r="A43" s="30" t="str">
        <f ca="1">IF(ISBLANK(INDIRECT("'Saturday REQ'!A37")),"",INDIRECT("'Saturday REQ'!A37"))</f>
        <v/>
      </c>
      <c r="B43" s="30" t="str">
        <f ca="1">IF(ISBLANK(INDIRECT("'Saturday REQ'!B37")),"",INDIRECT("'Saturday REQ'!B37"))</f>
        <v/>
      </c>
      <c r="C43" s="31" t="str">
        <f ca="1">IF(ISBLANK(INDIRECT("'Saturday REQ'!C37")),"",INDIRECT("'Saturday REQ'!C37"))</f>
        <v/>
      </c>
      <c r="D43" s="31" t="str">
        <f ca="1">IF(ISBLANK(INDIRECT("'Saturday REQ'!D37")),"",INDIRECT("'Saturday REQ'!D37"))</f>
        <v/>
      </c>
      <c r="E43" s="160" t="str">
        <f ca="1">IF(ISBLANK(INDIRECT("'Saturday REQ'!E37")),"",INDIRECT("'Saturday REQ'!E37"))</f>
        <v/>
      </c>
      <c r="F43" s="161"/>
      <c r="G43" s="32"/>
      <c r="H43" s="32"/>
      <c r="I43" s="33" t="str">
        <f>IFERROR(IF(VLOOKUP(G43 &amp; "-" &amp; $A$5, 'Vanquish Data'!A:I, 6, FALSE)=0,"",VLOOKUP(G43 &amp; "-" &amp; $A$5, 'Vanquish Data'!A:I, 6, FALSE)),"")</f>
        <v/>
      </c>
      <c r="J43" s="33" t="str">
        <f>IFERROR(IF(VLOOKUP(G43 &amp; "-" &amp; $A$5, 'Vanquish Data'!A:I, 7, FALSE)=0,"",IFERROR(VLOOKUP(G43 &amp; "-" &amp; $A$5, 'Vanquish Data'!A:I, 7, FALSE),"")),"")</f>
        <v/>
      </c>
      <c r="K43" s="33" t="str">
        <f>IFERROR(IF(VLOOKUP(G43 &amp; "-" &amp; $A$5, 'Vanquish Data'!A:I, 8, FALSE)=0,"",IFERROR(VLOOKUP(G43 &amp; "-" &amp; $A$5, 'Vanquish Data'!A:I, 8, FALSE),"")),"")</f>
        <v/>
      </c>
      <c r="L43" s="33" t="str">
        <f>IFERROR(IF(VLOOKUP(G43 &amp; "-" &amp; $A$5, 'Vanquish Data'!A:I, 9, FALSE)=0,"",IFERROR(VLOOKUP(G43 &amp; "-" &amp; $A$5, 'Vanquish Data'!A:I, 9, FALSE),"")),"")</f>
        <v/>
      </c>
      <c r="M43" s="34" t="str">
        <f t="shared" si="11"/>
        <v/>
      </c>
      <c r="N43" s="34" t="str">
        <f t="shared" si="11"/>
        <v/>
      </c>
      <c r="O43" s="34" t="str">
        <f t="shared" si="11"/>
        <v/>
      </c>
      <c r="P43" s="34" t="str">
        <f t="shared" si="11"/>
        <v/>
      </c>
      <c r="Q43" s="214"/>
      <c r="R43" s="215"/>
      <c r="S43" s="35" t="str">
        <f t="shared" si="2"/>
        <v/>
      </c>
      <c r="T43" s="35" t="str">
        <f t="shared" si="3"/>
        <v/>
      </c>
      <c r="U43" s="33" t="str">
        <f t="shared" si="4"/>
        <v/>
      </c>
      <c r="V43" s="35" t="str">
        <f t="shared" si="6"/>
        <v/>
      </c>
      <c r="W43" s="36" t="str">
        <f t="shared" si="7"/>
        <v/>
      </c>
      <c r="X43" s="36" t="str">
        <f>IFERROR(VLOOKUP(Info!$B$3&amp;"-"&amp;H43,'Agency Rates'!A:D,4,FALSE),"")</f>
        <v/>
      </c>
      <c r="Y43" s="48" t="str">
        <f t="shared" si="8"/>
        <v/>
      </c>
      <c r="Z43" s="22" t="b">
        <f t="shared" si="12"/>
        <v>1</v>
      </c>
      <c r="AA43" s="22" t="b">
        <f t="shared" si="12"/>
        <v>1</v>
      </c>
      <c r="AB43" s="22" t="b">
        <f t="shared" si="12"/>
        <v>1</v>
      </c>
      <c r="AC43" s="22" t="b">
        <f t="shared" si="12"/>
        <v>1</v>
      </c>
      <c r="AD43" s="51" t="b">
        <f t="shared" si="9"/>
        <v>1</v>
      </c>
      <c r="AE43" s="51" t="str">
        <f t="shared" si="10"/>
        <v>-44555</v>
      </c>
      <c r="AF43" s="267"/>
      <c r="AG43" s="267"/>
      <c r="AH43" s="267"/>
    </row>
    <row r="44" spans="1:34" x14ac:dyDescent="0.25">
      <c r="A44" s="30" t="str">
        <f ca="1">IF(ISBLANK(INDIRECT("'Saturday REQ'!A38")),"",INDIRECT("'Saturday REQ'!A38"))</f>
        <v/>
      </c>
      <c r="B44" s="30" t="str">
        <f ca="1">IF(ISBLANK(INDIRECT("'Saturday REQ'!B38")),"",INDIRECT("'Saturday REQ'!B38"))</f>
        <v/>
      </c>
      <c r="C44" s="31" t="str">
        <f ca="1">IF(ISBLANK(INDIRECT("'Saturday REQ'!C38")),"",INDIRECT("'Saturday REQ'!C38"))</f>
        <v/>
      </c>
      <c r="D44" s="31" t="str">
        <f ca="1">IF(ISBLANK(INDIRECT("'Saturday REQ'!D38")),"",INDIRECT("'Saturday REQ'!D38"))</f>
        <v/>
      </c>
      <c r="E44" s="160" t="str">
        <f ca="1">IF(ISBLANK(INDIRECT("'Saturday REQ'!E38")),"",INDIRECT("'Saturday REQ'!E38"))</f>
        <v/>
      </c>
      <c r="F44" s="161"/>
      <c r="G44" s="32"/>
      <c r="H44" s="32"/>
      <c r="I44" s="33" t="str">
        <f>IFERROR(IF(VLOOKUP(G44 &amp; "-" &amp; $A$5, 'Vanquish Data'!A:I, 6, FALSE)=0,"",VLOOKUP(G44 &amp; "-" &amp; $A$5, 'Vanquish Data'!A:I, 6, FALSE)),"")</f>
        <v/>
      </c>
      <c r="J44" s="33" t="str">
        <f>IFERROR(IF(VLOOKUP(G44 &amp; "-" &amp; $A$5, 'Vanquish Data'!A:I, 7, FALSE)=0,"",IFERROR(VLOOKUP(G44 &amp; "-" &amp; $A$5, 'Vanquish Data'!A:I, 7, FALSE),"")),"")</f>
        <v/>
      </c>
      <c r="K44" s="33" t="str">
        <f>IFERROR(IF(VLOOKUP(G44 &amp; "-" &amp; $A$5, 'Vanquish Data'!A:I, 8, FALSE)=0,"",IFERROR(VLOOKUP(G44 &amp; "-" &amp; $A$5, 'Vanquish Data'!A:I, 8, FALSE),"")),"")</f>
        <v/>
      </c>
      <c r="L44" s="33" t="str">
        <f>IFERROR(IF(VLOOKUP(G44 &amp; "-" &amp; $A$5, 'Vanquish Data'!A:I, 9, FALSE)=0,"",IFERROR(VLOOKUP(G44 &amp; "-" &amp; $A$5, 'Vanquish Data'!A:I, 9, FALSE),"")),"")</f>
        <v/>
      </c>
      <c r="M44" s="34" t="str">
        <f t="shared" si="11"/>
        <v/>
      </c>
      <c r="N44" s="34" t="str">
        <f t="shared" si="11"/>
        <v/>
      </c>
      <c r="O44" s="34" t="str">
        <f t="shared" si="11"/>
        <v/>
      </c>
      <c r="P44" s="34" t="str">
        <f t="shared" si="11"/>
        <v/>
      </c>
      <c r="Q44" s="214"/>
      <c r="R44" s="215"/>
      <c r="S44" s="35" t="str">
        <f t="shared" si="2"/>
        <v/>
      </c>
      <c r="T44" s="35" t="str">
        <f t="shared" si="3"/>
        <v/>
      </c>
      <c r="U44" s="33" t="str">
        <f t="shared" si="4"/>
        <v/>
      </c>
      <c r="V44" s="35" t="str">
        <f t="shared" si="6"/>
        <v/>
      </c>
      <c r="W44" s="36" t="str">
        <f t="shared" si="7"/>
        <v/>
      </c>
      <c r="X44" s="36" t="str">
        <f>IFERROR(VLOOKUP(Info!$B$3&amp;"-"&amp;H44,'Agency Rates'!A:D,4,FALSE),"")</f>
        <v/>
      </c>
      <c r="Y44" s="48" t="str">
        <f t="shared" si="8"/>
        <v/>
      </c>
      <c r="Z44" s="22" t="b">
        <f t="shared" si="12"/>
        <v>1</v>
      </c>
      <c r="AA44" s="22" t="b">
        <f t="shared" si="12"/>
        <v>1</v>
      </c>
      <c r="AB44" s="22" t="b">
        <f t="shared" si="12"/>
        <v>1</v>
      </c>
      <c r="AC44" s="22" t="b">
        <f t="shared" si="12"/>
        <v>1</v>
      </c>
      <c r="AD44" s="51" t="b">
        <f t="shared" si="9"/>
        <v>1</v>
      </c>
      <c r="AE44" s="51" t="str">
        <f t="shared" si="10"/>
        <v>-44555</v>
      </c>
      <c r="AF44" s="267"/>
      <c r="AG44" s="267"/>
      <c r="AH44" s="267"/>
    </row>
    <row r="45" spans="1:34" x14ac:dyDescent="0.25">
      <c r="A45" s="30" t="str">
        <f ca="1">IF(ISBLANK(INDIRECT("'Saturday REQ'!A39")),"",INDIRECT("'Saturday REQ'!A39"))</f>
        <v/>
      </c>
      <c r="B45" s="30" t="str">
        <f ca="1">IF(ISBLANK(INDIRECT("'Saturday REQ'!B39")),"",INDIRECT("'Saturday REQ'!B39"))</f>
        <v/>
      </c>
      <c r="C45" s="31" t="str">
        <f ca="1">IF(ISBLANK(INDIRECT("'Saturday REQ'!C39")),"",INDIRECT("'Saturday REQ'!C39"))</f>
        <v/>
      </c>
      <c r="D45" s="31" t="str">
        <f ca="1">IF(ISBLANK(INDIRECT("'Saturday REQ'!D39")),"",INDIRECT("'Saturday REQ'!D39"))</f>
        <v/>
      </c>
      <c r="E45" s="160" t="str">
        <f ca="1">IF(ISBLANK(INDIRECT("'Saturday REQ'!E39")),"",INDIRECT("'Saturday REQ'!E39"))</f>
        <v/>
      </c>
      <c r="F45" s="161"/>
      <c r="G45" s="32"/>
      <c r="H45" s="32"/>
      <c r="I45" s="33" t="str">
        <f>IFERROR(IF(VLOOKUP(G45 &amp; "-" &amp; $A$5, 'Vanquish Data'!A:I, 6, FALSE)=0,"",VLOOKUP(G45 &amp; "-" &amp; $A$5, 'Vanquish Data'!A:I, 6, FALSE)),"")</f>
        <v/>
      </c>
      <c r="J45" s="33" t="str">
        <f>IFERROR(IF(VLOOKUP(G45 &amp; "-" &amp; $A$5, 'Vanquish Data'!A:I, 7, FALSE)=0,"",IFERROR(VLOOKUP(G45 &amp; "-" &amp; $A$5, 'Vanquish Data'!A:I, 7, FALSE),"")),"")</f>
        <v/>
      </c>
      <c r="K45" s="33" t="str">
        <f>IFERROR(IF(VLOOKUP(G45 &amp; "-" &amp; $A$5, 'Vanquish Data'!A:I, 8, FALSE)=0,"",IFERROR(VLOOKUP(G45 &amp; "-" &amp; $A$5, 'Vanquish Data'!A:I, 8, FALSE),"")),"")</f>
        <v/>
      </c>
      <c r="L45" s="33" t="str">
        <f>IFERROR(IF(VLOOKUP(G45 &amp; "-" &amp; $A$5, 'Vanquish Data'!A:I, 9, FALSE)=0,"",IFERROR(VLOOKUP(G45 &amp; "-" &amp; $A$5, 'Vanquish Data'!A:I, 9, FALSE),"")),"")</f>
        <v/>
      </c>
      <c r="M45" s="34" t="str">
        <f t="shared" si="11"/>
        <v/>
      </c>
      <c r="N45" s="34" t="str">
        <f t="shared" si="11"/>
        <v/>
      </c>
      <c r="O45" s="34" t="str">
        <f t="shared" si="11"/>
        <v/>
      </c>
      <c r="P45" s="34" t="str">
        <f t="shared" si="11"/>
        <v/>
      </c>
      <c r="Q45" s="214"/>
      <c r="R45" s="215"/>
      <c r="S45" s="35" t="str">
        <f t="shared" si="2"/>
        <v/>
      </c>
      <c r="T45" s="35" t="str">
        <f t="shared" si="3"/>
        <v/>
      </c>
      <c r="U45" s="33" t="str">
        <f t="shared" si="4"/>
        <v/>
      </c>
      <c r="V45" s="35" t="str">
        <f t="shared" si="6"/>
        <v/>
      </c>
      <c r="W45" s="36" t="str">
        <f t="shared" si="7"/>
        <v/>
      </c>
      <c r="X45" s="36" t="str">
        <f>IFERROR(VLOOKUP(Info!$B$3&amp;"-"&amp;H45,'Agency Rates'!A:D,4,FALSE),"")</f>
        <v/>
      </c>
      <c r="Y45" s="48" t="str">
        <f t="shared" si="8"/>
        <v/>
      </c>
      <c r="Z45" s="22" t="b">
        <f t="shared" si="12"/>
        <v>1</v>
      </c>
      <c r="AA45" s="22" t="b">
        <f t="shared" si="12"/>
        <v>1</v>
      </c>
      <c r="AB45" s="22" t="b">
        <f t="shared" si="12"/>
        <v>1</v>
      </c>
      <c r="AC45" s="22" t="b">
        <f t="shared" si="12"/>
        <v>1</v>
      </c>
      <c r="AD45" s="51" t="b">
        <f t="shared" si="9"/>
        <v>1</v>
      </c>
      <c r="AE45" s="51" t="str">
        <f t="shared" si="10"/>
        <v>-44555</v>
      </c>
      <c r="AF45" s="267"/>
      <c r="AG45" s="267"/>
      <c r="AH45" s="267"/>
    </row>
    <row r="46" spans="1:34" x14ac:dyDescent="0.25">
      <c r="A46" s="30" t="str">
        <f ca="1">IF(ISBLANK(INDIRECT("'Saturday REQ'!A40")),"",INDIRECT("'Saturday REQ'!A40"))</f>
        <v/>
      </c>
      <c r="B46" s="30" t="str">
        <f ca="1">IF(ISBLANK(INDIRECT("'Saturday REQ'!B40")),"",INDIRECT("'Saturday REQ'!B40"))</f>
        <v/>
      </c>
      <c r="C46" s="31" t="str">
        <f ca="1">IF(ISBLANK(INDIRECT("'Saturday REQ'!C40")),"",INDIRECT("'Saturday REQ'!C40"))</f>
        <v/>
      </c>
      <c r="D46" s="31" t="str">
        <f ca="1">IF(ISBLANK(INDIRECT("'Saturday REQ'!D40")),"",INDIRECT("'Saturday REQ'!D40"))</f>
        <v/>
      </c>
      <c r="E46" s="160" t="str">
        <f ca="1">IF(ISBLANK(INDIRECT("'Saturday REQ'!E40")),"",INDIRECT("'Saturday REQ'!E40"))</f>
        <v/>
      </c>
      <c r="F46" s="161"/>
      <c r="G46" s="32"/>
      <c r="H46" s="32"/>
      <c r="I46" s="33" t="str">
        <f>IFERROR(IF(VLOOKUP(G46 &amp; "-" &amp; $A$5, 'Vanquish Data'!A:I, 6, FALSE)=0,"",VLOOKUP(G46 &amp; "-" &amp; $A$5, 'Vanquish Data'!A:I, 6, FALSE)),"")</f>
        <v/>
      </c>
      <c r="J46" s="33" t="str">
        <f>IFERROR(IF(VLOOKUP(G46 &amp; "-" &amp; $A$5, 'Vanquish Data'!A:I, 7, FALSE)=0,"",IFERROR(VLOOKUP(G46 &amp; "-" &amp; $A$5, 'Vanquish Data'!A:I, 7, FALSE),"")),"")</f>
        <v/>
      </c>
      <c r="K46" s="33" t="str">
        <f>IFERROR(IF(VLOOKUP(G46 &amp; "-" &amp; $A$5, 'Vanquish Data'!A:I, 8, FALSE)=0,"",IFERROR(VLOOKUP(G46 &amp; "-" &amp; $A$5, 'Vanquish Data'!A:I, 8, FALSE),"")),"")</f>
        <v/>
      </c>
      <c r="L46" s="33" t="str">
        <f>IFERROR(IF(VLOOKUP(G46 &amp; "-" &amp; $A$5, 'Vanquish Data'!A:I, 9, FALSE)=0,"",IFERROR(VLOOKUP(G46 &amp; "-" &amp; $A$5, 'Vanquish Data'!A:I, 9, FALSE),"")),"")</f>
        <v/>
      </c>
      <c r="M46" s="34" t="str">
        <f t="shared" si="11"/>
        <v/>
      </c>
      <c r="N46" s="34" t="str">
        <f t="shared" si="11"/>
        <v/>
      </c>
      <c r="O46" s="34" t="str">
        <f t="shared" si="11"/>
        <v/>
      </c>
      <c r="P46" s="34" t="str">
        <f t="shared" si="11"/>
        <v/>
      </c>
      <c r="Q46" s="214"/>
      <c r="R46" s="215"/>
      <c r="S46" s="35" t="str">
        <f t="shared" si="2"/>
        <v/>
      </c>
      <c r="T46" s="35" t="str">
        <f t="shared" si="3"/>
        <v/>
      </c>
      <c r="U46" s="33" t="str">
        <f t="shared" si="4"/>
        <v/>
      </c>
      <c r="V46" s="35" t="str">
        <f t="shared" si="6"/>
        <v/>
      </c>
      <c r="W46" s="36" t="str">
        <f t="shared" si="7"/>
        <v/>
      </c>
      <c r="X46" s="36" t="str">
        <f>IFERROR(VLOOKUP(Info!$B$3&amp;"-"&amp;H46,'Agency Rates'!A:D,4,FALSE),"")</f>
        <v/>
      </c>
      <c r="Y46" s="48" t="str">
        <f t="shared" si="8"/>
        <v/>
      </c>
      <c r="Z46" s="22" t="b">
        <f t="shared" si="12"/>
        <v>1</v>
      </c>
      <c r="AA46" s="22" t="b">
        <f t="shared" si="12"/>
        <v>1</v>
      </c>
      <c r="AB46" s="22" t="b">
        <f t="shared" si="12"/>
        <v>1</v>
      </c>
      <c r="AC46" s="22" t="b">
        <f t="shared" si="12"/>
        <v>1</v>
      </c>
      <c r="AD46" s="51" t="b">
        <f t="shared" si="9"/>
        <v>1</v>
      </c>
      <c r="AE46" s="51" t="str">
        <f t="shared" si="10"/>
        <v>-44555</v>
      </c>
      <c r="AF46" s="267"/>
      <c r="AG46" s="267"/>
      <c r="AH46" s="267"/>
    </row>
    <row r="47" spans="1:34" x14ac:dyDescent="0.25">
      <c r="A47" s="30" t="str">
        <f ca="1">IF(ISBLANK(INDIRECT("'Saturday REQ'!A41")),"",INDIRECT("'Saturday REQ'!A41"))</f>
        <v/>
      </c>
      <c r="B47" s="30" t="str">
        <f ca="1">IF(ISBLANK(INDIRECT("'Saturday REQ'!B41")),"",INDIRECT("'Saturday REQ'!B41"))</f>
        <v/>
      </c>
      <c r="C47" s="31" t="str">
        <f ca="1">IF(ISBLANK(INDIRECT("'Saturday REQ'!C41")),"",INDIRECT("'Saturday REQ'!C41"))</f>
        <v/>
      </c>
      <c r="D47" s="31" t="str">
        <f ca="1">IF(ISBLANK(INDIRECT("'Saturday REQ'!D41")),"",INDIRECT("'Saturday REQ'!D41"))</f>
        <v/>
      </c>
      <c r="E47" s="160" t="str">
        <f ca="1">IF(ISBLANK(INDIRECT("'Saturday REQ'!E41")),"",INDIRECT("'Saturday REQ'!E41"))</f>
        <v/>
      </c>
      <c r="F47" s="161"/>
      <c r="G47" s="32"/>
      <c r="H47" s="32"/>
      <c r="I47" s="33" t="str">
        <f>IFERROR(IF(VLOOKUP(G47 &amp; "-" &amp; $A$5, 'Vanquish Data'!A:I, 6, FALSE)=0,"",VLOOKUP(G47 &amp; "-" &amp; $A$5, 'Vanquish Data'!A:I, 6, FALSE)),"")</f>
        <v/>
      </c>
      <c r="J47" s="33" t="str">
        <f>IFERROR(IF(VLOOKUP(G47 &amp; "-" &amp; $A$5, 'Vanquish Data'!A:I, 7, FALSE)=0,"",IFERROR(VLOOKUP(G47 &amp; "-" &amp; $A$5, 'Vanquish Data'!A:I, 7, FALSE),"")),"")</f>
        <v/>
      </c>
      <c r="K47" s="33" t="str">
        <f>IFERROR(IF(VLOOKUP(G47 &amp; "-" &amp; $A$5, 'Vanquish Data'!A:I, 8, FALSE)=0,"",IFERROR(VLOOKUP(G47 &amp; "-" &amp; $A$5, 'Vanquish Data'!A:I, 8, FALSE),"")),"")</f>
        <v/>
      </c>
      <c r="L47" s="33" t="str">
        <f>IFERROR(IF(VLOOKUP(G47 &amp; "-" &amp; $A$5, 'Vanquish Data'!A:I, 9, FALSE)=0,"",IFERROR(VLOOKUP(G47 &amp; "-" &amp; $A$5, 'Vanquish Data'!A:I, 9, FALSE),"")),"")</f>
        <v/>
      </c>
      <c r="M47" s="34" t="str">
        <f t="shared" si="11"/>
        <v/>
      </c>
      <c r="N47" s="34" t="str">
        <f t="shared" si="11"/>
        <v/>
      </c>
      <c r="O47" s="34" t="str">
        <f t="shared" si="11"/>
        <v/>
      </c>
      <c r="P47" s="34" t="str">
        <f t="shared" si="11"/>
        <v/>
      </c>
      <c r="Q47" s="214"/>
      <c r="R47" s="215"/>
      <c r="S47" s="35" t="str">
        <f t="shared" si="2"/>
        <v/>
      </c>
      <c r="T47" s="35" t="str">
        <f t="shared" si="3"/>
        <v/>
      </c>
      <c r="U47" s="33" t="str">
        <f t="shared" si="4"/>
        <v/>
      </c>
      <c r="V47" s="35" t="str">
        <f t="shared" si="6"/>
        <v/>
      </c>
      <c r="W47" s="36" t="str">
        <f t="shared" si="7"/>
        <v/>
      </c>
      <c r="X47" s="36" t="str">
        <f>IFERROR(VLOOKUP(Info!$B$3&amp;"-"&amp;H47,'Agency Rates'!A:D,4,FALSE),"")</f>
        <v/>
      </c>
      <c r="Y47" s="48" t="str">
        <f t="shared" si="8"/>
        <v/>
      </c>
      <c r="Z47" s="22" t="b">
        <f t="shared" si="12"/>
        <v>1</v>
      </c>
      <c r="AA47" s="22" t="b">
        <f t="shared" si="12"/>
        <v>1</v>
      </c>
      <c r="AB47" s="22" t="b">
        <f t="shared" si="12"/>
        <v>1</v>
      </c>
      <c r="AC47" s="22" t="b">
        <f t="shared" si="12"/>
        <v>1</v>
      </c>
      <c r="AD47" s="51" t="b">
        <f t="shared" si="9"/>
        <v>1</v>
      </c>
      <c r="AE47" s="51" t="str">
        <f t="shared" si="10"/>
        <v>-44555</v>
      </c>
      <c r="AF47" s="267"/>
      <c r="AG47" s="267"/>
      <c r="AH47" s="267"/>
    </row>
    <row r="48" spans="1:34" x14ac:dyDescent="0.25">
      <c r="A48" s="30" t="str">
        <f ca="1">IF(ISBLANK(INDIRECT("'Saturday REQ'!A42")),"",INDIRECT("'Saturday REQ'!A42"))</f>
        <v/>
      </c>
      <c r="B48" s="30" t="str">
        <f ca="1">IF(ISBLANK(INDIRECT("'Saturday REQ'!B42")),"",INDIRECT("'Saturday REQ'!B42"))</f>
        <v/>
      </c>
      <c r="C48" s="31" t="str">
        <f ca="1">IF(ISBLANK(INDIRECT("'Saturday REQ'!C42")),"",INDIRECT("'Saturday REQ'!C42"))</f>
        <v/>
      </c>
      <c r="D48" s="31" t="str">
        <f ca="1">IF(ISBLANK(INDIRECT("'Saturday REQ'!D42")),"",INDIRECT("'Saturday REQ'!D42"))</f>
        <v/>
      </c>
      <c r="E48" s="160" t="str">
        <f ca="1">IF(ISBLANK(INDIRECT("'Saturday REQ'!E42")),"",INDIRECT("'Saturday REQ'!E42"))</f>
        <v/>
      </c>
      <c r="F48" s="161"/>
      <c r="G48" s="32"/>
      <c r="H48" s="32"/>
      <c r="I48" s="33" t="str">
        <f>IFERROR(IF(VLOOKUP(G48 &amp; "-" &amp; $A$5, 'Vanquish Data'!A:I, 6, FALSE)=0,"",VLOOKUP(G48 &amp; "-" &amp; $A$5, 'Vanquish Data'!A:I, 6, FALSE)),"")</f>
        <v/>
      </c>
      <c r="J48" s="33" t="str">
        <f>IFERROR(IF(VLOOKUP(G48 &amp; "-" &amp; $A$5, 'Vanquish Data'!A:I, 7, FALSE)=0,"",IFERROR(VLOOKUP(G48 &amp; "-" &amp; $A$5, 'Vanquish Data'!A:I, 7, FALSE),"")),"")</f>
        <v/>
      </c>
      <c r="K48" s="33" t="str">
        <f>IFERROR(IF(VLOOKUP(G48 &amp; "-" &amp; $A$5, 'Vanquish Data'!A:I, 8, FALSE)=0,"",IFERROR(VLOOKUP(G48 &amp; "-" &amp; $A$5, 'Vanquish Data'!A:I, 8, FALSE),"")),"")</f>
        <v/>
      </c>
      <c r="L48" s="33" t="str">
        <f>IFERROR(IF(VLOOKUP(G48 &amp; "-" &amp; $A$5, 'Vanquish Data'!A:I, 9, FALSE)=0,"",IFERROR(VLOOKUP(G48 &amp; "-" &amp; $A$5, 'Vanquish Data'!A:I, 9, FALSE),"")),"")</f>
        <v/>
      </c>
      <c r="M48" s="34" t="str">
        <f t="shared" si="11"/>
        <v/>
      </c>
      <c r="N48" s="34" t="str">
        <f t="shared" si="11"/>
        <v/>
      </c>
      <c r="O48" s="34" t="str">
        <f t="shared" si="11"/>
        <v/>
      </c>
      <c r="P48" s="34" t="str">
        <f t="shared" si="11"/>
        <v/>
      </c>
      <c r="Q48" s="214"/>
      <c r="R48" s="215"/>
      <c r="S48" s="35" t="str">
        <f t="shared" si="2"/>
        <v/>
      </c>
      <c r="T48" s="35" t="str">
        <f t="shared" si="3"/>
        <v/>
      </c>
      <c r="U48" s="33" t="str">
        <f t="shared" si="4"/>
        <v/>
      </c>
      <c r="V48" s="35" t="str">
        <f t="shared" si="6"/>
        <v/>
      </c>
      <c r="W48" s="36" t="str">
        <f t="shared" si="7"/>
        <v/>
      </c>
      <c r="X48" s="36" t="str">
        <f>IFERROR(VLOOKUP(Info!$B$3&amp;"-"&amp;H48,'Agency Rates'!A:D,4,FALSE),"")</f>
        <v/>
      </c>
      <c r="Y48" s="48" t="str">
        <f t="shared" si="8"/>
        <v/>
      </c>
      <c r="Z48" s="22" t="b">
        <f t="shared" si="12"/>
        <v>1</v>
      </c>
      <c r="AA48" s="22" t="b">
        <f t="shared" si="12"/>
        <v>1</v>
      </c>
      <c r="AB48" s="22" t="b">
        <f t="shared" si="12"/>
        <v>1</v>
      </c>
      <c r="AC48" s="22" t="b">
        <f t="shared" si="12"/>
        <v>1</v>
      </c>
      <c r="AD48" s="51" t="b">
        <f t="shared" si="9"/>
        <v>1</v>
      </c>
      <c r="AE48" s="51" t="str">
        <f t="shared" si="10"/>
        <v>-44555</v>
      </c>
      <c r="AF48" s="267"/>
      <c r="AG48" s="267"/>
      <c r="AH48" s="267"/>
    </row>
    <row r="49" spans="1:34" x14ac:dyDescent="0.25">
      <c r="A49" s="30" t="str">
        <f ca="1">IF(ISBLANK(INDIRECT("'Saturday REQ'!A43")),"",INDIRECT("'Saturday REQ'!A43"))</f>
        <v/>
      </c>
      <c r="B49" s="30" t="str">
        <f ca="1">IF(ISBLANK(INDIRECT("'Saturday REQ'!B43")),"",INDIRECT("'Saturday REQ'!B43"))</f>
        <v/>
      </c>
      <c r="C49" s="31" t="str">
        <f ca="1">IF(ISBLANK(INDIRECT("'Saturday REQ'!C43")),"",INDIRECT("'Saturday REQ'!C43"))</f>
        <v/>
      </c>
      <c r="D49" s="31" t="str">
        <f ca="1">IF(ISBLANK(INDIRECT("'Saturday REQ'!D43")),"",INDIRECT("'Saturday REQ'!D43"))</f>
        <v/>
      </c>
      <c r="E49" s="160" t="str">
        <f ca="1">IF(ISBLANK(INDIRECT("'Saturday REQ'!E43")),"",INDIRECT("'Saturday REQ'!E43"))</f>
        <v/>
      </c>
      <c r="F49" s="161"/>
      <c r="G49" s="32"/>
      <c r="H49" s="32"/>
      <c r="I49" s="33" t="str">
        <f>IFERROR(IF(VLOOKUP(G49 &amp; "-" &amp; $A$5, 'Vanquish Data'!A:I, 6, FALSE)=0,"",VLOOKUP(G49 &amp; "-" &amp; $A$5, 'Vanquish Data'!A:I, 6, FALSE)),"")</f>
        <v/>
      </c>
      <c r="J49" s="33" t="str">
        <f>IFERROR(IF(VLOOKUP(G49 &amp; "-" &amp; $A$5, 'Vanquish Data'!A:I, 7, FALSE)=0,"",IFERROR(VLOOKUP(G49 &amp; "-" &amp; $A$5, 'Vanquish Data'!A:I, 7, FALSE),"")),"")</f>
        <v/>
      </c>
      <c r="K49" s="33" t="str">
        <f>IFERROR(IF(VLOOKUP(G49 &amp; "-" &amp; $A$5, 'Vanquish Data'!A:I, 8, FALSE)=0,"",IFERROR(VLOOKUP(G49 &amp; "-" &amp; $A$5, 'Vanquish Data'!A:I, 8, FALSE),"")),"")</f>
        <v/>
      </c>
      <c r="L49" s="33" t="str">
        <f>IFERROR(IF(VLOOKUP(G49 &amp; "-" &amp; $A$5, 'Vanquish Data'!A:I, 9, FALSE)=0,"",IFERROR(VLOOKUP(G49 &amp; "-" &amp; $A$5, 'Vanquish Data'!A:I, 9, FALSE),"")),"")</f>
        <v/>
      </c>
      <c r="M49" s="34" t="str">
        <f t="shared" si="11"/>
        <v/>
      </c>
      <c r="N49" s="34" t="str">
        <f t="shared" si="11"/>
        <v/>
      </c>
      <c r="O49" s="34" t="str">
        <f t="shared" si="11"/>
        <v/>
      </c>
      <c r="P49" s="34" t="str">
        <f t="shared" si="11"/>
        <v/>
      </c>
      <c r="Q49" s="214"/>
      <c r="R49" s="215"/>
      <c r="S49" s="35" t="str">
        <f t="shared" si="2"/>
        <v/>
      </c>
      <c r="T49" s="35" t="str">
        <f t="shared" si="3"/>
        <v/>
      </c>
      <c r="U49" s="33" t="str">
        <f t="shared" si="4"/>
        <v/>
      </c>
      <c r="V49" s="35" t="str">
        <f t="shared" si="6"/>
        <v/>
      </c>
      <c r="W49" s="36" t="str">
        <f t="shared" si="7"/>
        <v/>
      </c>
      <c r="X49" s="36" t="str">
        <f>IFERROR(VLOOKUP(Info!$B$3&amp;"-"&amp;H49,'Agency Rates'!A:D,4,FALSE),"")</f>
        <v/>
      </c>
      <c r="Y49" s="48" t="str">
        <f t="shared" si="8"/>
        <v/>
      </c>
      <c r="Z49" s="22" t="b">
        <f t="shared" si="12"/>
        <v>1</v>
      </c>
      <c r="AA49" s="22" t="b">
        <f t="shared" si="12"/>
        <v>1</v>
      </c>
      <c r="AB49" s="22" t="b">
        <f t="shared" si="12"/>
        <v>1</v>
      </c>
      <c r="AC49" s="22" t="b">
        <f t="shared" si="12"/>
        <v>1</v>
      </c>
      <c r="AD49" s="51" t="b">
        <f t="shared" si="9"/>
        <v>1</v>
      </c>
      <c r="AE49" s="51" t="str">
        <f t="shared" si="10"/>
        <v>-44555</v>
      </c>
      <c r="AF49" s="267"/>
      <c r="AG49" s="267"/>
      <c r="AH49" s="267"/>
    </row>
    <row r="50" spans="1:34" x14ac:dyDescent="0.25">
      <c r="A50" s="30" t="str">
        <f ca="1">IF(ISBLANK(INDIRECT("'Saturday REQ'!A44")),"",INDIRECT("'Saturday REQ'!A44"))</f>
        <v/>
      </c>
      <c r="B50" s="30" t="str">
        <f ca="1">IF(ISBLANK(INDIRECT("'Saturday REQ'!B44")),"",INDIRECT("'Saturday REQ'!B44"))</f>
        <v/>
      </c>
      <c r="C50" s="31" t="str">
        <f ca="1">IF(ISBLANK(INDIRECT("'Saturday REQ'!C44")),"",INDIRECT("'Saturday REQ'!C44"))</f>
        <v/>
      </c>
      <c r="D50" s="31" t="str">
        <f ca="1">IF(ISBLANK(INDIRECT("'Saturday REQ'!D44")),"",INDIRECT("'Saturday REQ'!D44"))</f>
        <v/>
      </c>
      <c r="E50" s="160" t="str">
        <f ca="1">IF(ISBLANK(INDIRECT("'Saturday REQ'!E44")),"",INDIRECT("'Saturday REQ'!E44"))</f>
        <v/>
      </c>
      <c r="F50" s="161"/>
      <c r="G50" s="32"/>
      <c r="H50" s="32"/>
      <c r="I50" s="33" t="str">
        <f>IFERROR(IF(VLOOKUP(G50 &amp; "-" &amp; $A$5, 'Vanquish Data'!A:I, 6, FALSE)=0,"",VLOOKUP(G50 &amp; "-" &amp; $A$5, 'Vanquish Data'!A:I, 6, FALSE)),"")</f>
        <v/>
      </c>
      <c r="J50" s="33" t="str">
        <f>IFERROR(IF(VLOOKUP(G50 &amp; "-" &amp; $A$5, 'Vanquish Data'!A:I, 7, FALSE)=0,"",IFERROR(VLOOKUP(G50 &amp; "-" &amp; $A$5, 'Vanquish Data'!A:I, 7, FALSE),"")),"")</f>
        <v/>
      </c>
      <c r="K50" s="33" t="str">
        <f>IFERROR(IF(VLOOKUP(G50 &amp; "-" &amp; $A$5, 'Vanquish Data'!A:I, 8, FALSE)=0,"",IFERROR(VLOOKUP(G50 &amp; "-" &amp; $A$5, 'Vanquish Data'!A:I, 8, FALSE),"")),"")</f>
        <v/>
      </c>
      <c r="L50" s="33" t="str">
        <f>IFERROR(IF(VLOOKUP(G50 &amp; "-" &amp; $A$5, 'Vanquish Data'!A:I, 9, FALSE)=0,"",IFERROR(VLOOKUP(G50 &amp; "-" &amp; $A$5, 'Vanquish Data'!A:I, 9, FALSE),"")),"")</f>
        <v/>
      </c>
      <c r="M50" s="34" t="str">
        <f t="shared" si="11"/>
        <v/>
      </c>
      <c r="N50" s="34" t="str">
        <f t="shared" si="11"/>
        <v/>
      </c>
      <c r="O50" s="34" t="str">
        <f t="shared" si="11"/>
        <v/>
      </c>
      <c r="P50" s="34" t="str">
        <f t="shared" si="11"/>
        <v/>
      </c>
      <c r="Q50" s="214"/>
      <c r="R50" s="215"/>
      <c r="S50" s="35" t="str">
        <f t="shared" si="2"/>
        <v/>
      </c>
      <c r="T50" s="35" t="str">
        <f t="shared" si="3"/>
        <v/>
      </c>
      <c r="U50" s="33" t="str">
        <f t="shared" si="4"/>
        <v/>
      </c>
      <c r="V50" s="35" t="str">
        <f t="shared" si="6"/>
        <v/>
      </c>
      <c r="W50" s="36" t="str">
        <f t="shared" si="7"/>
        <v/>
      </c>
      <c r="X50" s="36" t="str">
        <f>IFERROR(VLOOKUP(Info!$B$3&amp;"-"&amp;H50,'Agency Rates'!A:D,4,FALSE),"")</f>
        <v/>
      </c>
      <c r="Y50" s="48" t="str">
        <f t="shared" si="8"/>
        <v/>
      </c>
      <c r="Z50" s="22" t="b">
        <f t="shared" si="12"/>
        <v>1</v>
      </c>
      <c r="AA50" s="22" t="b">
        <f t="shared" si="12"/>
        <v>1</v>
      </c>
      <c r="AB50" s="22" t="b">
        <f t="shared" si="12"/>
        <v>1</v>
      </c>
      <c r="AC50" s="22" t="b">
        <f t="shared" si="12"/>
        <v>1</v>
      </c>
      <c r="AD50" s="51" t="b">
        <f t="shared" si="9"/>
        <v>1</v>
      </c>
      <c r="AE50" s="51" t="str">
        <f t="shared" si="10"/>
        <v>-44555</v>
      </c>
      <c r="AF50" s="267"/>
      <c r="AG50" s="267"/>
      <c r="AH50" s="267"/>
    </row>
    <row r="51" spans="1:34" x14ac:dyDescent="0.25">
      <c r="A51" s="30" t="str">
        <f ca="1">IF(ISBLANK(INDIRECT("'Saturday REQ'!A45")),"",INDIRECT("'Saturday REQ'!A45"))</f>
        <v/>
      </c>
      <c r="B51" s="30" t="str">
        <f ca="1">IF(ISBLANK(INDIRECT("'Saturday REQ'!B45")),"",INDIRECT("'Saturday REQ'!B45"))</f>
        <v/>
      </c>
      <c r="C51" s="31" t="str">
        <f ca="1">IF(ISBLANK(INDIRECT("'Saturday REQ'!C45")),"",INDIRECT("'Saturday REQ'!C45"))</f>
        <v/>
      </c>
      <c r="D51" s="31" t="str">
        <f ca="1">IF(ISBLANK(INDIRECT("'Saturday REQ'!D45")),"",INDIRECT("'Saturday REQ'!D45"))</f>
        <v/>
      </c>
      <c r="E51" s="160" t="str">
        <f ca="1">IF(ISBLANK(INDIRECT("'Saturday REQ'!E45")),"",INDIRECT("'Saturday REQ'!E45"))</f>
        <v/>
      </c>
      <c r="F51" s="161"/>
      <c r="G51" s="32"/>
      <c r="H51" s="32"/>
      <c r="I51" s="33" t="str">
        <f>IFERROR(IF(VLOOKUP(G51 &amp; "-" &amp; $A$5, 'Vanquish Data'!A:I, 6, FALSE)=0,"",VLOOKUP(G51 &amp; "-" &amp; $A$5, 'Vanquish Data'!A:I, 6, FALSE)),"")</f>
        <v/>
      </c>
      <c r="J51" s="33" t="str">
        <f>IFERROR(IF(VLOOKUP(G51 &amp; "-" &amp; $A$5, 'Vanquish Data'!A:I, 7, FALSE)=0,"",IFERROR(VLOOKUP(G51 &amp; "-" &amp; $A$5, 'Vanquish Data'!A:I, 7, FALSE),"")),"")</f>
        <v/>
      </c>
      <c r="K51" s="33" t="str">
        <f>IFERROR(IF(VLOOKUP(G51 &amp; "-" &amp; $A$5, 'Vanquish Data'!A:I, 8, FALSE)=0,"",IFERROR(VLOOKUP(G51 &amp; "-" &amp; $A$5, 'Vanquish Data'!A:I, 8, FALSE),"")),"")</f>
        <v/>
      </c>
      <c r="L51" s="33" t="str">
        <f>IFERROR(IF(VLOOKUP(G51 &amp; "-" &amp; $A$5, 'Vanquish Data'!A:I, 9, FALSE)=0,"",IFERROR(VLOOKUP(G51 &amp; "-" &amp; $A$5, 'Vanquish Data'!A:I, 9, FALSE),"")),"")</f>
        <v/>
      </c>
      <c r="M51" s="34" t="str">
        <f t="shared" si="11"/>
        <v/>
      </c>
      <c r="N51" s="34" t="str">
        <f t="shared" si="11"/>
        <v/>
      </c>
      <c r="O51" s="34" t="str">
        <f t="shared" si="11"/>
        <v/>
      </c>
      <c r="P51" s="34" t="str">
        <f t="shared" si="11"/>
        <v/>
      </c>
      <c r="Q51" s="214"/>
      <c r="R51" s="215"/>
      <c r="S51" s="35" t="str">
        <f t="shared" si="2"/>
        <v/>
      </c>
      <c r="T51" s="35" t="str">
        <f t="shared" si="3"/>
        <v/>
      </c>
      <c r="U51" s="33" t="str">
        <f t="shared" si="4"/>
        <v/>
      </c>
      <c r="V51" s="35" t="str">
        <f t="shared" si="6"/>
        <v/>
      </c>
      <c r="W51" s="36" t="str">
        <f t="shared" si="7"/>
        <v/>
      </c>
      <c r="X51" s="36" t="str">
        <f>IFERROR(VLOOKUP(Info!$B$3&amp;"-"&amp;H51,'Agency Rates'!A:D,4,FALSE),"")</f>
        <v/>
      </c>
      <c r="Y51" s="48" t="str">
        <f t="shared" si="8"/>
        <v/>
      </c>
      <c r="Z51" s="22" t="b">
        <f t="shared" si="12"/>
        <v>1</v>
      </c>
      <c r="AA51" s="22" t="b">
        <f t="shared" si="12"/>
        <v>1</v>
      </c>
      <c r="AB51" s="22" t="b">
        <f t="shared" si="12"/>
        <v>1</v>
      </c>
      <c r="AC51" s="22" t="b">
        <f t="shared" si="12"/>
        <v>1</v>
      </c>
      <c r="AD51" s="51" t="b">
        <f t="shared" si="9"/>
        <v>1</v>
      </c>
      <c r="AE51" s="51" t="str">
        <f t="shared" si="10"/>
        <v>-44555</v>
      </c>
      <c r="AF51" s="267"/>
      <c r="AG51" s="267"/>
      <c r="AH51" s="267"/>
    </row>
    <row r="52" spans="1:34" x14ac:dyDescent="0.25">
      <c r="A52" s="30" t="str">
        <f ca="1">IF(ISBLANK(INDIRECT("'Saturday REQ'!A46")),"",INDIRECT("'Saturday REQ'!A46"))</f>
        <v/>
      </c>
      <c r="B52" s="30" t="str">
        <f ca="1">IF(ISBLANK(INDIRECT("'Saturday REQ'!B46")),"",INDIRECT("'Saturday REQ'!B46"))</f>
        <v/>
      </c>
      <c r="C52" s="31" t="str">
        <f ca="1">IF(ISBLANK(INDIRECT("'Saturday REQ'!C46")),"",INDIRECT("'Saturday REQ'!C46"))</f>
        <v/>
      </c>
      <c r="D52" s="31" t="str">
        <f ca="1">IF(ISBLANK(INDIRECT("'Saturday REQ'!D46")),"",INDIRECT("'Saturday REQ'!D46"))</f>
        <v/>
      </c>
      <c r="E52" s="160" t="str">
        <f ca="1">IF(ISBLANK(INDIRECT("'Saturday REQ'!E46")),"",INDIRECT("'Saturday REQ'!E46"))</f>
        <v/>
      </c>
      <c r="F52" s="161"/>
      <c r="G52" s="32"/>
      <c r="H52" s="32"/>
      <c r="I52" s="33" t="str">
        <f>IFERROR(IF(VLOOKUP(G52 &amp; "-" &amp; $A$5, 'Vanquish Data'!A:I, 6, FALSE)=0,"",VLOOKUP(G52 &amp; "-" &amp; $A$5, 'Vanquish Data'!A:I, 6, FALSE)),"")</f>
        <v/>
      </c>
      <c r="J52" s="33" t="str">
        <f>IFERROR(IF(VLOOKUP(G52 &amp; "-" &amp; $A$5, 'Vanquish Data'!A:I, 7, FALSE)=0,"",IFERROR(VLOOKUP(G52 &amp; "-" &amp; $A$5, 'Vanquish Data'!A:I, 7, FALSE),"")),"")</f>
        <v/>
      </c>
      <c r="K52" s="33" t="str">
        <f>IFERROR(IF(VLOOKUP(G52 &amp; "-" &amp; $A$5, 'Vanquish Data'!A:I, 8, FALSE)=0,"",IFERROR(VLOOKUP(G52 &amp; "-" &amp; $A$5, 'Vanquish Data'!A:I, 8, FALSE),"")),"")</f>
        <v/>
      </c>
      <c r="L52" s="33" t="str">
        <f>IFERROR(IF(VLOOKUP(G52 &amp; "-" &amp; $A$5, 'Vanquish Data'!A:I, 9, FALSE)=0,"",IFERROR(VLOOKUP(G52 &amp; "-" &amp; $A$5, 'Vanquish Data'!A:I, 9, FALSE),"")),"")</f>
        <v/>
      </c>
      <c r="M52" s="34" t="str">
        <f t="shared" si="11"/>
        <v/>
      </c>
      <c r="N52" s="34" t="str">
        <f t="shared" si="11"/>
        <v/>
      </c>
      <c r="O52" s="34" t="str">
        <f t="shared" si="11"/>
        <v/>
      </c>
      <c r="P52" s="34" t="str">
        <f t="shared" si="11"/>
        <v/>
      </c>
      <c r="Q52" s="214"/>
      <c r="R52" s="215"/>
      <c r="S52" s="35" t="str">
        <f t="shared" si="2"/>
        <v/>
      </c>
      <c r="T52" s="35" t="str">
        <f t="shared" si="3"/>
        <v/>
      </c>
      <c r="U52" s="33" t="str">
        <f t="shared" si="4"/>
        <v/>
      </c>
      <c r="V52" s="35" t="str">
        <f t="shared" si="6"/>
        <v/>
      </c>
      <c r="W52" s="36" t="str">
        <f t="shared" si="7"/>
        <v/>
      </c>
      <c r="X52" s="36" t="str">
        <f>IFERROR(VLOOKUP(Info!$B$3&amp;"-"&amp;H52,'Agency Rates'!A:D,4,FALSE),"")</f>
        <v/>
      </c>
      <c r="Y52" s="48" t="str">
        <f t="shared" si="8"/>
        <v/>
      </c>
      <c r="Z52" s="22" t="b">
        <f t="shared" si="12"/>
        <v>1</v>
      </c>
      <c r="AA52" s="22" t="b">
        <f t="shared" si="12"/>
        <v>1</v>
      </c>
      <c r="AB52" s="22" t="b">
        <f t="shared" si="12"/>
        <v>1</v>
      </c>
      <c r="AC52" s="22" t="b">
        <f t="shared" si="12"/>
        <v>1</v>
      </c>
      <c r="AD52" s="51" t="b">
        <f t="shared" si="9"/>
        <v>1</v>
      </c>
      <c r="AE52" s="51" t="str">
        <f t="shared" si="10"/>
        <v>-44555</v>
      </c>
      <c r="AF52" s="267"/>
      <c r="AG52" s="267"/>
      <c r="AH52" s="267"/>
    </row>
    <row r="53" spans="1:34" x14ac:dyDescent="0.25">
      <c r="A53" s="30" t="str">
        <f ca="1">IF(ISBLANK(INDIRECT("'Saturday REQ'!A47")),"",INDIRECT("'Saturday REQ'!A47"))</f>
        <v/>
      </c>
      <c r="B53" s="30" t="str">
        <f ca="1">IF(ISBLANK(INDIRECT("'Saturday REQ'!B47")),"",INDIRECT("'Saturday REQ'!B47"))</f>
        <v/>
      </c>
      <c r="C53" s="31" t="str">
        <f ca="1">IF(ISBLANK(INDIRECT("'Saturday REQ'!C47")),"",INDIRECT("'Saturday REQ'!C47"))</f>
        <v/>
      </c>
      <c r="D53" s="31" t="str">
        <f ca="1">IF(ISBLANK(INDIRECT("'Saturday REQ'!D47")),"",INDIRECT("'Saturday REQ'!D47"))</f>
        <v/>
      </c>
      <c r="E53" s="160" t="str">
        <f ca="1">IF(ISBLANK(INDIRECT("'Saturday REQ'!E47")),"",INDIRECT("'Saturday REQ'!E47"))</f>
        <v/>
      </c>
      <c r="F53" s="161"/>
      <c r="G53" s="32"/>
      <c r="H53" s="32"/>
      <c r="I53" s="33" t="str">
        <f>IFERROR(IF(VLOOKUP(G53 &amp; "-" &amp; $A$5, 'Vanquish Data'!A:I, 6, FALSE)=0,"",VLOOKUP(G53 &amp; "-" &amp; $A$5, 'Vanquish Data'!A:I, 6, FALSE)),"")</f>
        <v/>
      </c>
      <c r="J53" s="33" t="str">
        <f>IFERROR(IF(VLOOKUP(G53 &amp; "-" &amp; $A$5, 'Vanquish Data'!A:I, 7, FALSE)=0,"",IFERROR(VLOOKUP(G53 &amp; "-" &amp; $A$5, 'Vanquish Data'!A:I, 7, FALSE),"")),"")</f>
        <v/>
      </c>
      <c r="K53" s="33" t="str">
        <f>IFERROR(IF(VLOOKUP(G53 &amp; "-" &amp; $A$5, 'Vanquish Data'!A:I, 8, FALSE)=0,"",IFERROR(VLOOKUP(G53 &amp; "-" &amp; $A$5, 'Vanquish Data'!A:I, 8, FALSE),"")),"")</f>
        <v/>
      </c>
      <c r="L53" s="33" t="str">
        <f>IFERROR(IF(VLOOKUP(G53 &amp; "-" &amp; $A$5, 'Vanquish Data'!A:I, 9, FALSE)=0,"",IFERROR(VLOOKUP(G53 &amp; "-" &amp; $A$5, 'Vanquish Data'!A:I, 9, FALSE),"")),"")</f>
        <v/>
      </c>
      <c r="M53" s="34" t="str">
        <f t="shared" si="11"/>
        <v/>
      </c>
      <c r="N53" s="34" t="str">
        <f t="shared" si="11"/>
        <v/>
      </c>
      <c r="O53" s="34" t="str">
        <f t="shared" si="11"/>
        <v/>
      </c>
      <c r="P53" s="34" t="str">
        <f t="shared" si="11"/>
        <v/>
      </c>
      <c r="Q53" s="214"/>
      <c r="R53" s="215"/>
      <c r="S53" s="35" t="str">
        <f t="shared" si="2"/>
        <v/>
      </c>
      <c r="T53" s="35" t="str">
        <f t="shared" si="3"/>
        <v/>
      </c>
      <c r="U53" s="33" t="str">
        <f t="shared" si="4"/>
        <v/>
      </c>
      <c r="V53" s="35" t="str">
        <f t="shared" si="6"/>
        <v/>
      </c>
      <c r="W53" s="36" t="str">
        <f t="shared" si="7"/>
        <v/>
      </c>
      <c r="X53" s="36" t="str">
        <f>IFERROR(VLOOKUP(Info!$B$3&amp;"-"&amp;H53,'Agency Rates'!A:D,4,FALSE),"")</f>
        <v/>
      </c>
      <c r="Y53" s="48" t="str">
        <f t="shared" si="8"/>
        <v/>
      </c>
      <c r="Z53" s="22" t="b">
        <f t="shared" si="12"/>
        <v>1</v>
      </c>
      <c r="AA53" s="22" t="b">
        <f t="shared" si="12"/>
        <v>1</v>
      </c>
      <c r="AB53" s="22" t="b">
        <f t="shared" si="12"/>
        <v>1</v>
      </c>
      <c r="AC53" s="22" t="b">
        <f t="shared" si="12"/>
        <v>1</v>
      </c>
      <c r="AD53" s="51" t="b">
        <f t="shared" si="9"/>
        <v>1</v>
      </c>
      <c r="AE53" s="51" t="str">
        <f t="shared" si="10"/>
        <v>-44555</v>
      </c>
      <c r="AF53" s="267"/>
      <c r="AG53" s="267"/>
      <c r="AH53" s="267"/>
    </row>
    <row r="54" spans="1:34" x14ac:dyDescent="0.25">
      <c r="A54" s="30" t="str">
        <f ca="1">IF(ISBLANK(INDIRECT("'Saturday REQ'!A48")),"",INDIRECT("'Saturday REQ'!A48"))</f>
        <v/>
      </c>
      <c r="B54" s="30" t="str">
        <f ca="1">IF(ISBLANK(INDIRECT("'Saturday REQ'!B48")),"",INDIRECT("'Saturday REQ'!B48"))</f>
        <v/>
      </c>
      <c r="C54" s="31" t="str">
        <f ca="1">IF(ISBLANK(INDIRECT("'Saturday REQ'!C48")),"",INDIRECT("'Saturday REQ'!C48"))</f>
        <v/>
      </c>
      <c r="D54" s="31" t="str">
        <f ca="1">IF(ISBLANK(INDIRECT("'Saturday REQ'!D48")),"",INDIRECT("'Saturday REQ'!D48"))</f>
        <v/>
      </c>
      <c r="E54" s="160" t="str">
        <f ca="1">IF(ISBLANK(INDIRECT("'Saturday REQ'!E48")),"",INDIRECT("'Saturday REQ'!E48"))</f>
        <v/>
      </c>
      <c r="F54" s="161"/>
      <c r="G54" s="32"/>
      <c r="H54" s="32"/>
      <c r="I54" s="33" t="str">
        <f>IFERROR(IF(VLOOKUP(G54 &amp; "-" &amp; $A$5, 'Vanquish Data'!A:I, 6, FALSE)=0,"",VLOOKUP(G54 &amp; "-" &amp; $A$5, 'Vanquish Data'!A:I, 6, FALSE)),"")</f>
        <v/>
      </c>
      <c r="J54" s="33" t="str">
        <f>IFERROR(IF(VLOOKUP(G54 &amp; "-" &amp; $A$5, 'Vanquish Data'!A:I, 7, FALSE)=0,"",IFERROR(VLOOKUP(G54 &amp; "-" &amp; $A$5, 'Vanquish Data'!A:I, 7, FALSE),"")),"")</f>
        <v/>
      </c>
      <c r="K54" s="33" t="str">
        <f>IFERROR(IF(VLOOKUP(G54 &amp; "-" &amp; $A$5, 'Vanquish Data'!A:I, 8, FALSE)=0,"",IFERROR(VLOOKUP(G54 &amp; "-" &amp; $A$5, 'Vanquish Data'!A:I, 8, FALSE),"")),"")</f>
        <v/>
      </c>
      <c r="L54" s="33" t="str">
        <f>IFERROR(IF(VLOOKUP(G54 &amp; "-" &amp; $A$5, 'Vanquish Data'!A:I, 9, FALSE)=0,"",IFERROR(VLOOKUP(G54 &amp; "-" &amp; $A$5, 'Vanquish Data'!A:I, 9, FALSE),"")),"")</f>
        <v/>
      </c>
      <c r="M54" s="34" t="str">
        <f t="shared" si="11"/>
        <v/>
      </c>
      <c r="N54" s="34" t="str">
        <f t="shared" si="11"/>
        <v/>
      </c>
      <c r="O54" s="34" t="str">
        <f t="shared" si="11"/>
        <v/>
      </c>
      <c r="P54" s="34" t="str">
        <f t="shared" si="11"/>
        <v/>
      </c>
      <c r="Q54" s="214"/>
      <c r="R54" s="215"/>
      <c r="S54" s="35" t="str">
        <f t="shared" si="2"/>
        <v/>
      </c>
      <c r="T54" s="35" t="str">
        <f t="shared" si="3"/>
        <v/>
      </c>
      <c r="U54" s="33" t="str">
        <f t="shared" si="4"/>
        <v/>
      </c>
      <c r="V54" s="35" t="str">
        <f t="shared" si="6"/>
        <v/>
      </c>
      <c r="W54" s="36" t="str">
        <f t="shared" si="7"/>
        <v/>
      </c>
      <c r="X54" s="36" t="str">
        <f>IFERROR(VLOOKUP(Info!$B$3&amp;"-"&amp;H54,'Agency Rates'!A:D,4,FALSE),"")</f>
        <v/>
      </c>
      <c r="Y54" s="48" t="str">
        <f t="shared" si="8"/>
        <v/>
      </c>
      <c r="Z54" s="22" t="b">
        <f t="shared" si="12"/>
        <v>1</v>
      </c>
      <c r="AA54" s="22" t="b">
        <f t="shared" si="12"/>
        <v>1</v>
      </c>
      <c r="AB54" s="22" t="b">
        <f t="shared" si="12"/>
        <v>1</v>
      </c>
      <c r="AC54" s="22" t="b">
        <f t="shared" si="12"/>
        <v>1</v>
      </c>
      <c r="AD54" s="51" t="b">
        <f t="shared" si="9"/>
        <v>1</v>
      </c>
      <c r="AE54" s="51" t="str">
        <f t="shared" si="10"/>
        <v>-44555</v>
      </c>
      <c r="AF54" s="267"/>
      <c r="AG54" s="267"/>
      <c r="AH54" s="267"/>
    </row>
    <row r="55" spans="1:34" x14ac:dyDescent="0.25">
      <c r="A55" s="30" t="str">
        <f ca="1">IF(ISBLANK(INDIRECT("'Saturday REQ'!A49")),"",INDIRECT("'Saturday REQ'!A49"))</f>
        <v/>
      </c>
      <c r="B55" s="30" t="str">
        <f ca="1">IF(ISBLANK(INDIRECT("'Saturday REQ'!B49")),"",INDIRECT("'Saturday REQ'!B49"))</f>
        <v/>
      </c>
      <c r="C55" s="31" t="str">
        <f ca="1">IF(ISBLANK(INDIRECT("'Saturday REQ'!C49")),"",INDIRECT("'Saturday REQ'!C49"))</f>
        <v/>
      </c>
      <c r="D55" s="31" t="str">
        <f ca="1">IF(ISBLANK(INDIRECT("'Saturday REQ'!D49")),"",INDIRECT("'Saturday REQ'!D49"))</f>
        <v/>
      </c>
      <c r="E55" s="160" t="str">
        <f ca="1">IF(ISBLANK(INDIRECT("'Saturday REQ'!E49")),"",INDIRECT("'Saturday REQ'!E49"))</f>
        <v/>
      </c>
      <c r="F55" s="161"/>
      <c r="G55" s="32"/>
      <c r="H55" s="32"/>
      <c r="I55" s="33" t="str">
        <f>IFERROR(IF(VLOOKUP(G55 &amp; "-" &amp; $A$5, 'Vanquish Data'!A:I, 6, FALSE)=0,"",VLOOKUP(G55 &amp; "-" &amp; $A$5, 'Vanquish Data'!A:I, 6, FALSE)),"")</f>
        <v/>
      </c>
      <c r="J55" s="33" t="str">
        <f>IFERROR(IF(VLOOKUP(G55 &amp; "-" &amp; $A$5, 'Vanquish Data'!A:I, 7, FALSE)=0,"",IFERROR(VLOOKUP(G55 &amp; "-" &amp; $A$5, 'Vanquish Data'!A:I, 7, FALSE),"")),"")</f>
        <v/>
      </c>
      <c r="K55" s="33" t="str">
        <f>IFERROR(IF(VLOOKUP(G55 &amp; "-" &amp; $A$5, 'Vanquish Data'!A:I, 8, FALSE)=0,"",IFERROR(VLOOKUP(G55 &amp; "-" &amp; $A$5, 'Vanquish Data'!A:I, 8, FALSE),"")),"")</f>
        <v/>
      </c>
      <c r="L55" s="33" t="str">
        <f>IFERROR(IF(VLOOKUP(G55 &amp; "-" &amp; $A$5, 'Vanquish Data'!A:I, 9, FALSE)=0,"",IFERROR(VLOOKUP(G55 &amp; "-" &amp; $A$5, 'Vanquish Data'!A:I, 9, FALSE),"")),"")</f>
        <v/>
      </c>
      <c r="M55" s="34" t="str">
        <f t="shared" si="11"/>
        <v/>
      </c>
      <c r="N55" s="34" t="str">
        <f t="shared" si="11"/>
        <v/>
      </c>
      <c r="O55" s="34" t="str">
        <f t="shared" si="11"/>
        <v/>
      </c>
      <c r="P55" s="34" t="str">
        <f t="shared" si="11"/>
        <v/>
      </c>
      <c r="Q55" s="214"/>
      <c r="R55" s="215"/>
      <c r="S55" s="35" t="str">
        <f t="shared" si="2"/>
        <v/>
      </c>
      <c r="T55" s="35" t="str">
        <f t="shared" si="3"/>
        <v/>
      </c>
      <c r="U55" s="33" t="str">
        <f t="shared" si="4"/>
        <v/>
      </c>
      <c r="V55" s="35" t="str">
        <f t="shared" si="6"/>
        <v/>
      </c>
      <c r="W55" s="36" t="str">
        <f t="shared" si="7"/>
        <v/>
      </c>
      <c r="X55" s="36" t="str">
        <f>IFERROR(VLOOKUP(Info!$B$3&amp;"-"&amp;H55,'Agency Rates'!A:D,4,FALSE),"")</f>
        <v/>
      </c>
      <c r="Y55" s="48" t="str">
        <f t="shared" si="8"/>
        <v/>
      </c>
      <c r="Z55" s="22" t="b">
        <f t="shared" si="12"/>
        <v>1</v>
      </c>
      <c r="AA55" s="22" t="b">
        <f t="shared" si="12"/>
        <v>1</v>
      </c>
      <c r="AB55" s="22" t="b">
        <f t="shared" si="12"/>
        <v>1</v>
      </c>
      <c r="AC55" s="22" t="b">
        <f t="shared" si="12"/>
        <v>1</v>
      </c>
      <c r="AD55" s="51" t="b">
        <f t="shared" si="9"/>
        <v>1</v>
      </c>
      <c r="AE55" s="51" t="str">
        <f t="shared" si="10"/>
        <v>-44555</v>
      </c>
      <c r="AF55" s="267"/>
      <c r="AG55" s="267"/>
      <c r="AH55" s="267"/>
    </row>
    <row r="56" spans="1:34" x14ac:dyDescent="0.25">
      <c r="A56" s="30" t="str">
        <f ca="1">IF(ISBLANK(INDIRECT("'Saturday REQ'!A50")),"",INDIRECT("'Saturday REQ'!A50"))</f>
        <v/>
      </c>
      <c r="B56" s="30" t="str">
        <f ca="1">IF(ISBLANK(INDIRECT("'Saturday REQ'!B50")),"",INDIRECT("'Saturday REQ'!B50"))</f>
        <v/>
      </c>
      <c r="C56" s="31" t="str">
        <f ca="1">IF(ISBLANK(INDIRECT("'Saturday REQ'!C50")),"",INDIRECT("'Saturday REQ'!C50"))</f>
        <v/>
      </c>
      <c r="D56" s="31" t="str">
        <f ca="1">IF(ISBLANK(INDIRECT("'Saturday REQ'!D50")),"",INDIRECT("'Saturday REQ'!D50"))</f>
        <v/>
      </c>
      <c r="E56" s="160" t="str">
        <f ca="1">IF(ISBLANK(INDIRECT("'Saturday REQ'!E50")),"",INDIRECT("'Saturday REQ'!E50"))</f>
        <v/>
      </c>
      <c r="F56" s="161"/>
      <c r="G56" s="32"/>
      <c r="H56" s="32"/>
      <c r="I56" s="33" t="str">
        <f>IFERROR(IF(VLOOKUP(G56 &amp; "-" &amp; $A$5, 'Vanquish Data'!A:I, 6, FALSE)=0,"",VLOOKUP(G56 &amp; "-" &amp; $A$5, 'Vanquish Data'!A:I, 6, FALSE)),"")</f>
        <v/>
      </c>
      <c r="J56" s="33" t="str">
        <f>IFERROR(IF(VLOOKUP(G56 &amp; "-" &amp; $A$5, 'Vanquish Data'!A:I, 7, FALSE)=0,"",IFERROR(VLOOKUP(G56 &amp; "-" &amp; $A$5, 'Vanquish Data'!A:I, 7, FALSE),"")),"")</f>
        <v/>
      </c>
      <c r="K56" s="33" t="str">
        <f>IFERROR(IF(VLOOKUP(G56 &amp; "-" &amp; $A$5, 'Vanquish Data'!A:I, 8, FALSE)=0,"",IFERROR(VLOOKUP(G56 &amp; "-" &amp; $A$5, 'Vanquish Data'!A:I, 8, FALSE),"")),"")</f>
        <v/>
      </c>
      <c r="L56" s="33" t="str">
        <f>IFERROR(IF(VLOOKUP(G56 &amp; "-" &amp; $A$5, 'Vanquish Data'!A:I, 9, FALSE)=0,"",IFERROR(VLOOKUP(G56 &amp; "-" &amp; $A$5, 'Vanquish Data'!A:I, 9, FALSE),"")),"")</f>
        <v/>
      </c>
      <c r="M56" s="34" t="str">
        <f t="shared" si="11"/>
        <v/>
      </c>
      <c r="N56" s="34" t="str">
        <f t="shared" si="11"/>
        <v/>
      </c>
      <c r="O56" s="34" t="str">
        <f t="shared" si="11"/>
        <v/>
      </c>
      <c r="P56" s="34" t="str">
        <f t="shared" si="11"/>
        <v/>
      </c>
      <c r="Q56" s="214"/>
      <c r="R56" s="215"/>
      <c r="S56" s="35" t="str">
        <f t="shared" si="2"/>
        <v/>
      </c>
      <c r="T56" s="35" t="str">
        <f t="shared" si="3"/>
        <v/>
      </c>
      <c r="U56" s="33" t="str">
        <f t="shared" si="4"/>
        <v/>
      </c>
      <c r="V56" s="35" t="str">
        <f t="shared" si="6"/>
        <v/>
      </c>
      <c r="W56" s="36" t="str">
        <f t="shared" si="7"/>
        <v/>
      </c>
      <c r="X56" s="36" t="str">
        <f>IFERROR(VLOOKUP(Info!$B$3&amp;"-"&amp;H56,'Agency Rates'!A:D,4,FALSE),"")</f>
        <v/>
      </c>
      <c r="Y56" s="48" t="str">
        <f t="shared" si="8"/>
        <v/>
      </c>
      <c r="Z56" s="22" t="b">
        <f t="shared" si="12"/>
        <v>1</v>
      </c>
      <c r="AA56" s="22" t="b">
        <f t="shared" si="12"/>
        <v>1</v>
      </c>
      <c r="AB56" s="22" t="b">
        <f t="shared" si="12"/>
        <v>1</v>
      </c>
      <c r="AC56" s="22" t="b">
        <f t="shared" si="12"/>
        <v>1</v>
      </c>
      <c r="AD56" s="51" t="b">
        <f t="shared" si="9"/>
        <v>1</v>
      </c>
      <c r="AE56" s="51" t="str">
        <f t="shared" si="10"/>
        <v>-44555</v>
      </c>
      <c r="AF56" s="267"/>
      <c r="AG56" s="267"/>
      <c r="AH56" s="267"/>
    </row>
    <row r="57" spans="1:34" x14ac:dyDescent="0.25">
      <c r="A57" s="30" t="str">
        <f ca="1">IF(ISBLANK(INDIRECT("'Saturday REQ'!A51")),"",INDIRECT("'Saturday REQ'!A51"))</f>
        <v/>
      </c>
      <c r="B57" s="30" t="str">
        <f ca="1">IF(ISBLANK(INDIRECT("'Saturday REQ'!B51")),"",INDIRECT("'Saturday REQ'!B51"))</f>
        <v/>
      </c>
      <c r="C57" s="31" t="str">
        <f ca="1">IF(ISBLANK(INDIRECT("'Saturday REQ'!C51")),"",INDIRECT("'Saturday REQ'!C51"))</f>
        <v/>
      </c>
      <c r="D57" s="31" t="str">
        <f ca="1">IF(ISBLANK(INDIRECT("'Saturday REQ'!D51")),"",INDIRECT("'Saturday REQ'!D51"))</f>
        <v/>
      </c>
      <c r="E57" s="160" t="str">
        <f ca="1">IF(ISBLANK(INDIRECT("'Saturday REQ'!E51")),"",INDIRECT("'Saturday REQ'!E51"))</f>
        <v/>
      </c>
      <c r="F57" s="161"/>
      <c r="G57" s="32"/>
      <c r="H57" s="32"/>
      <c r="I57" s="33" t="str">
        <f>IFERROR(IF(VLOOKUP(G57 &amp; "-" &amp; $A$5, 'Vanquish Data'!A:I, 6, FALSE)=0,"",VLOOKUP(G57 &amp; "-" &amp; $A$5, 'Vanquish Data'!A:I, 6, FALSE)),"")</f>
        <v/>
      </c>
      <c r="J57" s="33" t="str">
        <f>IFERROR(IF(VLOOKUP(G57 &amp; "-" &amp; $A$5, 'Vanquish Data'!A:I, 7, FALSE)=0,"",IFERROR(VLOOKUP(G57 &amp; "-" &amp; $A$5, 'Vanquish Data'!A:I, 7, FALSE),"")),"")</f>
        <v/>
      </c>
      <c r="K57" s="33" t="str">
        <f>IFERROR(IF(VLOOKUP(G57 &amp; "-" &amp; $A$5, 'Vanquish Data'!A:I, 8, FALSE)=0,"",IFERROR(VLOOKUP(G57 &amp; "-" &amp; $A$5, 'Vanquish Data'!A:I, 8, FALSE),"")),"")</f>
        <v/>
      </c>
      <c r="L57" s="33" t="str">
        <f>IFERROR(IF(VLOOKUP(G57 &amp; "-" &amp; $A$5, 'Vanquish Data'!A:I, 9, FALSE)=0,"",IFERROR(VLOOKUP(G57 &amp; "-" &amp; $A$5, 'Vanquish Data'!A:I, 9, FALSE),"")),"")</f>
        <v/>
      </c>
      <c r="M57" s="34" t="str">
        <f t="shared" si="11"/>
        <v/>
      </c>
      <c r="N57" s="34" t="str">
        <f t="shared" si="11"/>
        <v/>
      </c>
      <c r="O57" s="34" t="str">
        <f t="shared" si="11"/>
        <v/>
      </c>
      <c r="P57" s="34" t="str">
        <f t="shared" si="11"/>
        <v/>
      </c>
      <c r="Q57" s="214"/>
      <c r="R57" s="215"/>
      <c r="S57" s="35" t="str">
        <f t="shared" si="2"/>
        <v/>
      </c>
      <c r="T57" s="35" t="str">
        <f t="shared" si="3"/>
        <v/>
      </c>
      <c r="U57" s="33" t="str">
        <f t="shared" si="4"/>
        <v/>
      </c>
      <c r="V57" s="35" t="str">
        <f t="shared" si="6"/>
        <v/>
      </c>
      <c r="W57" s="36" t="str">
        <f t="shared" si="7"/>
        <v/>
      </c>
      <c r="X57" s="36" t="str">
        <f>IFERROR(VLOOKUP(Info!$B$3&amp;"-"&amp;H57,'Agency Rates'!A:D,4,FALSE),"")</f>
        <v/>
      </c>
      <c r="Y57" s="48" t="str">
        <f t="shared" si="8"/>
        <v/>
      </c>
      <c r="Z57" s="22" t="b">
        <f t="shared" si="12"/>
        <v>1</v>
      </c>
      <c r="AA57" s="22" t="b">
        <f t="shared" si="12"/>
        <v>1</v>
      </c>
      <c r="AB57" s="22" t="b">
        <f t="shared" si="12"/>
        <v>1</v>
      </c>
      <c r="AC57" s="22" t="b">
        <f t="shared" si="12"/>
        <v>1</v>
      </c>
      <c r="AD57" s="51" t="b">
        <f t="shared" si="9"/>
        <v>1</v>
      </c>
      <c r="AE57" s="51" t="str">
        <f t="shared" si="10"/>
        <v>-44555</v>
      </c>
      <c r="AF57" s="267"/>
      <c r="AG57" s="267"/>
      <c r="AH57" s="267"/>
    </row>
    <row r="58" spans="1:34" x14ac:dyDescent="0.25">
      <c r="A58" s="30" t="str">
        <f ca="1">IF(ISBLANK(INDIRECT("'Saturday REQ'!A52")),"",INDIRECT("'Saturday REQ'!A52"))</f>
        <v/>
      </c>
      <c r="B58" s="30" t="str">
        <f ca="1">IF(ISBLANK(INDIRECT("'Saturday REQ'!B52")),"",INDIRECT("'Saturday REQ'!B52"))</f>
        <v/>
      </c>
      <c r="C58" s="31" t="str">
        <f ca="1">IF(ISBLANK(INDIRECT("'Saturday REQ'!C52")),"",INDIRECT("'Saturday REQ'!C52"))</f>
        <v/>
      </c>
      <c r="D58" s="31" t="str">
        <f ca="1">IF(ISBLANK(INDIRECT("'Saturday REQ'!D52")),"",INDIRECT("'Saturday REQ'!D52"))</f>
        <v/>
      </c>
      <c r="E58" s="160" t="str">
        <f ca="1">IF(ISBLANK(INDIRECT("'Saturday REQ'!E52")),"",INDIRECT("'Saturday REQ'!E52"))</f>
        <v/>
      </c>
      <c r="F58" s="161"/>
      <c r="G58" s="32"/>
      <c r="H58" s="32"/>
      <c r="I58" s="33" t="str">
        <f>IFERROR(IF(VLOOKUP(G58 &amp; "-" &amp; $A$5, 'Vanquish Data'!A:I, 6, FALSE)=0,"",VLOOKUP(G58 &amp; "-" &amp; $A$5, 'Vanquish Data'!A:I, 6, FALSE)),"")</f>
        <v/>
      </c>
      <c r="J58" s="33" t="str">
        <f>IFERROR(IF(VLOOKUP(G58 &amp; "-" &amp; $A$5, 'Vanquish Data'!A:I, 7, FALSE)=0,"",IFERROR(VLOOKUP(G58 &amp; "-" &amp; $A$5, 'Vanquish Data'!A:I, 7, FALSE),"")),"")</f>
        <v/>
      </c>
      <c r="K58" s="33" t="str">
        <f>IFERROR(IF(VLOOKUP(G58 &amp; "-" &amp; $A$5, 'Vanquish Data'!A:I, 8, FALSE)=0,"",IFERROR(VLOOKUP(G58 &amp; "-" &amp; $A$5, 'Vanquish Data'!A:I, 8, FALSE),"")),"")</f>
        <v/>
      </c>
      <c r="L58" s="33" t="str">
        <f>IFERROR(IF(VLOOKUP(G58 &amp; "-" &amp; $A$5, 'Vanquish Data'!A:I, 9, FALSE)=0,"",IFERROR(VLOOKUP(G58 &amp; "-" &amp; $A$5, 'Vanquish Data'!A:I, 9, FALSE),"")),"")</f>
        <v/>
      </c>
      <c r="M58" s="34" t="str">
        <f t="shared" si="11"/>
        <v/>
      </c>
      <c r="N58" s="34" t="str">
        <f t="shared" si="11"/>
        <v/>
      </c>
      <c r="O58" s="34" t="str">
        <f t="shared" si="11"/>
        <v/>
      </c>
      <c r="P58" s="34" t="str">
        <f t="shared" si="11"/>
        <v/>
      </c>
      <c r="Q58" s="214"/>
      <c r="R58" s="215"/>
      <c r="S58" s="35" t="str">
        <f t="shared" si="2"/>
        <v/>
      </c>
      <c r="T58" s="35" t="str">
        <f t="shared" si="3"/>
        <v/>
      </c>
      <c r="U58" s="33" t="str">
        <f t="shared" si="4"/>
        <v/>
      </c>
      <c r="V58" s="35" t="str">
        <f t="shared" si="6"/>
        <v/>
      </c>
      <c r="W58" s="36" t="str">
        <f t="shared" si="7"/>
        <v/>
      </c>
      <c r="X58" s="36" t="str">
        <f>IFERROR(VLOOKUP(Info!$B$3&amp;"-"&amp;H58,'Agency Rates'!A:D,4,FALSE),"")</f>
        <v/>
      </c>
      <c r="Y58" s="48" t="str">
        <f t="shared" si="8"/>
        <v/>
      </c>
      <c r="Z58" s="22" t="b">
        <f t="shared" si="12"/>
        <v>1</v>
      </c>
      <c r="AA58" s="22" t="b">
        <f t="shared" si="12"/>
        <v>1</v>
      </c>
      <c r="AB58" s="22" t="b">
        <f t="shared" si="12"/>
        <v>1</v>
      </c>
      <c r="AC58" s="22" t="b">
        <f t="shared" si="12"/>
        <v>1</v>
      </c>
      <c r="AD58" s="51" t="b">
        <f t="shared" si="9"/>
        <v>1</v>
      </c>
      <c r="AE58" s="51" t="str">
        <f t="shared" si="10"/>
        <v>-44555</v>
      </c>
      <c r="AF58" s="267"/>
      <c r="AG58" s="267"/>
      <c r="AH58" s="267"/>
    </row>
    <row r="59" spans="1:34" x14ac:dyDescent="0.25">
      <c r="A59" s="30" t="str">
        <f ca="1">IF(ISBLANK(INDIRECT("'Saturday REQ'!A53")),"",INDIRECT("'Saturday REQ'!A53"))</f>
        <v/>
      </c>
      <c r="B59" s="30" t="str">
        <f ca="1">IF(ISBLANK(INDIRECT("'Saturday REQ'!B53")),"",INDIRECT("'Saturday REQ'!B53"))</f>
        <v/>
      </c>
      <c r="C59" s="31" t="str">
        <f ca="1">IF(ISBLANK(INDIRECT("'Saturday REQ'!C53")),"",INDIRECT("'Saturday REQ'!C53"))</f>
        <v/>
      </c>
      <c r="D59" s="31" t="str">
        <f ca="1">IF(ISBLANK(INDIRECT("'Saturday REQ'!D53")),"",INDIRECT("'Saturday REQ'!D53"))</f>
        <v/>
      </c>
      <c r="E59" s="160" t="str">
        <f ca="1">IF(ISBLANK(INDIRECT("'Saturday REQ'!E53")),"",INDIRECT("'Saturday REQ'!E53"))</f>
        <v/>
      </c>
      <c r="F59" s="161"/>
      <c r="G59" s="32"/>
      <c r="H59" s="32"/>
      <c r="I59" s="33" t="str">
        <f>IFERROR(IF(VLOOKUP(G59 &amp; "-" &amp; $A$5, 'Vanquish Data'!A:I, 6, FALSE)=0,"",VLOOKUP(G59 &amp; "-" &amp; $A$5, 'Vanquish Data'!A:I, 6, FALSE)),"")</f>
        <v/>
      </c>
      <c r="J59" s="33" t="str">
        <f>IFERROR(IF(VLOOKUP(G59 &amp; "-" &amp; $A$5, 'Vanquish Data'!A:I, 7, FALSE)=0,"",IFERROR(VLOOKUP(G59 &amp; "-" &amp; $A$5, 'Vanquish Data'!A:I, 7, FALSE),"")),"")</f>
        <v/>
      </c>
      <c r="K59" s="33" t="str">
        <f>IFERROR(IF(VLOOKUP(G59 &amp; "-" &amp; $A$5, 'Vanquish Data'!A:I, 8, FALSE)=0,"",IFERROR(VLOOKUP(G59 &amp; "-" &amp; $A$5, 'Vanquish Data'!A:I, 8, FALSE),"")),"")</f>
        <v/>
      </c>
      <c r="L59" s="33" t="str">
        <f>IFERROR(IF(VLOOKUP(G59 &amp; "-" &amp; $A$5, 'Vanquish Data'!A:I, 9, FALSE)=0,"",IFERROR(VLOOKUP(G59 &amp; "-" &amp; $A$5, 'Vanquish Data'!A:I, 9, FALSE),"")),"")</f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214"/>
      <c r="R59" s="215"/>
      <c r="S59" s="35" t="str">
        <f t="shared" si="2"/>
        <v/>
      </c>
      <c r="T59" s="35" t="str">
        <f t="shared" si="3"/>
        <v/>
      </c>
      <c r="U59" s="33" t="str">
        <f t="shared" si="4"/>
        <v/>
      </c>
      <c r="V59" s="35" t="str">
        <f t="shared" si="6"/>
        <v/>
      </c>
      <c r="W59" s="36" t="str">
        <f t="shared" si="7"/>
        <v/>
      </c>
      <c r="X59" s="36" t="str">
        <f>IFERROR(VLOOKUP(Info!$B$3&amp;"-"&amp;H59,'Agency Rates'!A:D,4,FALSE),"")</f>
        <v/>
      </c>
      <c r="Y59" s="48" t="str">
        <f t="shared" si="8"/>
        <v/>
      </c>
      <c r="Z59" s="22" t="b">
        <f t="shared" si="12"/>
        <v>1</v>
      </c>
      <c r="AA59" s="22" t="b">
        <f t="shared" si="12"/>
        <v>1</v>
      </c>
      <c r="AB59" s="22" t="b">
        <f t="shared" si="12"/>
        <v>1</v>
      </c>
      <c r="AC59" s="22" t="b">
        <f t="shared" si="12"/>
        <v>1</v>
      </c>
      <c r="AD59" s="51" t="b">
        <f t="shared" si="9"/>
        <v>1</v>
      </c>
      <c r="AE59" s="51" t="str">
        <f t="shared" si="10"/>
        <v>-44555</v>
      </c>
      <c r="AF59" s="267"/>
      <c r="AG59" s="267"/>
      <c r="AH59" s="267"/>
    </row>
    <row r="60" spans="1:34" x14ac:dyDescent="0.25">
      <c r="A60" s="30" t="str">
        <f ca="1">IF(ISBLANK(INDIRECT("'Saturday REQ'!A54")),"",INDIRECT("'Saturday REQ'!A54"))</f>
        <v/>
      </c>
      <c r="B60" s="30" t="str">
        <f ca="1">IF(ISBLANK(INDIRECT("'Saturday REQ'!B54")),"",INDIRECT("'Saturday REQ'!B54"))</f>
        <v/>
      </c>
      <c r="C60" s="31" t="str">
        <f ca="1">IF(ISBLANK(INDIRECT("'Saturday REQ'!C54")),"",INDIRECT("'Saturday REQ'!C54"))</f>
        <v/>
      </c>
      <c r="D60" s="31" t="str">
        <f ca="1">IF(ISBLANK(INDIRECT("'Saturday REQ'!D54")),"",INDIRECT("'Saturday REQ'!D54"))</f>
        <v/>
      </c>
      <c r="E60" s="160" t="str">
        <f ca="1">IF(ISBLANK(INDIRECT("'Saturday REQ'!E54")),"",INDIRECT("'Saturday REQ'!E54"))</f>
        <v/>
      </c>
      <c r="F60" s="161"/>
      <c r="G60" s="32"/>
      <c r="H60" s="32"/>
      <c r="I60" s="33" t="str">
        <f>IFERROR(IF(VLOOKUP(G60 &amp; "-" &amp; $A$5, 'Vanquish Data'!A:I, 6, FALSE)=0,"",VLOOKUP(G60 &amp; "-" &amp; $A$5, 'Vanquish Data'!A:I, 6, FALSE)),"")</f>
        <v/>
      </c>
      <c r="J60" s="33" t="str">
        <f>IFERROR(IF(VLOOKUP(G60 &amp; "-" &amp; $A$5, 'Vanquish Data'!A:I, 7, FALSE)=0,"",IFERROR(VLOOKUP(G60 &amp; "-" &amp; $A$5, 'Vanquish Data'!A:I, 7, FALSE),"")),"")</f>
        <v/>
      </c>
      <c r="K60" s="33" t="str">
        <f>IFERROR(IF(VLOOKUP(G60 &amp; "-" &amp; $A$5, 'Vanquish Data'!A:I, 8, FALSE)=0,"",IFERROR(VLOOKUP(G60 &amp; "-" &amp; $A$5, 'Vanquish Data'!A:I, 8, FALSE),"")),"")</f>
        <v/>
      </c>
      <c r="L60" s="33" t="str">
        <f>IFERROR(IF(VLOOKUP(G60 &amp; "-" &amp; $A$5, 'Vanquish Data'!A:I, 9, FALSE)=0,"",IFERROR(VLOOKUP(G60 &amp; "-" &amp; $A$5, 'Vanquish Data'!A:I, 9, FALSE),"")),"")</f>
        <v/>
      </c>
      <c r="M60" s="34" t="str">
        <f t="shared" si="11"/>
        <v/>
      </c>
      <c r="N60" s="34" t="str">
        <f t="shared" si="11"/>
        <v/>
      </c>
      <c r="O60" s="34" t="str">
        <f t="shared" si="11"/>
        <v/>
      </c>
      <c r="P60" s="34" t="str">
        <f t="shared" si="11"/>
        <v/>
      </c>
      <c r="Q60" s="214"/>
      <c r="R60" s="215"/>
      <c r="S60" s="35" t="str">
        <f t="shared" si="2"/>
        <v/>
      </c>
      <c r="T60" s="35" t="str">
        <f t="shared" si="3"/>
        <v/>
      </c>
      <c r="U60" s="33" t="str">
        <f t="shared" si="4"/>
        <v/>
      </c>
      <c r="V60" s="35" t="str">
        <f t="shared" si="6"/>
        <v/>
      </c>
      <c r="W60" s="36" t="str">
        <f t="shared" si="7"/>
        <v/>
      </c>
      <c r="X60" s="36" t="str">
        <f>IFERROR(VLOOKUP(Info!$B$3&amp;"-"&amp;H60,'Agency Rates'!A:D,4,FALSE),"")</f>
        <v/>
      </c>
      <c r="Y60" s="48" t="str">
        <f t="shared" si="8"/>
        <v/>
      </c>
      <c r="Z60" s="22" t="b">
        <f t="shared" si="12"/>
        <v>1</v>
      </c>
      <c r="AA60" s="22" t="b">
        <f t="shared" si="12"/>
        <v>1</v>
      </c>
      <c r="AB60" s="22" t="b">
        <f t="shared" si="12"/>
        <v>1</v>
      </c>
      <c r="AC60" s="22" t="b">
        <f t="shared" si="12"/>
        <v>1</v>
      </c>
      <c r="AD60" s="51" t="b">
        <f t="shared" si="9"/>
        <v>1</v>
      </c>
      <c r="AE60" s="51" t="str">
        <f t="shared" si="10"/>
        <v>-44555</v>
      </c>
      <c r="AF60" s="267"/>
      <c r="AG60" s="267"/>
      <c r="AH60" s="267"/>
    </row>
  </sheetData>
  <sheetProtection algorithmName="SHA-512" hashValue="JPLlZrLmXRPkIm3UebBoIMWiXc1PeFBdoQFupNm9tcYL+V0WnS4lhH0VDa2qyRLM76waiHaF3mXYerx6yDvEaw==" saltValue="P/1WZBr9AIxGx6jH01hmDA==" spinCount="100000" sheet="1" objects="1" scenarios="1"/>
  <autoFilter ref="A8:Y60">
    <filterColumn colId="12" showButton="0"/>
    <filterColumn colId="13" showButton="0"/>
    <filterColumn colId="14" showButton="0"/>
  </autoFilter>
  <mergeCells count="60">
    <mergeCell ref="AF58:AH58"/>
    <mergeCell ref="AF59:AH59"/>
    <mergeCell ref="AF60:AH60"/>
    <mergeCell ref="AF53:AH53"/>
    <mergeCell ref="AF54:AH54"/>
    <mergeCell ref="AF55:AH55"/>
    <mergeCell ref="AF56:AH56"/>
    <mergeCell ref="AF57:AH57"/>
    <mergeCell ref="AF48:AH48"/>
    <mergeCell ref="AF49:AH49"/>
    <mergeCell ref="AF50:AH50"/>
    <mergeCell ref="AF51:AH51"/>
    <mergeCell ref="AF52:AH52"/>
    <mergeCell ref="AF43:AH43"/>
    <mergeCell ref="AF44:AH44"/>
    <mergeCell ref="AF45:AH45"/>
    <mergeCell ref="AF46:AH46"/>
    <mergeCell ref="AF47:AH47"/>
    <mergeCell ref="AF38:AH38"/>
    <mergeCell ref="AF39:AH39"/>
    <mergeCell ref="AF40:AH40"/>
    <mergeCell ref="AF41:AH41"/>
    <mergeCell ref="AF42:AH42"/>
    <mergeCell ref="AF33:AH33"/>
    <mergeCell ref="AF34:AH34"/>
    <mergeCell ref="AF35:AH35"/>
    <mergeCell ref="AF36:AH36"/>
    <mergeCell ref="AF37:AH37"/>
    <mergeCell ref="AF28:AH28"/>
    <mergeCell ref="AF29:AH29"/>
    <mergeCell ref="AF30:AH30"/>
    <mergeCell ref="AF31:AH31"/>
    <mergeCell ref="AF32:AH32"/>
    <mergeCell ref="AF23:AH23"/>
    <mergeCell ref="AF24:AH24"/>
    <mergeCell ref="AF25:AH25"/>
    <mergeCell ref="AF26:AH26"/>
    <mergeCell ref="AF27:AH27"/>
    <mergeCell ref="AF18:AH18"/>
    <mergeCell ref="AF19:AH19"/>
    <mergeCell ref="AF20:AH20"/>
    <mergeCell ref="AF21:AH21"/>
    <mergeCell ref="AF22:AH22"/>
    <mergeCell ref="AF13:AH13"/>
    <mergeCell ref="AF14:AH14"/>
    <mergeCell ref="AF15:AH15"/>
    <mergeCell ref="AF16:AH16"/>
    <mergeCell ref="AF17:AH17"/>
    <mergeCell ref="AF7:AH8"/>
    <mergeCell ref="AF9:AH9"/>
    <mergeCell ref="AF10:AH10"/>
    <mergeCell ref="AF11:AH11"/>
    <mergeCell ref="AF12:AH12"/>
    <mergeCell ref="M8:P8"/>
    <mergeCell ref="A1:W3"/>
    <mergeCell ref="I4:L4"/>
    <mergeCell ref="A7:E7"/>
    <mergeCell ref="F7:H7"/>
    <mergeCell ref="I7:L7"/>
    <mergeCell ref="S7:Y7"/>
  </mergeCells>
  <conditionalFormatting sqref="I9:L59">
    <cfRule type="expression" dxfId="6" priority="5">
      <formula>IF(Z9=FALSE,1,0)</formula>
    </cfRule>
  </conditionalFormatting>
  <conditionalFormatting sqref="A1:W3">
    <cfRule type="cellIs" dxfId="5" priority="3" operator="equal">
      <formula>"SAFE TO SEND, SHEETS PROTECTED"</formula>
    </cfRule>
  </conditionalFormatting>
  <conditionalFormatting sqref="G9:G60">
    <cfRule type="duplicateValues" dxfId="4" priority="2"/>
  </conditionalFormatting>
  <dataValidations count="3">
    <dataValidation type="list" allowBlank="1" showInputMessage="1" showErrorMessage="1" sqref="R9:R60">
      <formula1>"Yes"</formula1>
    </dataValidation>
    <dataValidation type="list" allowBlank="1" showInputMessage="1" showErrorMessage="1" sqref="A9:A60">
      <formula1>Dept</formula1>
    </dataValidation>
    <dataValidation type="list" allowBlank="1" showInputMessage="1" showErrorMessage="1" sqref="B9:B60">
      <formula1>Factory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'Agency Rates'!$I$1:$I$4</xm:f>
          </x14:formula1>
          <xm:sqref>H9</xm:sqref>
        </x14:dataValidation>
        <x14:dataValidation type="list" showInputMessage="1" showErrorMessage="1">
          <x14:formula1>
            <xm:f>'Agency Rates'!$I$1:$I$4</xm:f>
          </x14:formula1>
          <xm:sqref>H10:H11</xm:sqref>
        </x14:dataValidation>
        <x14:dataValidation type="list" showInputMessage="1" showErrorMessage="1">
          <x14:formula1>
            <xm:f>'Agency Rates'!$I$1:$I$10</xm:f>
          </x14:formula1>
          <xm:sqref>H12:H14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79998168889431442"/>
  </sheetPr>
  <dimension ref="A1:Y29"/>
  <sheetViews>
    <sheetView zoomScaleNormal="100" workbookViewId="0">
      <selection activeCell="I4" sqref="I4"/>
    </sheetView>
  </sheetViews>
  <sheetFormatPr defaultRowHeight="15" x14ac:dyDescent="0.25"/>
  <cols>
    <col min="1" max="1" width="12.28515625" bestFit="1" customWidth="1"/>
    <col min="2" max="2" width="17.28515625" customWidth="1"/>
    <col min="3" max="3" width="15.7109375" bestFit="1" customWidth="1"/>
    <col min="4" max="5" width="7" style="169" bestFit="1" customWidth="1"/>
    <col min="6" max="6" width="9" bestFit="1" customWidth="1"/>
    <col min="7" max="8" width="7" style="169" bestFit="1" customWidth="1"/>
    <col min="9" max="9" width="9" bestFit="1" customWidth="1"/>
    <col min="10" max="11" width="7" style="169" bestFit="1" customWidth="1"/>
    <col min="12" max="12" width="9" bestFit="1" customWidth="1"/>
    <col min="13" max="14" width="7" style="169" bestFit="1" customWidth="1"/>
    <col min="15" max="15" width="9" bestFit="1" customWidth="1"/>
    <col min="16" max="17" width="7" style="169" bestFit="1" customWidth="1"/>
    <col min="18" max="18" width="9" bestFit="1" customWidth="1"/>
    <col min="19" max="20" width="7" style="169" bestFit="1" customWidth="1"/>
    <col min="21" max="21" width="9" bestFit="1" customWidth="1"/>
    <col min="22" max="23" width="7" style="169" bestFit="1" customWidth="1"/>
    <col min="24" max="24" width="9" bestFit="1" customWidth="1"/>
    <col min="25" max="25" width="11.28515625" bestFit="1" customWidth="1"/>
  </cols>
  <sheetData>
    <row r="1" spans="1:25" s="38" customFormat="1" x14ac:dyDescent="0.25">
      <c r="A1" s="269" t="s">
        <v>100</v>
      </c>
      <c r="B1" s="271" t="s">
        <v>10</v>
      </c>
      <c r="C1" s="271" t="s">
        <v>101</v>
      </c>
      <c r="D1" s="273" t="s">
        <v>102</v>
      </c>
      <c r="E1" s="274"/>
      <c r="F1" s="275"/>
      <c r="G1" s="273" t="s">
        <v>103</v>
      </c>
      <c r="H1" s="274"/>
      <c r="I1" s="275"/>
      <c r="J1" s="271" t="s">
        <v>104</v>
      </c>
      <c r="K1" s="271"/>
      <c r="L1" s="271"/>
      <c r="M1" s="271" t="s">
        <v>105</v>
      </c>
      <c r="N1" s="271"/>
      <c r="O1" s="271"/>
      <c r="P1" s="271" t="s">
        <v>106</v>
      </c>
      <c r="Q1" s="271"/>
      <c r="R1" s="271"/>
      <c r="S1" s="271" t="s">
        <v>107</v>
      </c>
      <c r="T1" s="271"/>
      <c r="U1" s="271"/>
      <c r="V1" s="271" t="s">
        <v>108</v>
      </c>
      <c r="W1" s="271"/>
      <c r="X1" s="273"/>
      <c r="Y1" s="186" t="s">
        <v>112</v>
      </c>
    </row>
    <row r="2" spans="1:25" ht="15.75" thickBot="1" x14ac:dyDescent="0.3">
      <c r="A2" s="270"/>
      <c r="B2" s="272"/>
      <c r="C2" s="272"/>
      <c r="D2" s="168" t="s">
        <v>110</v>
      </c>
      <c r="E2" s="168" t="s">
        <v>109</v>
      </c>
      <c r="F2" s="167" t="s">
        <v>111</v>
      </c>
      <c r="G2" s="168" t="s">
        <v>110</v>
      </c>
      <c r="H2" s="168" t="s">
        <v>109</v>
      </c>
      <c r="I2" s="167" t="s">
        <v>111</v>
      </c>
      <c r="J2" s="168" t="s">
        <v>110</v>
      </c>
      <c r="K2" s="168" t="s">
        <v>109</v>
      </c>
      <c r="L2" s="167" t="s">
        <v>111</v>
      </c>
      <c r="M2" s="168" t="s">
        <v>110</v>
      </c>
      <c r="N2" s="168" t="s">
        <v>109</v>
      </c>
      <c r="O2" s="167" t="s">
        <v>111</v>
      </c>
      <c r="P2" s="168" t="s">
        <v>110</v>
      </c>
      <c r="Q2" s="168" t="s">
        <v>109</v>
      </c>
      <c r="R2" s="167" t="s">
        <v>111</v>
      </c>
      <c r="S2" s="168" t="s">
        <v>110</v>
      </c>
      <c r="T2" s="168" t="s">
        <v>109</v>
      </c>
      <c r="U2" s="167" t="s">
        <v>111</v>
      </c>
      <c r="V2" s="168" t="s">
        <v>110</v>
      </c>
      <c r="W2" s="168" t="s">
        <v>109</v>
      </c>
      <c r="X2" s="182" t="s">
        <v>111</v>
      </c>
      <c r="Y2" s="187" t="s">
        <v>113</v>
      </c>
    </row>
    <row r="3" spans="1:25" x14ac:dyDescent="0.25">
      <c r="A3" s="173"/>
      <c r="B3" s="174"/>
      <c r="C3" s="174"/>
      <c r="D3" s="175">
        <v>0.54166666666666663</v>
      </c>
      <c r="E3" s="175">
        <v>0.58333333333333337</v>
      </c>
      <c r="F3" s="172">
        <f>E3-D3</f>
        <v>4.1666666666666741E-2</v>
      </c>
      <c r="G3" s="175">
        <v>0.54166666666666663</v>
      </c>
      <c r="H3" s="175">
        <v>0.58333333333333337</v>
      </c>
      <c r="I3" s="172">
        <f>H3-G3</f>
        <v>4.1666666666666741E-2</v>
      </c>
      <c r="J3" s="175">
        <v>0.54166666666666663</v>
      </c>
      <c r="K3" s="175">
        <v>0.58333333333333337</v>
      </c>
      <c r="L3" s="172">
        <f>K3-J3</f>
        <v>4.1666666666666741E-2</v>
      </c>
      <c r="M3" s="175">
        <v>0.54166666666666663</v>
      </c>
      <c r="N3" s="175">
        <v>0.58333333333333337</v>
      </c>
      <c r="O3" s="172">
        <f>N3-M3</f>
        <v>4.1666666666666741E-2</v>
      </c>
      <c r="P3" s="175">
        <v>0.54166666666666663</v>
      </c>
      <c r="Q3" s="175">
        <v>0.58333333333333337</v>
      </c>
      <c r="R3" s="172">
        <f>Q3-P3</f>
        <v>4.1666666666666741E-2</v>
      </c>
      <c r="S3" s="175">
        <v>0.54166666666666663</v>
      </c>
      <c r="T3" s="175">
        <v>0.58333333333333337</v>
      </c>
      <c r="U3" s="172">
        <f>T3-S3</f>
        <v>4.1666666666666741E-2</v>
      </c>
      <c r="V3" s="175">
        <v>0.54166666666666663</v>
      </c>
      <c r="W3" s="175">
        <v>0.58333333333333337</v>
      </c>
      <c r="X3" s="183">
        <f>W3-V3</f>
        <v>4.1666666666666741E-2</v>
      </c>
      <c r="Y3" s="188">
        <f>SUM(F3,I3,L3,O3,R3,U3,X3)</f>
        <v>0.29166666666666718</v>
      </c>
    </row>
    <row r="4" spans="1:25" x14ac:dyDescent="0.25">
      <c r="A4" s="176"/>
      <c r="B4" s="177"/>
      <c r="C4" s="177"/>
      <c r="D4" s="178"/>
      <c r="E4" s="178"/>
      <c r="F4" s="170">
        <f t="shared" ref="F4:F29" si="0">E4-D4</f>
        <v>0</v>
      </c>
      <c r="G4" s="178"/>
      <c r="H4" s="178"/>
      <c r="I4" s="170">
        <f t="shared" ref="I4:I29" si="1">H4-G4</f>
        <v>0</v>
      </c>
      <c r="J4" s="178"/>
      <c r="K4" s="178"/>
      <c r="L4" s="170">
        <f t="shared" ref="L4:L29" si="2">K4-J4</f>
        <v>0</v>
      </c>
      <c r="M4" s="178"/>
      <c r="N4" s="178"/>
      <c r="O4" s="170">
        <f t="shared" ref="O4:O29" si="3">N4-M4</f>
        <v>0</v>
      </c>
      <c r="P4" s="178"/>
      <c r="Q4" s="178"/>
      <c r="R4" s="170">
        <f t="shared" ref="R4:R29" si="4">Q4-P4</f>
        <v>0</v>
      </c>
      <c r="S4" s="178"/>
      <c r="T4" s="178"/>
      <c r="U4" s="170">
        <f t="shared" ref="U4:U29" si="5">T4-S4</f>
        <v>0</v>
      </c>
      <c r="V4" s="178"/>
      <c r="W4" s="178"/>
      <c r="X4" s="184">
        <f t="shared" ref="X4:X29" si="6">W4-V4</f>
        <v>0</v>
      </c>
      <c r="Y4" s="188">
        <f t="shared" ref="Y4:Y29" si="7">SUM(F4,I4,L4,O4,R4,U4,X4)</f>
        <v>0</v>
      </c>
    </row>
    <row r="5" spans="1:25" x14ac:dyDescent="0.25">
      <c r="A5" s="176"/>
      <c r="B5" s="177"/>
      <c r="C5" s="177"/>
      <c r="D5" s="178"/>
      <c r="E5" s="178"/>
      <c r="F5" s="170">
        <f t="shared" si="0"/>
        <v>0</v>
      </c>
      <c r="G5" s="178"/>
      <c r="H5" s="178"/>
      <c r="I5" s="170">
        <f t="shared" si="1"/>
        <v>0</v>
      </c>
      <c r="J5" s="178"/>
      <c r="K5" s="178"/>
      <c r="L5" s="170">
        <f t="shared" si="2"/>
        <v>0</v>
      </c>
      <c r="M5" s="178"/>
      <c r="N5" s="178"/>
      <c r="O5" s="170">
        <f t="shared" si="3"/>
        <v>0</v>
      </c>
      <c r="P5" s="178"/>
      <c r="Q5" s="178"/>
      <c r="R5" s="170">
        <f t="shared" si="4"/>
        <v>0</v>
      </c>
      <c r="S5" s="178"/>
      <c r="T5" s="178"/>
      <c r="U5" s="170">
        <f t="shared" si="5"/>
        <v>0</v>
      </c>
      <c r="V5" s="178"/>
      <c r="W5" s="178"/>
      <c r="X5" s="184">
        <f t="shared" si="6"/>
        <v>0</v>
      </c>
      <c r="Y5" s="188">
        <f t="shared" si="7"/>
        <v>0</v>
      </c>
    </row>
    <row r="6" spans="1:25" x14ac:dyDescent="0.25">
      <c r="A6" s="176"/>
      <c r="B6" s="177"/>
      <c r="C6" s="177"/>
      <c r="D6" s="178"/>
      <c r="E6" s="178"/>
      <c r="F6" s="170">
        <f t="shared" si="0"/>
        <v>0</v>
      </c>
      <c r="G6" s="178"/>
      <c r="H6" s="178"/>
      <c r="I6" s="170">
        <f t="shared" si="1"/>
        <v>0</v>
      </c>
      <c r="J6" s="178"/>
      <c r="K6" s="178"/>
      <c r="L6" s="170">
        <f t="shared" si="2"/>
        <v>0</v>
      </c>
      <c r="M6" s="178"/>
      <c r="N6" s="178"/>
      <c r="O6" s="170">
        <f t="shared" si="3"/>
        <v>0</v>
      </c>
      <c r="P6" s="178"/>
      <c r="Q6" s="178"/>
      <c r="R6" s="170">
        <f t="shared" si="4"/>
        <v>0</v>
      </c>
      <c r="S6" s="178"/>
      <c r="T6" s="178"/>
      <c r="U6" s="170">
        <f t="shared" si="5"/>
        <v>0</v>
      </c>
      <c r="V6" s="178"/>
      <c r="W6" s="178"/>
      <c r="X6" s="184">
        <f t="shared" si="6"/>
        <v>0</v>
      </c>
      <c r="Y6" s="188">
        <f t="shared" si="7"/>
        <v>0</v>
      </c>
    </row>
    <row r="7" spans="1:25" x14ac:dyDescent="0.25">
      <c r="A7" s="176"/>
      <c r="B7" s="177"/>
      <c r="C7" s="177"/>
      <c r="D7" s="178"/>
      <c r="E7" s="178"/>
      <c r="F7" s="170">
        <f t="shared" si="0"/>
        <v>0</v>
      </c>
      <c r="G7" s="178"/>
      <c r="H7" s="178"/>
      <c r="I7" s="170">
        <f t="shared" si="1"/>
        <v>0</v>
      </c>
      <c r="J7" s="178"/>
      <c r="K7" s="178"/>
      <c r="L7" s="170">
        <f t="shared" si="2"/>
        <v>0</v>
      </c>
      <c r="M7" s="178"/>
      <c r="N7" s="178"/>
      <c r="O7" s="170">
        <f t="shared" si="3"/>
        <v>0</v>
      </c>
      <c r="P7" s="178"/>
      <c r="Q7" s="178"/>
      <c r="R7" s="170">
        <f t="shared" si="4"/>
        <v>0</v>
      </c>
      <c r="S7" s="178"/>
      <c r="T7" s="178"/>
      <c r="U7" s="170">
        <f t="shared" si="5"/>
        <v>0</v>
      </c>
      <c r="V7" s="178"/>
      <c r="W7" s="178"/>
      <c r="X7" s="184">
        <f t="shared" si="6"/>
        <v>0</v>
      </c>
      <c r="Y7" s="188">
        <f t="shared" si="7"/>
        <v>0</v>
      </c>
    </row>
    <row r="8" spans="1:25" x14ac:dyDescent="0.25">
      <c r="A8" s="176"/>
      <c r="B8" s="177"/>
      <c r="C8" s="177"/>
      <c r="D8" s="178"/>
      <c r="E8" s="178"/>
      <c r="F8" s="170">
        <f t="shared" si="0"/>
        <v>0</v>
      </c>
      <c r="G8" s="178"/>
      <c r="H8" s="178"/>
      <c r="I8" s="170">
        <f t="shared" si="1"/>
        <v>0</v>
      </c>
      <c r="J8" s="178"/>
      <c r="K8" s="178"/>
      <c r="L8" s="170">
        <f t="shared" si="2"/>
        <v>0</v>
      </c>
      <c r="M8" s="178"/>
      <c r="N8" s="178"/>
      <c r="O8" s="170">
        <f t="shared" si="3"/>
        <v>0</v>
      </c>
      <c r="P8" s="178"/>
      <c r="Q8" s="178"/>
      <c r="R8" s="170">
        <f t="shared" si="4"/>
        <v>0</v>
      </c>
      <c r="S8" s="178"/>
      <c r="T8" s="178"/>
      <c r="U8" s="170">
        <f t="shared" si="5"/>
        <v>0</v>
      </c>
      <c r="V8" s="178"/>
      <c r="W8" s="178"/>
      <c r="X8" s="184">
        <f t="shared" si="6"/>
        <v>0</v>
      </c>
      <c r="Y8" s="188">
        <f t="shared" si="7"/>
        <v>0</v>
      </c>
    </row>
    <row r="9" spans="1:25" x14ac:dyDescent="0.25">
      <c r="A9" s="176"/>
      <c r="B9" s="177"/>
      <c r="C9" s="177"/>
      <c r="D9" s="178"/>
      <c r="E9" s="178"/>
      <c r="F9" s="170">
        <f t="shared" si="0"/>
        <v>0</v>
      </c>
      <c r="G9" s="178"/>
      <c r="H9" s="178"/>
      <c r="I9" s="170">
        <f t="shared" si="1"/>
        <v>0</v>
      </c>
      <c r="J9" s="178"/>
      <c r="K9" s="178"/>
      <c r="L9" s="170">
        <f t="shared" si="2"/>
        <v>0</v>
      </c>
      <c r="M9" s="178"/>
      <c r="N9" s="178"/>
      <c r="O9" s="170">
        <f t="shared" si="3"/>
        <v>0</v>
      </c>
      <c r="P9" s="178"/>
      <c r="Q9" s="178"/>
      <c r="R9" s="170">
        <f t="shared" si="4"/>
        <v>0</v>
      </c>
      <c r="S9" s="178"/>
      <c r="T9" s="178"/>
      <c r="U9" s="170">
        <f t="shared" si="5"/>
        <v>0</v>
      </c>
      <c r="V9" s="178"/>
      <c r="W9" s="178"/>
      <c r="X9" s="184">
        <f t="shared" si="6"/>
        <v>0</v>
      </c>
      <c r="Y9" s="188">
        <f t="shared" si="7"/>
        <v>0</v>
      </c>
    </row>
    <row r="10" spans="1:25" x14ac:dyDescent="0.25">
      <c r="A10" s="176"/>
      <c r="B10" s="177"/>
      <c r="C10" s="177"/>
      <c r="D10" s="178"/>
      <c r="E10" s="178"/>
      <c r="F10" s="170">
        <f t="shared" si="0"/>
        <v>0</v>
      </c>
      <c r="G10" s="178"/>
      <c r="H10" s="178"/>
      <c r="I10" s="170">
        <f t="shared" si="1"/>
        <v>0</v>
      </c>
      <c r="J10" s="178"/>
      <c r="K10" s="178"/>
      <c r="L10" s="170">
        <f t="shared" si="2"/>
        <v>0</v>
      </c>
      <c r="M10" s="178"/>
      <c r="N10" s="178"/>
      <c r="O10" s="170">
        <f t="shared" si="3"/>
        <v>0</v>
      </c>
      <c r="P10" s="178"/>
      <c r="Q10" s="178"/>
      <c r="R10" s="170">
        <f t="shared" si="4"/>
        <v>0</v>
      </c>
      <c r="S10" s="178"/>
      <c r="T10" s="178"/>
      <c r="U10" s="170">
        <f t="shared" si="5"/>
        <v>0</v>
      </c>
      <c r="V10" s="178"/>
      <c r="W10" s="178"/>
      <c r="X10" s="184">
        <f t="shared" si="6"/>
        <v>0</v>
      </c>
      <c r="Y10" s="188">
        <f t="shared" si="7"/>
        <v>0</v>
      </c>
    </row>
    <row r="11" spans="1:25" x14ac:dyDescent="0.25">
      <c r="A11" s="176"/>
      <c r="B11" s="177"/>
      <c r="C11" s="177"/>
      <c r="D11" s="178"/>
      <c r="E11" s="178"/>
      <c r="F11" s="170">
        <f t="shared" si="0"/>
        <v>0</v>
      </c>
      <c r="G11" s="178"/>
      <c r="H11" s="178"/>
      <c r="I11" s="170">
        <f t="shared" si="1"/>
        <v>0</v>
      </c>
      <c r="J11" s="178"/>
      <c r="K11" s="178"/>
      <c r="L11" s="170">
        <f t="shared" si="2"/>
        <v>0</v>
      </c>
      <c r="M11" s="178"/>
      <c r="N11" s="178"/>
      <c r="O11" s="170">
        <f t="shared" si="3"/>
        <v>0</v>
      </c>
      <c r="P11" s="178"/>
      <c r="Q11" s="178"/>
      <c r="R11" s="170">
        <f t="shared" si="4"/>
        <v>0</v>
      </c>
      <c r="S11" s="178"/>
      <c r="T11" s="178"/>
      <c r="U11" s="170">
        <f t="shared" si="5"/>
        <v>0</v>
      </c>
      <c r="V11" s="178"/>
      <c r="W11" s="178"/>
      <c r="X11" s="184">
        <f t="shared" si="6"/>
        <v>0</v>
      </c>
      <c r="Y11" s="188">
        <f t="shared" si="7"/>
        <v>0</v>
      </c>
    </row>
    <row r="12" spans="1:25" x14ac:dyDescent="0.25">
      <c r="A12" s="176"/>
      <c r="B12" s="177"/>
      <c r="C12" s="177"/>
      <c r="D12" s="178"/>
      <c r="E12" s="178"/>
      <c r="F12" s="170">
        <f t="shared" si="0"/>
        <v>0</v>
      </c>
      <c r="G12" s="178"/>
      <c r="H12" s="178"/>
      <c r="I12" s="170">
        <f t="shared" si="1"/>
        <v>0</v>
      </c>
      <c r="J12" s="178"/>
      <c r="K12" s="178"/>
      <c r="L12" s="170">
        <f t="shared" si="2"/>
        <v>0</v>
      </c>
      <c r="M12" s="178"/>
      <c r="N12" s="178"/>
      <c r="O12" s="170">
        <f t="shared" si="3"/>
        <v>0</v>
      </c>
      <c r="P12" s="178"/>
      <c r="Q12" s="178"/>
      <c r="R12" s="170">
        <f t="shared" si="4"/>
        <v>0</v>
      </c>
      <c r="S12" s="178"/>
      <c r="T12" s="178"/>
      <c r="U12" s="170">
        <f t="shared" si="5"/>
        <v>0</v>
      </c>
      <c r="V12" s="178"/>
      <c r="W12" s="178"/>
      <c r="X12" s="184">
        <f t="shared" si="6"/>
        <v>0</v>
      </c>
      <c r="Y12" s="188">
        <f t="shared" si="7"/>
        <v>0</v>
      </c>
    </row>
    <row r="13" spans="1:25" x14ac:dyDescent="0.25">
      <c r="A13" s="176"/>
      <c r="B13" s="177"/>
      <c r="C13" s="177"/>
      <c r="D13" s="178"/>
      <c r="E13" s="178"/>
      <c r="F13" s="170">
        <f t="shared" si="0"/>
        <v>0</v>
      </c>
      <c r="G13" s="178"/>
      <c r="H13" s="178"/>
      <c r="I13" s="170">
        <f t="shared" si="1"/>
        <v>0</v>
      </c>
      <c r="J13" s="178"/>
      <c r="K13" s="178"/>
      <c r="L13" s="170">
        <f t="shared" si="2"/>
        <v>0</v>
      </c>
      <c r="M13" s="178"/>
      <c r="N13" s="178"/>
      <c r="O13" s="170">
        <f t="shared" si="3"/>
        <v>0</v>
      </c>
      <c r="P13" s="178"/>
      <c r="Q13" s="178"/>
      <c r="R13" s="170">
        <f t="shared" si="4"/>
        <v>0</v>
      </c>
      <c r="S13" s="178"/>
      <c r="T13" s="178"/>
      <c r="U13" s="170">
        <f t="shared" si="5"/>
        <v>0</v>
      </c>
      <c r="V13" s="178"/>
      <c r="W13" s="178"/>
      <c r="X13" s="184">
        <f t="shared" si="6"/>
        <v>0</v>
      </c>
      <c r="Y13" s="188">
        <f t="shared" si="7"/>
        <v>0</v>
      </c>
    </row>
    <row r="14" spans="1:25" x14ac:dyDescent="0.25">
      <c r="A14" s="176"/>
      <c r="B14" s="177"/>
      <c r="C14" s="177"/>
      <c r="D14" s="178"/>
      <c r="E14" s="178"/>
      <c r="F14" s="170">
        <f t="shared" si="0"/>
        <v>0</v>
      </c>
      <c r="G14" s="178"/>
      <c r="H14" s="178"/>
      <c r="I14" s="170">
        <f t="shared" si="1"/>
        <v>0</v>
      </c>
      <c r="J14" s="178"/>
      <c r="K14" s="178"/>
      <c r="L14" s="170">
        <f t="shared" si="2"/>
        <v>0</v>
      </c>
      <c r="M14" s="178"/>
      <c r="N14" s="178"/>
      <c r="O14" s="170">
        <f t="shared" si="3"/>
        <v>0</v>
      </c>
      <c r="P14" s="178"/>
      <c r="Q14" s="178"/>
      <c r="R14" s="170">
        <f t="shared" si="4"/>
        <v>0</v>
      </c>
      <c r="S14" s="178"/>
      <c r="T14" s="178"/>
      <c r="U14" s="170">
        <f t="shared" si="5"/>
        <v>0</v>
      </c>
      <c r="V14" s="178"/>
      <c r="W14" s="178"/>
      <c r="X14" s="184">
        <f t="shared" si="6"/>
        <v>0</v>
      </c>
      <c r="Y14" s="188">
        <f t="shared" si="7"/>
        <v>0</v>
      </c>
    </row>
    <row r="15" spans="1:25" x14ac:dyDescent="0.25">
      <c r="A15" s="176"/>
      <c r="B15" s="177"/>
      <c r="C15" s="177"/>
      <c r="D15" s="178"/>
      <c r="E15" s="178"/>
      <c r="F15" s="170">
        <f t="shared" si="0"/>
        <v>0</v>
      </c>
      <c r="G15" s="178"/>
      <c r="H15" s="178"/>
      <c r="I15" s="170">
        <f t="shared" si="1"/>
        <v>0</v>
      </c>
      <c r="J15" s="178"/>
      <c r="K15" s="178"/>
      <c r="L15" s="170">
        <f t="shared" si="2"/>
        <v>0</v>
      </c>
      <c r="M15" s="178"/>
      <c r="N15" s="178"/>
      <c r="O15" s="170">
        <f t="shared" si="3"/>
        <v>0</v>
      </c>
      <c r="P15" s="178"/>
      <c r="Q15" s="178"/>
      <c r="R15" s="170">
        <f t="shared" si="4"/>
        <v>0</v>
      </c>
      <c r="S15" s="178"/>
      <c r="T15" s="178"/>
      <c r="U15" s="170">
        <f t="shared" si="5"/>
        <v>0</v>
      </c>
      <c r="V15" s="178"/>
      <c r="W15" s="178"/>
      <c r="X15" s="184">
        <f t="shared" si="6"/>
        <v>0</v>
      </c>
      <c r="Y15" s="188">
        <f t="shared" si="7"/>
        <v>0</v>
      </c>
    </row>
    <row r="16" spans="1:25" x14ac:dyDescent="0.25">
      <c r="A16" s="176"/>
      <c r="B16" s="177"/>
      <c r="C16" s="177"/>
      <c r="D16" s="178"/>
      <c r="E16" s="178"/>
      <c r="F16" s="170">
        <f t="shared" si="0"/>
        <v>0</v>
      </c>
      <c r="G16" s="178"/>
      <c r="H16" s="178"/>
      <c r="I16" s="170">
        <f t="shared" si="1"/>
        <v>0</v>
      </c>
      <c r="J16" s="178"/>
      <c r="K16" s="178"/>
      <c r="L16" s="170">
        <f t="shared" si="2"/>
        <v>0</v>
      </c>
      <c r="M16" s="178"/>
      <c r="N16" s="178"/>
      <c r="O16" s="170">
        <f t="shared" si="3"/>
        <v>0</v>
      </c>
      <c r="P16" s="178"/>
      <c r="Q16" s="178"/>
      <c r="R16" s="170">
        <f t="shared" si="4"/>
        <v>0</v>
      </c>
      <c r="S16" s="178"/>
      <c r="T16" s="178"/>
      <c r="U16" s="170">
        <f t="shared" si="5"/>
        <v>0</v>
      </c>
      <c r="V16" s="178"/>
      <c r="W16" s="178"/>
      <c r="X16" s="184">
        <f t="shared" si="6"/>
        <v>0</v>
      </c>
      <c r="Y16" s="188">
        <f t="shared" si="7"/>
        <v>0</v>
      </c>
    </row>
    <row r="17" spans="1:25" x14ac:dyDescent="0.25">
      <c r="A17" s="176"/>
      <c r="B17" s="177"/>
      <c r="C17" s="177"/>
      <c r="D17" s="178"/>
      <c r="E17" s="178"/>
      <c r="F17" s="170">
        <f t="shared" si="0"/>
        <v>0</v>
      </c>
      <c r="G17" s="178"/>
      <c r="H17" s="178"/>
      <c r="I17" s="170">
        <f t="shared" si="1"/>
        <v>0</v>
      </c>
      <c r="J17" s="178"/>
      <c r="K17" s="178"/>
      <c r="L17" s="170">
        <f t="shared" si="2"/>
        <v>0</v>
      </c>
      <c r="M17" s="178"/>
      <c r="N17" s="178"/>
      <c r="O17" s="170">
        <f t="shared" si="3"/>
        <v>0</v>
      </c>
      <c r="P17" s="178"/>
      <c r="Q17" s="178"/>
      <c r="R17" s="170">
        <f t="shared" si="4"/>
        <v>0</v>
      </c>
      <c r="S17" s="178"/>
      <c r="T17" s="178"/>
      <c r="U17" s="170">
        <f t="shared" si="5"/>
        <v>0</v>
      </c>
      <c r="V17" s="178"/>
      <c r="W17" s="178"/>
      <c r="X17" s="184">
        <f t="shared" si="6"/>
        <v>0</v>
      </c>
      <c r="Y17" s="188">
        <f t="shared" si="7"/>
        <v>0</v>
      </c>
    </row>
    <row r="18" spans="1:25" x14ac:dyDescent="0.25">
      <c r="A18" s="176"/>
      <c r="B18" s="177"/>
      <c r="C18" s="177"/>
      <c r="D18" s="178"/>
      <c r="E18" s="178"/>
      <c r="F18" s="170">
        <f t="shared" si="0"/>
        <v>0</v>
      </c>
      <c r="G18" s="178"/>
      <c r="H18" s="178"/>
      <c r="I18" s="170">
        <f t="shared" si="1"/>
        <v>0</v>
      </c>
      <c r="J18" s="178"/>
      <c r="K18" s="178"/>
      <c r="L18" s="170">
        <f t="shared" si="2"/>
        <v>0</v>
      </c>
      <c r="M18" s="178"/>
      <c r="N18" s="178"/>
      <c r="O18" s="170">
        <f t="shared" si="3"/>
        <v>0</v>
      </c>
      <c r="P18" s="178"/>
      <c r="Q18" s="178"/>
      <c r="R18" s="170">
        <f t="shared" si="4"/>
        <v>0</v>
      </c>
      <c r="S18" s="178"/>
      <c r="T18" s="178"/>
      <c r="U18" s="170">
        <f t="shared" si="5"/>
        <v>0</v>
      </c>
      <c r="V18" s="178"/>
      <c r="W18" s="178"/>
      <c r="X18" s="184">
        <f t="shared" si="6"/>
        <v>0</v>
      </c>
      <c r="Y18" s="188">
        <f t="shared" si="7"/>
        <v>0</v>
      </c>
    </row>
    <row r="19" spans="1:25" x14ac:dyDescent="0.25">
      <c r="A19" s="176"/>
      <c r="B19" s="177"/>
      <c r="C19" s="177"/>
      <c r="D19" s="178"/>
      <c r="E19" s="178"/>
      <c r="F19" s="170">
        <f t="shared" si="0"/>
        <v>0</v>
      </c>
      <c r="G19" s="178"/>
      <c r="H19" s="178"/>
      <c r="I19" s="170">
        <f t="shared" si="1"/>
        <v>0</v>
      </c>
      <c r="J19" s="178"/>
      <c r="K19" s="178"/>
      <c r="L19" s="170">
        <f t="shared" si="2"/>
        <v>0</v>
      </c>
      <c r="M19" s="178"/>
      <c r="N19" s="178"/>
      <c r="O19" s="170">
        <f t="shared" si="3"/>
        <v>0</v>
      </c>
      <c r="P19" s="178"/>
      <c r="Q19" s="178"/>
      <c r="R19" s="170">
        <f t="shared" si="4"/>
        <v>0</v>
      </c>
      <c r="S19" s="178"/>
      <c r="T19" s="178"/>
      <c r="U19" s="170">
        <f t="shared" si="5"/>
        <v>0</v>
      </c>
      <c r="V19" s="178"/>
      <c r="W19" s="178"/>
      <c r="X19" s="184">
        <f t="shared" si="6"/>
        <v>0</v>
      </c>
      <c r="Y19" s="188">
        <f t="shared" si="7"/>
        <v>0</v>
      </c>
    </row>
    <row r="20" spans="1:25" x14ac:dyDescent="0.25">
      <c r="A20" s="176"/>
      <c r="B20" s="177"/>
      <c r="C20" s="177"/>
      <c r="D20" s="178"/>
      <c r="E20" s="178"/>
      <c r="F20" s="170">
        <f t="shared" si="0"/>
        <v>0</v>
      </c>
      <c r="G20" s="178"/>
      <c r="H20" s="178"/>
      <c r="I20" s="170">
        <f t="shared" si="1"/>
        <v>0</v>
      </c>
      <c r="J20" s="178"/>
      <c r="K20" s="178"/>
      <c r="L20" s="170">
        <f t="shared" si="2"/>
        <v>0</v>
      </c>
      <c r="M20" s="178"/>
      <c r="N20" s="178"/>
      <c r="O20" s="170">
        <f t="shared" si="3"/>
        <v>0</v>
      </c>
      <c r="P20" s="178"/>
      <c r="Q20" s="178"/>
      <c r="R20" s="170">
        <f t="shared" si="4"/>
        <v>0</v>
      </c>
      <c r="S20" s="178"/>
      <c r="T20" s="178"/>
      <c r="U20" s="170">
        <f t="shared" si="5"/>
        <v>0</v>
      </c>
      <c r="V20" s="178"/>
      <c r="W20" s="178"/>
      <c r="X20" s="184">
        <f t="shared" si="6"/>
        <v>0</v>
      </c>
      <c r="Y20" s="188">
        <f t="shared" si="7"/>
        <v>0</v>
      </c>
    </row>
    <row r="21" spans="1:25" x14ac:dyDescent="0.25">
      <c r="A21" s="176"/>
      <c r="B21" s="177"/>
      <c r="C21" s="177"/>
      <c r="D21" s="178"/>
      <c r="E21" s="178"/>
      <c r="F21" s="170">
        <f t="shared" si="0"/>
        <v>0</v>
      </c>
      <c r="G21" s="178"/>
      <c r="H21" s="178"/>
      <c r="I21" s="170">
        <f t="shared" si="1"/>
        <v>0</v>
      </c>
      <c r="J21" s="178"/>
      <c r="K21" s="178"/>
      <c r="L21" s="170">
        <f t="shared" si="2"/>
        <v>0</v>
      </c>
      <c r="M21" s="178"/>
      <c r="N21" s="178"/>
      <c r="O21" s="170">
        <f t="shared" si="3"/>
        <v>0</v>
      </c>
      <c r="P21" s="178"/>
      <c r="Q21" s="178"/>
      <c r="R21" s="170">
        <f t="shared" si="4"/>
        <v>0</v>
      </c>
      <c r="S21" s="178"/>
      <c r="T21" s="178"/>
      <c r="U21" s="170">
        <f t="shared" si="5"/>
        <v>0</v>
      </c>
      <c r="V21" s="178"/>
      <c r="W21" s="178"/>
      <c r="X21" s="184">
        <f t="shared" si="6"/>
        <v>0</v>
      </c>
      <c r="Y21" s="188">
        <f t="shared" si="7"/>
        <v>0</v>
      </c>
    </row>
    <row r="22" spans="1:25" x14ac:dyDescent="0.25">
      <c r="A22" s="176"/>
      <c r="B22" s="177"/>
      <c r="C22" s="177"/>
      <c r="D22" s="178"/>
      <c r="E22" s="178"/>
      <c r="F22" s="170">
        <f t="shared" si="0"/>
        <v>0</v>
      </c>
      <c r="G22" s="178"/>
      <c r="H22" s="178"/>
      <c r="I22" s="170">
        <f t="shared" si="1"/>
        <v>0</v>
      </c>
      <c r="J22" s="178"/>
      <c r="K22" s="178"/>
      <c r="L22" s="170">
        <f t="shared" si="2"/>
        <v>0</v>
      </c>
      <c r="M22" s="178"/>
      <c r="N22" s="178"/>
      <c r="O22" s="170">
        <f t="shared" si="3"/>
        <v>0</v>
      </c>
      <c r="P22" s="178"/>
      <c r="Q22" s="178"/>
      <c r="R22" s="170">
        <f t="shared" si="4"/>
        <v>0</v>
      </c>
      <c r="S22" s="178"/>
      <c r="T22" s="178"/>
      <c r="U22" s="170">
        <f t="shared" si="5"/>
        <v>0</v>
      </c>
      <c r="V22" s="178"/>
      <c r="W22" s="178"/>
      <c r="X22" s="184">
        <f t="shared" si="6"/>
        <v>0</v>
      </c>
      <c r="Y22" s="188">
        <f t="shared" si="7"/>
        <v>0</v>
      </c>
    </row>
    <row r="23" spans="1:25" x14ac:dyDescent="0.25">
      <c r="A23" s="176"/>
      <c r="B23" s="177"/>
      <c r="C23" s="177"/>
      <c r="D23" s="178"/>
      <c r="E23" s="178"/>
      <c r="F23" s="170">
        <f t="shared" si="0"/>
        <v>0</v>
      </c>
      <c r="G23" s="178"/>
      <c r="H23" s="178"/>
      <c r="I23" s="170">
        <f t="shared" si="1"/>
        <v>0</v>
      </c>
      <c r="J23" s="178"/>
      <c r="K23" s="178"/>
      <c r="L23" s="170">
        <f t="shared" si="2"/>
        <v>0</v>
      </c>
      <c r="M23" s="178"/>
      <c r="N23" s="178"/>
      <c r="O23" s="170">
        <f t="shared" si="3"/>
        <v>0</v>
      </c>
      <c r="P23" s="178"/>
      <c r="Q23" s="178"/>
      <c r="R23" s="170">
        <f t="shared" si="4"/>
        <v>0</v>
      </c>
      <c r="S23" s="178"/>
      <c r="T23" s="178"/>
      <c r="U23" s="170">
        <f t="shared" si="5"/>
        <v>0</v>
      </c>
      <c r="V23" s="178"/>
      <c r="W23" s="178"/>
      <c r="X23" s="184">
        <f t="shared" si="6"/>
        <v>0</v>
      </c>
      <c r="Y23" s="188">
        <f t="shared" si="7"/>
        <v>0</v>
      </c>
    </row>
    <row r="24" spans="1:25" x14ac:dyDescent="0.25">
      <c r="A24" s="176"/>
      <c r="B24" s="177"/>
      <c r="C24" s="177"/>
      <c r="D24" s="178"/>
      <c r="E24" s="178"/>
      <c r="F24" s="170">
        <f t="shared" si="0"/>
        <v>0</v>
      </c>
      <c r="G24" s="178"/>
      <c r="H24" s="178"/>
      <c r="I24" s="170">
        <f t="shared" si="1"/>
        <v>0</v>
      </c>
      <c r="J24" s="178"/>
      <c r="K24" s="178"/>
      <c r="L24" s="170">
        <f t="shared" si="2"/>
        <v>0</v>
      </c>
      <c r="M24" s="178"/>
      <c r="N24" s="178"/>
      <c r="O24" s="170">
        <f t="shared" si="3"/>
        <v>0</v>
      </c>
      <c r="P24" s="178"/>
      <c r="Q24" s="178"/>
      <c r="R24" s="170">
        <f t="shared" si="4"/>
        <v>0</v>
      </c>
      <c r="S24" s="178"/>
      <c r="T24" s="178"/>
      <c r="U24" s="170">
        <f t="shared" si="5"/>
        <v>0</v>
      </c>
      <c r="V24" s="178"/>
      <c r="W24" s="178"/>
      <c r="X24" s="184">
        <f t="shared" si="6"/>
        <v>0</v>
      </c>
      <c r="Y24" s="188">
        <f t="shared" si="7"/>
        <v>0</v>
      </c>
    </row>
    <row r="25" spans="1:25" x14ac:dyDescent="0.25">
      <c r="A25" s="176"/>
      <c r="B25" s="177"/>
      <c r="C25" s="177"/>
      <c r="D25" s="178"/>
      <c r="E25" s="178"/>
      <c r="F25" s="170">
        <f t="shared" si="0"/>
        <v>0</v>
      </c>
      <c r="G25" s="178"/>
      <c r="H25" s="178"/>
      <c r="I25" s="170">
        <f t="shared" si="1"/>
        <v>0</v>
      </c>
      <c r="J25" s="178"/>
      <c r="K25" s="178"/>
      <c r="L25" s="170">
        <f t="shared" si="2"/>
        <v>0</v>
      </c>
      <c r="M25" s="178"/>
      <c r="N25" s="178"/>
      <c r="O25" s="170">
        <f t="shared" si="3"/>
        <v>0</v>
      </c>
      <c r="P25" s="178"/>
      <c r="Q25" s="178"/>
      <c r="R25" s="170">
        <f t="shared" si="4"/>
        <v>0</v>
      </c>
      <c r="S25" s="178"/>
      <c r="T25" s="178"/>
      <c r="U25" s="170">
        <f t="shared" si="5"/>
        <v>0</v>
      </c>
      <c r="V25" s="178"/>
      <c r="W25" s="178"/>
      <c r="X25" s="184">
        <f t="shared" si="6"/>
        <v>0</v>
      </c>
      <c r="Y25" s="188">
        <f t="shared" si="7"/>
        <v>0</v>
      </c>
    </row>
    <row r="26" spans="1:25" x14ac:dyDescent="0.25">
      <c r="A26" s="176"/>
      <c r="B26" s="177"/>
      <c r="C26" s="177"/>
      <c r="D26" s="178"/>
      <c r="E26" s="178"/>
      <c r="F26" s="170">
        <f t="shared" si="0"/>
        <v>0</v>
      </c>
      <c r="G26" s="178"/>
      <c r="H26" s="178"/>
      <c r="I26" s="170">
        <f t="shared" si="1"/>
        <v>0</v>
      </c>
      <c r="J26" s="178"/>
      <c r="K26" s="178"/>
      <c r="L26" s="170">
        <f t="shared" si="2"/>
        <v>0</v>
      </c>
      <c r="M26" s="178"/>
      <c r="N26" s="178"/>
      <c r="O26" s="170">
        <f t="shared" si="3"/>
        <v>0</v>
      </c>
      <c r="P26" s="178"/>
      <c r="Q26" s="178"/>
      <c r="R26" s="170">
        <f t="shared" si="4"/>
        <v>0</v>
      </c>
      <c r="S26" s="178"/>
      <c r="T26" s="178"/>
      <c r="U26" s="170">
        <f t="shared" si="5"/>
        <v>0</v>
      </c>
      <c r="V26" s="178"/>
      <c r="W26" s="178"/>
      <c r="X26" s="184">
        <f t="shared" si="6"/>
        <v>0</v>
      </c>
      <c r="Y26" s="188">
        <f t="shared" si="7"/>
        <v>0</v>
      </c>
    </row>
    <row r="27" spans="1:25" x14ac:dyDescent="0.25">
      <c r="A27" s="176"/>
      <c r="B27" s="177"/>
      <c r="C27" s="177"/>
      <c r="D27" s="178"/>
      <c r="E27" s="178"/>
      <c r="F27" s="170">
        <f t="shared" si="0"/>
        <v>0</v>
      </c>
      <c r="G27" s="178"/>
      <c r="H27" s="178"/>
      <c r="I27" s="170">
        <f t="shared" si="1"/>
        <v>0</v>
      </c>
      <c r="J27" s="178"/>
      <c r="K27" s="178"/>
      <c r="L27" s="170">
        <f t="shared" si="2"/>
        <v>0</v>
      </c>
      <c r="M27" s="178"/>
      <c r="N27" s="178"/>
      <c r="O27" s="170">
        <f t="shared" si="3"/>
        <v>0</v>
      </c>
      <c r="P27" s="178"/>
      <c r="Q27" s="178"/>
      <c r="R27" s="170">
        <f t="shared" si="4"/>
        <v>0</v>
      </c>
      <c r="S27" s="178"/>
      <c r="T27" s="178"/>
      <c r="U27" s="170">
        <f t="shared" si="5"/>
        <v>0</v>
      </c>
      <c r="V27" s="178"/>
      <c r="W27" s="178"/>
      <c r="X27" s="184">
        <f t="shared" si="6"/>
        <v>0</v>
      </c>
      <c r="Y27" s="188">
        <f t="shared" si="7"/>
        <v>0</v>
      </c>
    </row>
    <row r="28" spans="1:25" x14ac:dyDescent="0.25">
      <c r="A28" s="176"/>
      <c r="B28" s="177"/>
      <c r="C28" s="177"/>
      <c r="D28" s="178"/>
      <c r="E28" s="178"/>
      <c r="F28" s="170">
        <f t="shared" si="0"/>
        <v>0</v>
      </c>
      <c r="G28" s="178"/>
      <c r="H28" s="178"/>
      <c r="I28" s="170">
        <f t="shared" si="1"/>
        <v>0</v>
      </c>
      <c r="J28" s="178"/>
      <c r="K28" s="178"/>
      <c r="L28" s="170">
        <f t="shared" si="2"/>
        <v>0</v>
      </c>
      <c r="M28" s="178"/>
      <c r="N28" s="178"/>
      <c r="O28" s="170">
        <f t="shared" si="3"/>
        <v>0</v>
      </c>
      <c r="P28" s="178"/>
      <c r="Q28" s="178"/>
      <c r="R28" s="170">
        <f t="shared" si="4"/>
        <v>0</v>
      </c>
      <c r="S28" s="178"/>
      <c r="T28" s="178"/>
      <c r="U28" s="170">
        <f t="shared" si="5"/>
        <v>0</v>
      </c>
      <c r="V28" s="178"/>
      <c r="W28" s="178"/>
      <c r="X28" s="184">
        <f t="shared" si="6"/>
        <v>0</v>
      </c>
      <c r="Y28" s="188">
        <f t="shared" si="7"/>
        <v>0</v>
      </c>
    </row>
    <row r="29" spans="1:25" ht="15.75" thickBot="1" x14ac:dyDescent="0.3">
      <c r="A29" s="179"/>
      <c r="B29" s="180"/>
      <c r="C29" s="180"/>
      <c r="D29" s="181"/>
      <c r="E29" s="181"/>
      <c r="F29" s="171">
        <f t="shared" si="0"/>
        <v>0</v>
      </c>
      <c r="G29" s="181"/>
      <c r="H29" s="181"/>
      <c r="I29" s="171">
        <f t="shared" si="1"/>
        <v>0</v>
      </c>
      <c r="J29" s="181"/>
      <c r="K29" s="181"/>
      <c r="L29" s="171">
        <f t="shared" si="2"/>
        <v>0</v>
      </c>
      <c r="M29" s="181"/>
      <c r="N29" s="181"/>
      <c r="O29" s="171">
        <f t="shared" si="3"/>
        <v>0</v>
      </c>
      <c r="P29" s="181"/>
      <c r="Q29" s="181"/>
      <c r="R29" s="171">
        <f t="shared" si="4"/>
        <v>0</v>
      </c>
      <c r="S29" s="181"/>
      <c r="T29" s="181"/>
      <c r="U29" s="171">
        <f t="shared" si="5"/>
        <v>0</v>
      </c>
      <c r="V29" s="181"/>
      <c r="W29" s="181"/>
      <c r="X29" s="185">
        <f t="shared" si="6"/>
        <v>0</v>
      </c>
      <c r="Y29" s="189">
        <f t="shared" si="7"/>
        <v>0</v>
      </c>
    </row>
  </sheetData>
  <mergeCells count="10">
    <mergeCell ref="A1:A2"/>
    <mergeCell ref="B1:B2"/>
    <mergeCell ref="C1:C2"/>
    <mergeCell ref="V1:X1"/>
    <mergeCell ref="D1:F1"/>
    <mergeCell ref="G1:I1"/>
    <mergeCell ref="J1:L1"/>
    <mergeCell ref="M1:O1"/>
    <mergeCell ref="S1:U1"/>
    <mergeCell ref="P1:R1"/>
  </mergeCells>
  <conditionalFormatting sqref="F3:F29 I3:I29 L3:L29 O3:O29 R3:R29 U3:U29 X3:X29">
    <cfRule type="cellIs" dxfId="3" priority="2" operator="equal">
      <formula>0</formula>
    </cfRule>
  </conditionalFormatting>
  <conditionalFormatting sqref="Y3:Y29">
    <cfRule type="cellIs" dxfId="2" priority="1" operator="equal">
      <formula>0</formula>
    </cfRule>
  </conditionalFormatting>
  <dataValidations count="3">
    <dataValidation type="time" operator="lessThan" allowBlank="1" showInputMessage="1" showErrorMessage="1" sqref="D3:D29 G3:G29 S3:S29 J3:J29 M3:M29 P3:P29 V3:V29">
      <formula1>E3</formula1>
    </dataValidation>
    <dataValidation type="time" operator="greaterThan" allowBlank="1" showInputMessage="1" showErrorMessage="1" sqref="E3:E29 H3:H29 T3:T29 K3:K29 N3:N29 Q3:Q29 W3:W29">
      <formula1>D3</formula1>
    </dataValidation>
    <dataValidation type="list" allowBlank="1" showInputMessage="1" showErrorMessage="1" sqref="C3:C29">
      <formula1>Dept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tabColor rgb="FFFFFF00"/>
  </sheetPr>
  <dimension ref="A1:AC40"/>
  <sheetViews>
    <sheetView workbookViewId="0">
      <selection activeCell="A4" sqref="A4:A18"/>
    </sheetView>
  </sheetViews>
  <sheetFormatPr defaultRowHeight="15" x14ac:dyDescent="0.25"/>
  <cols>
    <col min="1" max="1" width="16.28515625" customWidth="1"/>
    <col min="2" max="2" width="1.42578125" customWidth="1"/>
    <col min="5" max="8" width="10.7109375" customWidth="1"/>
    <col min="10" max="10" width="1.42578125" customWidth="1"/>
    <col min="13" max="16" width="10.7109375" customWidth="1"/>
    <col min="18" max="18" width="1.42578125" customWidth="1"/>
    <col min="20" max="20" width="10.85546875" bestFit="1" customWidth="1"/>
    <col min="22" max="22" width="2.85546875" style="218" customWidth="1"/>
    <col min="23" max="23" width="12" customWidth="1"/>
    <col min="28" max="28" width="14" customWidth="1"/>
  </cols>
  <sheetData>
    <row r="1" spans="1:29" x14ac:dyDescent="0.25">
      <c r="A1" s="52"/>
      <c r="B1" s="146"/>
      <c r="C1" s="53"/>
      <c r="D1" s="53"/>
      <c r="E1" s="278" t="s">
        <v>82</v>
      </c>
      <c r="F1" s="278"/>
      <c r="G1" s="278"/>
      <c r="H1" s="278"/>
      <c r="I1" s="54"/>
      <c r="J1" s="146"/>
      <c r="K1" s="55"/>
      <c r="L1" s="55"/>
      <c r="M1" s="278" t="s">
        <v>82</v>
      </c>
      <c r="N1" s="278"/>
      <c r="O1" s="278"/>
      <c r="P1" s="278"/>
      <c r="Q1" s="55"/>
      <c r="R1" s="146"/>
      <c r="S1" s="56" t="s">
        <v>37</v>
      </c>
      <c r="T1" s="56" t="s">
        <v>37</v>
      </c>
      <c r="W1" s="219" t="s">
        <v>127</v>
      </c>
    </row>
    <row r="2" spans="1:29" x14ac:dyDescent="0.25">
      <c r="A2" s="52" t="s">
        <v>0</v>
      </c>
      <c r="B2" s="146"/>
      <c r="C2" s="53" t="s">
        <v>83</v>
      </c>
      <c r="D2" s="53" t="s">
        <v>32</v>
      </c>
      <c r="E2" s="112" t="str">
        <f>'Agency Rates'!I1</f>
        <v/>
      </c>
      <c r="F2" s="112" t="str">
        <f>'Agency Rates'!I2</f>
        <v/>
      </c>
      <c r="G2" s="112" t="str">
        <f>'Agency Rates'!I3</f>
        <v/>
      </c>
      <c r="H2" s="112" t="str">
        <f>'Agency Rates'!I4</f>
        <v/>
      </c>
      <c r="I2" s="112" t="s">
        <v>93</v>
      </c>
      <c r="J2" s="146"/>
      <c r="K2" s="53" t="s">
        <v>83</v>
      </c>
      <c r="L2" s="55" t="s">
        <v>33</v>
      </c>
      <c r="M2" s="112" t="str">
        <f>'Agency Rates'!I1</f>
        <v/>
      </c>
      <c r="N2" s="112" t="str">
        <f>'Agency Rates'!I2</f>
        <v/>
      </c>
      <c r="O2" s="112" t="str">
        <f>'Agency Rates'!I3</f>
        <v/>
      </c>
      <c r="P2" s="112" t="str">
        <f>'Agency Rates'!I4</f>
        <v/>
      </c>
      <c r="Q2" s="54" t="s">
        <v>84</v>
      </c>
      <c r="R2" s="146"/>
      <c r="S2" s="57" t="s">
        <v>82</v>
      </c>
      <c r="T2" s="57" t="s">
        <v>46</v>
      </c>
    </row>
    <row r="3" spans="1:29" x14ac:dyDescent="0.25">
      <c r="A3" s="52"/>
      <c r="B3" s="146"/>
      <c r="C3" s="53"/>
      <c r="D3" s="53"/>
      <c r="E3" s="54">
        <f>IFERROR(VLOOKUP(CONCATENATE(Info!$B$3,"-",Summary!E$2),'Agency Rates'!$A:$D,4,0),0)</f>
        <v>0</v>
      </c>
      <c r="F3" s="54">
        <f>IFERROR(VLOOKUP(CONCATENATE(Info!$B$3,"-",Summary!F$2),'Agency Rates'!$A:$D,4,0),0)</f>
        <v>0</v>
      </c>
      <c r="G3" s="54">
        <f>IFERROR(VLOOKUP(CONCATENATE(Info!$B$3,"-",Summary!G$2),'Agency Rates'!$A:$D,4,0),0)</f>
        <v>0</v>
      </c>
      <c r="H3" s="54">
        <f>IFERROR(VLOOKUP(CONCATENATE(Info!$B$3,"-",Summary!H$2),'Agency Rates'!$A:$D,4,0),0)</f>
        <v>0</v>
      </c>
      <c r="I3" s="54"/>
      <c r="J3" s="146"/>
      <c r="K3" s="53"/>
      <c r="L3" s="55"/>
      <c r="M3" s="54">
        <f>IFERROR(VLOOKUP(CONCATENATE(Info!$B$3,"-",Summary!M$2),'Agency Rates'!$A:$D,4,0),0)</f>
        <v>0</v>
      </c>
      <c r="N3" s="54">
        <f>IFERROR(VLOOKUP(CONCATENATE(Info!$B$3,"-",Summary!N$2),'Agency Rates'!$A:$D,4,0),0)</f>
        <v>0</v>
      </c>
      <c r="O3" s="54">
        <f>IFERROR(VLOOKUP(CONCATENATE(Info!$B$3,"-",Summary!O$2),'Agency Rates'!$A:$D,4,0),0)</f>
        <v>0</v>
      </c>
      <c r="P3" s="54">
        <f>IFERROR(VLOOKUP(CONCATENATE(Info!$B$3,"-",Summary!P$2),'Agency Rates'!$A:$D,4,0),0)</f>
        <v>0</v>
      </c>
      <c r="Q3" s="54"/>
      <c r="R3" s="146"/>
      <c r="S3" s="57"/>
      <c r="T3" s="57"/>
      <c r="W3" s="277" t="s">
        <v>128</v>
      </c>
      <c r="X3" s="277"/>
      <c r="Y3" s="220"/>
    </row>
    <row r="4" spans="1:29" x14ac:dyDescent="0.25">
      <c r="A4" s="58" t="s">
        <v>17</v>
      </c>
      <c r="B4" s="146"/>
      <c r="C4" s="113"/>
      <c r="D4" s="114"/>
      <c r="E4" s="119">
        <f ca="1">SUMIFS(Sunday!$W:$W,Sunday!$A:$A,Summary!$A4,Sunday!$H:$H,Summary!E$2,Sunday!$B:$B,Summary!$D$2)+
SUMIFS(Monday!$W:$W,Monday!$A:$A,Summary!$A4,Monday!$H:$H,Summary!E$2,Monday!$B:$B,Summary!$D$2)+
SUMIFS(Tuesday!$W:$W,Tuesday!$A:$A,Summary!$A4,Tuesday!$H:$H,Summary!E$2,Tuesday!$B:$B,Summary!$D$2)+
SUMIFS(Wednesday!$W:$W,Wednesday!$A:$A,Summary!$A4,Wednesday!$H:$H,Summary!E$2,Wednesday!$B:$B,Summary!$D$2)+
SUMIFS(Thursday!$W:$W,Thursday!$A:$A,Summary!$A4,Thursday!$H:$H,Summary!E$2,Thursday!$B:$B,Summary!$D$2)+
SUMIFS(Friday!$W:$W,Friday!$A:$A,Summary!$A4,Friday!$H:$H,Summary!E$2,Friday!$B:$B,Summary!$D$2)+
SUMIFS(Saturday!$W:$W,Saturday!$A:$A,Summary!$A4,Saturday!$H:$H,Summary!E$2,Saturday!$B:$B,Summary!$D$2)</f>
        <v>0</v>
      </c>
      <c r="F4" s="119">
        <f ca="1">SUMIFS(Sunday!$W:$W,Sunday!$A:$A,Summary!$A4,Sunday!$H:$H,Summary!F$2,Sunday!$B:$B,Summary!$D$2)+
SUMIFS(Monday!$W:$W,Monday!$A:$A,Summary!$A4,Monday!$H:$H,Summary!F$2,Monday!$B:$B,Summary!$D$2)+
SUMIFS(Tuesday!$W:$W,Tuesday!$A:$A,Summary!$A4,Tuesday!$H:$H,Summary!F$2,Tuesday!$B:$B,Summary!$D$2)+
SUMIFS(Wednesday!$W:$W,Wednesday!$A:$A,Summary!$A4,Wednesday!$H:$H,Summary!F$2,Wednesday!$B:$B,Summary!$D$2)+
SUMIFS(Thursday!$W:$W,Thursday!$A:$A,Summary!$A4,Thursday!$H:$H,Summary!F$2,Thursday!$B:$B,Summary!$D$2)+
SUMIFS(Friday!$W:$W,Friday!$A:$A,Summary!$A4,Friday!$H:$H,Summary!F$2,Friday!$B:$B,Summary!$D$2)+
SUMIFS(Saturday!$W:$W,Saturday!$A:$A,Summary!$A4,Saturday!$H:$H,Summary!F$2,Saturday!$B:$B,Summary!$D$2)</f>
        <v>0</v>
      </c>
      <c r="G4" s="119">
        <f ca="1">SUMIFS(Sunday!$W:$W,Sunday!$A:$A,Summary!$A4,Sunday!$H:$H,Summary!G$2,Sunday!$B:$B,Summary!$D$2)+
SUMIFS(Monday!$W:$W,Monday!$A:$A,Summary!$A4,Monday!$H:$H,Summary!G$2,Monday!$B:$B,Summary!$D$2)+
SUMIFS(Tuesday!$W:$W,Tuesday!$A:$A,Summary!$A4,Tuesday!$H:$H,Summary!G$2,Tuesday!$B:$B,Summary!$D$2)+
SUMIFS(Wednesday!$W:$W,Wednesday!$A:$A,Summary!$A4,Wednesday!$H:$H,Summary!G$2,Wednesday!$B:$B,Summary!$D$2)+
SUMIFS(Thursday!$W:$W,Thursday!$A:$A,Summary!$A4,Thursday!$H:$H,Summary!G$2,Thursday!$B:$B,Summary!$D$2)+
SUMIFS(Friday!$W:$W,Friday!$A:$A,Summary!$A4,Friday!$H:$H,Summary!G$2,Friday!$B:$B,Summary!$D$2)+
SUMIFS(Saturday!$W:$W,Saturday!$A:$A,Summary!$A4,Saturday!$H:$H,Summary!G$2,Saturday!$B:$B,Summary!$D$2)</f>
        <v>0</v>
      </c>
      <c r="H4" s="119">
        <f ca="1">SUMIFS(Sunday!$W:$W,Sunday!$A:$A,Summary!$A4,Sunday!$H:$H,Summary!H$2,Sunday!$B:$B,Summary!$D$2)+
SUMIFS(Monday!$W:$W,Monday!$A:$A,Summary!$A4,Monday!$H:$H,Summary!H$2,Monday!$B:$B,Summary!$D$2)+
SUMIFS(Tuesday!$W:$W,Tuesday!$A:$A,Summary!$A4,Tuesday!$H:$H,Summary!H$2,Tuesday!$B:$B,Summary!$D$2)+
SUMIFS(Wednesday!$W:$W,Wednesday!$A:$A,Summary!$A4,Wednesday!$H:$H,Summary!H$2,Wednesday!$B:$B,Summary!$D$2)+
SUMIFS(Thursday!$W:$W,Thursday!$A:$A,Summary!$A4,Thursday!$H:$H,Summary!H$2,Thursday!$B:$B,Summary!$D$2)+
SUMIFS(Friday!$W:$W,Friday!$A:$A,Summary!$A4,Friday!$H:$H,Summary!H$2,Friday!$B:$B,Summary!$D$2)+
SUMIFS(Saturday!$W:$W,Saturday!$A:$A,Summary!$A4,Saturday!$H:$H,Summary!H$2,Saturday!$B:$B,Summary!$D$2)</f>
        <v>0</v>
      </c>
      <c r="I4" s="116">
        <f ca="1">(E4*E$3)+(F4*F$3)+(G4*G$3)+(H4*H$3)</f>
        <v>0</v>
      </c>
      <c r="J4" s="146"/>
      <c r="K4" s="60" t="s">
        <v>85</v>
      </c>
      <c r="L4" s="59"/>
      <c r="M4" s="117">
        <f ca="1">SUMIFS(Sunday!$W:$W,Sunday!$A:$A,Summary!$A4,Sunday!$H:$H,Summary!M$2,Sunday!$B:$B,Summary!$L$2)+
SUMIFS(Monday!$W:$W,Monday!$A:$A,Summary!$A4,Monday!$H:$H,Summary!M$2,Monday!$B:$B,Summary!$L$2)+
SUMIFS(Tuesday!$W:$W,Tuesday!$A:$A,Summary!$A4,Tuesday!$H:$H,Summary!M$2,Tuesday!$B:$B,Summary!$L$2)+
SUMIFS(Wednesday!$W:$W,Wednesday!$A:$A,Summary!$A4,Wednesday!$H:$H,Summary!M$2,Wednesday!$B:$B,Summary!$L$2)+
SUMIFS(Thursday!$W:$W,Thursday!$A:$A,Summary!$A4,Thursday!$H:$H,Summary!M$2,Thursday!$B:$B,Summary!$L$2)+
SUMIFS(Friday!$W:$W,Friday!$A:$A,Summary!$A4,Friday!$H:$H,Summary!M$2,Friday!$B:$B,Summary!$L$2)+
SUMIFS(Saturday!$W:$W,Saturday!$A:$A,Summary!$A4,Saturday!$H:$H,Summary!M$2,Saturday!$B:$B,Summary!$L$2)</f>
        <v>0</v>
      </c>
      <c r="N4" s="117">
        <f ca="1">SUMIFS(Sunday!$W:$W,Sunday!$A:$A,Summary!$A4,Sunday!$H:$H,Summary!N$2,Sunday!$B:$B,Summary!$L$2)+
SUMIFS(Monday!$W:$W,Monday!$A:$A,Summary!$A4,Monday!$H:$H,Summary!N$2,Monday!$B:$B,Summary!$L$2)+
SUMIFS(Tuesday!$W:$W,Tuesday!$A:$A,Summary!$A4,Tuesday!$H:$H,Summary!N$2,Tuesday!$B:$B,Summary!$L$2)+
SUMIFS(Wednesday!$W:$W,Wednesday!$A:$A,Summary!$A4,Wednesday!$H:$H,Summary!N$2,Wednesday!$B:$B,Summary!$L$2)+
SUMIFS(Thursday!$W:$W,Thursday!$A:$A,Summary!$A4,Thursday!$H:$H,Summary!N$2,Thursday!$B:$B,Summary!$L$2)+
SUMIFS(Friday!$W:$W,Friday!$A:$A,Summary!$A4,Friday!$H:$H,Summary!N$2,Friday!$B:$B,Summary!$L$2)+
SUMIFS(Saturday!$W:$W,Saturday!$A:$A,Summary!$A4,Saturday!$H:$H,Summary!N$2,Saturday!$B:$B,Summary!$L$2)</f>
        <v>0</v>
      </c>
      <c r="O4" s="117">
        <f ca="1">SUMIFS(Sunday!$W:$W,Sunday!$A:$A,Summary!$A4,Sunday!$H:$H,Summary!O$2,Sunday!$B:$B,Summary!$L$2)+
SUMIFS(Monday!$W:$W,Monday!$A:$A,Summary!$A4,Monday!$H:$H,Summary!O$2,Monday!$B:$B,Summary!$L$2)+
SUMIFS(Tuesday!$W:$W,Tuesday!$A:$A,Summary!$A4,Tuesday!$H:$H,Summary!O$2,Tuesday!$B:$B,Summary!$L$2)+
SUMIFS(Wednesday!$W:$W,Wednesday!$A:$A,Summary!$A4,Wednesday!$H:$H,Summary!O$2,Wednesday!$B:$B,Summary!$L$2)+
SUMIFS(Thursday!$W:$W,Thursday!$A:$A,Summary!$A4,Thursday!$H:$H,Summary!O$2,Thursday!$B:$B,Summary!$L$2)+
SUMIFS(Friday!$W:$W,Friday!$A:$A,Summary!$A4,Friday!$H:$H,Summary!O$2,Friday!$B:$B,Summary!$L$2)+
SUMIFS(Saturday!$W:$W,Saturday!$A:$A,Summary!$A4,Saturday!$H:$H,Summary!O$2,Saturday!$B:$B,Summary!$L$2)</f>
        <v>0</v>
      </c>
      <c r="P4" s="117">
        <f ca="1">SUMIFS(Sunday!$W:$W,Sunday!$A:$A,Summary!$A4,Sunday!$H:$H,Summary!P$2,Sunday!$B:$B,Summary!$L$2)+
SUMIFS(Monday!$W:$W,Monday!$A:$A,Summary!$A4,Monday!$H:$H,Summary!P$2,Monday!$B:$B,Summary!$L$2)+
SUMIFS(Tuesday!$W:$W,Tuesday!$A:$A,Summary!$A4,Tuesday!$H:$H,Summary!P$2,Tuesday!$B:$B,Summary!$L$2)+
SUMIFS(Wednesday!$W:$W,Wednesday!$A:$A,Summary!$A4,Wednesday!$H:$H,Summary!P$2,Wednesday!$B:$B,Summary!$L$2)+
SUMIFS(Thursday!$W:$W,Thursday!$A:$A,Summary!$A4,Thursday!$H:$H,Summary!P$2,Thursday!$B:$B,Summary!$L$2)+
SUMIFS(Friday!$W:$W,Friday!$A:$A,Summary!$A4,Friday!$H:$H,Summary!P$2,Friday!$B:$B,Summary!$L$2)+
SUMIFS(Saturday!$W:$W,Saturday!$A:$A,Summary!$A4,Saturday!$H:$H,Summary!P$2,Saturday!$B:$B,Summary!$L$2)</f>
        <v>0</v>
      </c>
      <c r="Q4" s="135">
        <f t="shared" ref="Q4:Q18" ca="1" si="0">(M4*M$3)+(N4*N$3)+(O4*O$3)+(P4*P$3)</f>
        <v>0</v>
      </c>
      <c r="R4" s="146"/>
      <c r="S4" s="163">
        <f ca="1">SUM(E4:H4,M4:P4)</f>
        <v>0</v>
      </c>
      <c r="T4" s="145">
        <f ca="1">Q4+I4</f>
        <v>0</v>
      </c>
    </row>
    <row r="5" spans="1:29" ht="45" x14ac:dyDescent="0.25">
      <c r="A5" s="61" t="s">
        <v>18</v>
      </c>
      <c r="B5" s="146"/>
      <c r="C5" s="62">
        <v>6071</v>
      </c>
      <c r="D5" s="63"/>
      <c r="E5" s="128">
        <f ca="1">SUMIFS(Sunday!$W:$W,Sunday!$A:$A,Summary!$A5,Sunday!$H:$H,Summary!E$2,Sunday!$B:$B,Summary!$D$2)+
SUMIFS(Monday!$W:$W,Monday!$A:$A,Summary!$A5,Monday!$H:$H,Summary!E$2,Monday!$B:$B,Summary!$D$2)+
SUMIFS(Tuesday!$W:$W,Tuesday!$A:$A,Summary!$A5,Tuesday!$H:$H,Summary!E$2,Tuesday!$B:$B,Summary!$D$2)+
SUMIFS(Wednesday!$W:$W,Wednesday!$A:$A,Summary!$A5,Wednesday!$H:$H,Summary!E$2,Wednesday!$B:$B,Summary!$D$2)+
SUMIFS(Thursday!$W:$W,Thursday!$A:$A,Summary!$A5,Thursday!$H:$H,Summary!E$2,Thursday!$B:$B,Summary!$D$2)+
SUMIFS(Friday!$W:$W,Friday!$A:$A,Summary!$A5,Friday!$H:$H,Summary!E$2,Friday!$B:$B,Summary!$D$2)+
SUMIFS(Saturday!$W:$W,Saturday!$A:$A,Summary!$A5,Saturday!$H:$H,Summary!E$2,Saturday!$B:$B,Summary!$D$2)</f>
        <v>0</v>
      </c>
      <c r="F5" s="128">
        <f ca="1">SUMIFS(Sunday!$W:$W,Sunday!$A:$A,Summary!$A5,Sunday!$H:$H,Summary!F$2,Sunday!$B:$B,Summary!$D$2)+
SUMIFS(Monday!$W:$W,Monday!$A:$A,Summary!$A5,Monday!$H:$H,Summary!F$2,Monday!$B:$B,Summary!$D$2)+
SUMIFS(Tuesday!$W:$W,Tuesday!$A:$A,Summary!$A5,Tuesday!$H:$H,Summary!F$2,Tuesday!$B:$B,Summary!$D$2)+
SUMIFS(Wednesday!$W:$W,Wednesday!$A:$A,Summary!$A5,Wednesday!$H:$H,Summary!F$2,Wednesday!$B:$B,Summary!$D$2)+
SUMIFS(Thursday!$W:$W,Thursday!$A:$A,Summary!$A5,Thursday!$H:$H,Summary!F$2,Thursday!$B:$B,Summary!$D$2)+
SUMIFS(Friday!$W:$W,Friday!$A:$A,Summary!$A5,Friday!$H:$H,Summary!F$2,Friday!$B:$B,Summary!$D$2)+
SUMIFS(Saturday!$W:$W,Saturday!$A:$A,Summary!$A5,Saturday!$H:$H,Summary!F$2,Saturday!$B:$B,Summary!$D$2)</f>
        <v>0</v>
      </c>
      <c r="G5" s="128">
        <f ca="1">SUMIFS(Sunday!$W:$W,Sunday!$A:$A,Summary!$A5,Sunday!$H:$H,Summary!G$2,Sunday!$B:$B,Summary!$D$2)+
SUMIFS(Monday!$W:$W,Monday!$A:$A,Summary!$A5,Monday!$H:$H,Summary!G$2,Monday!$B:$B,Summary!$D$2)+
SUMIFS(Tuesday!$W:$W,Tuesday!$A:$A,Summary!$A5,Tuesday!$H:$H,Summary!G$2,Tuesday!$B:$B,Summary!$D$2)+
SUMIFS(Wednesday!$W:$W,Wednesday!$A:$A,Summary!$A5,Wednesday!$H:$H,Summary!G$2,Wednesday!$B:$B,Summary!$D$2)+
SUMIFS(Thursday!$W:$W,Thursday!$A:$A,Summary!$A5,Thursday!$H:$H,Summary!G$2,Thursday!$B:$B,Summary!$D$2)+
SUMIFS(Friday!$W:$W,Friday!$A:$A,Summary!$A5,Friday!$H:$H,Summary!G$2,Friday!$B:$B,Summary!$D$2)+
SUMIFS(Saturday!$W:$W,Saturday!$A:$A,Summary!$A5,Saturday!$H:$H,Summary!G$2,Saturday!$B:$B,Summary!$D$2)</f>
        <v>0</v>
      </c>
      <c r="H5" s="128">
        <f ca="1">SUMIFS(Sunday!$W:$W,Sunday!$A:$A,Summary!$A5,Sunday!$H:$H,Summary!H$2,Sunday!$B:$B,Summary!$D$2)+
SUMIFS(Monday!$W:$W,Monday!$A:$A,Summary!$A5,Monday!$H:$H,Summary!H$2,Monday!$B:$B,Summary!$D$2)+
SUMIFS(Tuesday!$W:$W,Tuesday!$A:$A,Summary!$A5,Tuesday!$H:$H,Summary!H$2,Tuesday!$B:$B,Summary!$D$2)+
SUMIFS(Wednesday!$W:$W,Wednesday!$A:$A,Summary!$A5,Wednesday!$H:$H,Summary!H$2,Wednesday!$B:$B,Summary!$D$2)+
SUMIFS(Thursday!$W:$W,Thursday!$A:$A,Summary!$A5,Thursday!$H:$H,Summary!H$2,Thursday!$B:$B,Summary!$D$2)+
SUMIFS(Friday!$W:$W,Friday!$A:$A,Summary!$A5,Friday!$H:$H,Summary!H$2,Friday!$B:$B,Summary!$D$2)+
SUMIFS(Saturday!$W:$W,Saturday!$A:$A,Summary!$A5,Saturday!$H:$H,Summary!H$2,Saturday!$B:$B,Summary!$D$2)</f>
        <v>0</v>
      </c>
      <c r="I5" s="147">
        <f t="shared" ref="I5:I18" ca="1" si="1">(E5*E$3)+(F5*F$3)+(G5*G$3)+(H5*H$3)</f>
        <v>0</v>
      </c>
      <c r="J5" s="146"/>
      <c r="K5" s="115"/>
      <c r="L5" s="114"/>
      <c r="M5" s="118">
        <f ca="1">SUMIFS(Sunday!$W:$W,Sunday!$A:$A,Summary!$A5,Sunday!$H:$H,Summary!M$2,Sunday!$B:$B,Summary!$L$2)+
SUMIFS(Monday!$W:$W,Monday!$A:$A,Summary!$A5,Monday!$H:$H,Summary!M$2,Monday!$B:$B,Summary!$L$2)+
SUMIFS(Tuesday!$W:$W,Tuesday!$A:$A,Summary!$A5,Tuesday!$H:$H,Summary!M$2,Tuesday!$B:$B,Summary!$L$2)+
SUMIFS(Wednesday!$W:$W,Wednesday!$A:$A,Summary!$A5,Wednesday!$H:$H,Summary!M$2,Wednesday!$B:$B,Summary!$L$2)+
SUMIFS(Thursday!$W:$W,Thursday!$A:$A,Summary!$A5,Thursday!$H:$H,Summary!M$2,Thursday!$B:$B,Summary!$L$2)+
SUMIFS(Friday!$W:$W,Friday!$A:$A,Summary!$A5,Friday!$H:$H,Summary!M$2,Friday!$B:$B,Summary!$L$2)+
SUMIFS(Saturday!$W:$W,Saturday!$A:$A,Summary!$A5,Saturday!$H:$H,Summary!M$2,Saturday!$B:$B,Summary!$L$2)</f>
        <v>0</v>
      </c>
      <c r="N5" s="118">
        <f ca="1">SUMIFS(Sunday!$W:$W,Sunday!$A:$A,Summary!$A5,Sunday!$H:$H,Summary!N$2,Sunday!$B:$B,Summary!$L$2)+
SUMIFS(Monday!$W:$W,Monday!$A:$A,Summary!$A5,Monday!$H:$H,Summary!N$2,Monday!$B:$B,Summary!$L$2)+
SUMIFS(Tuesday!$W:$W,Tuesday!$A:$A,Summary!$A5,Tuesday!$H:$H,Summary!N$2,Tuesday!$B:$B,Summary!$L$2)+
SUMIFS(Wednesday!$W:$W,Wednesday!$A:$A,Summary!$A5,Wednesday!$H:$H,Summary!N$2,Wednesday!$B:$B,Summary!$L$2)+
SUMIFS(Thursday!$W:$W,Thursday!$A:$A,Summary!$A5,Thursday!$H:$H,Summary!N$2,Thursday!$B:$B,Summary!$L$2)+
SUMIFS(Friday!$W:$W,Friday!$A:$A,Summary!$A5,Friday!$H:$H,Summary!N$2,Friday!$B:$B,Summary!$L$2)+
SUMIFS(Saturday!$W:$W,Saturday!$A:$A,Summary!$A5,Saturday!$H:$H,Summary!N$2,Saturday!$B:$B,Summary!$L$2)</f>
        <v>0</v>
      </c>
      <c r="O5" s="118">
        <f ca="1">SUMIFS(Sunday!$W:$W,Sunday!$A:$A,Summary!$A5,Sunday!$H:$H,Summary!O$2,Sunday!$B:$B,Summary!$L$2)+
SUMIFS(Monday!$W:$W,Monday!$A:$A,Summary!$A5,Monday!$H:$H,Summary!O$2,Monday!$B:$B,Summary!$L$2)+
SUMIFS(Tuesday!$W:$W,Tuesday!$A:$A,Summary!$A5,Tuesday!$H:$H,Summary!O$2,Tuesday!$B:$B,Summary!$L$2)+
SUMIFS(Wednesday!$W:$W,Wednesday!$A:$A,Summary!$A5,Wednesday!$H:$H,Summary!O$2,Wednesday!$B:$B,Summary!$L$2)+
SUMIFS(Thursday!$W:$W,Thursday!$A:$A,Summary!$A5,Thursday!$H:$H,Summary!O$2,Thursday!$B:$B,Summary!$L$2)+
SUMIFS(Friday!$W:$W,Friday!$A:$A,Summary!$A5,Friday!$H:$H,Summary!O$2,Friday!$B:$B,Summary!$L$2)+
SUMIFS(Saturday!$W:$W,Saturday!$A:$A,Summary!$A5,Saturday!$H:$H,Summary!O$2,Saturday!$B:$B,Summary!$L$2)</f>
        <v>0</v>
      </c>
      <c r="P5" s="118">
        <f ca="1">SUMIFS(Sunday!$W:$W,Sunday!$A:$A,Summary!$A5,Sunday!$H:$H,Summary!P$2,Sunday!$B:$B,Summary!$L$2)+
SUMIFS(Monday!$W:$W,Monday!$A:$A,Summary!$A5,Monday!$H:$H,Summary!P$2,Monday!$B:$B,Summary!$L$2)+
SUMIFS(Tuesday!$W:$W,Tuesday!$A:$A,Summary!$A5,Tuesday!$H:$H,Summary!P$2,Tuesday!$B:$B,Summary!$L$2)+
SUMIFS(Wednesday!$W:$W,Wednesday!$A:$A,Summary!$A5,Wednesday!$H:$H,Summary!P$2,Wednesday!$B:$B,Summary!$L$2)+
SUMIFS(Thursday!$W:$W,Thursday!$A:$A,Summary!$A5,Thursday!$H:$H,Summary!P$2,Thursday!$B:$B,Summary!$L$2)+
SUMIFS(Friday!$W:$W,Friday!$A:$A,Summary!$A5,Friday!$H:$H,Summary!P$2,Friday!$B:$B,Summary!$L$2)+
SUMIFS(Saturday!$W:$W,Saturday!$A:$A,Summary!$A5,Saturday!$H:$H,Summary!P$2,Saturday!$B:$B,Summary!$L$2)</f>
        <v>0</v>
      </c>
      <c r="Q5" s="136">
        <f t="shared" ca="1" si="0"/>
        <v>0</v>
      </c>
      <c r="R5" s="146"/>
      <c r="S5" s="163">
        <f t="shared" ref="S5:S18" ca="1" si="2">SUM(E5:H5,M5:P5)</f>
        <v>0</v>
      </c>
      <c r="T5" s="145">
        <f t="shared" ref="T5:T18" ca="1" si="3">Q5+I5</f>
        <v>0</v>
      </c>
      <c r="X5" s="20" t="s">
        <v>5</v>
      </c>
      <c r="Y5" s="20" t="s">
        <v>7</v>
      </c>
      <c r="Z5" s="20" t="s">
        <v>8</v>
      </c>
      <c r="AA5" s="20" t="s">
        <v>6</v>
      </c>
      <c r="AB5" s="20" t="s">
        <v>45</v>
      </c>
      <c r="AC5" s="20" t="s">
        <v>129</v>
      </c>
    </row>
    <row r="6" spans="1:29" x14ac:dyDescent="0.25">
      <c r="A6" s="64" t="s">
        <v>19</v>
      </c>
      <c r="B6" s="146"/>
      <c r="C6" s="65">
        <v>6072</v>
      </c>
      <c r="D6" s="66"/>
      <c r="E6" s="129">
        <f ca="1">SUMIFS(Sunday!$W:$W,Sunday!$A:$A,Summary!$A6,Sunday!$H:$H,Summary!E$2,Sunday!$B:$B,Summary!$D$2)+
SUMIFS(Monday!$W:$W,Monday!$A:$A,Summary!$A6,Monday!$H:$H,Summary!E$2,Monday!$B:$B,Summary!$D$2)+
SUMIFS(Tuesday!$W:$W,Tuesday!$A:$A,Summary!$A6,Tuesday!$H:$H,Summary!E$2,Tuesday!$B:$B,Summary!$D$2)+
SUMIFS(Wednesday!$W:$W,Wednesday!$A:$A,Summary!$A6,Wednesday!$H:$H,Summary!E$2,Wednesday!$B:$B,Summary!$D$2)+
SUMIFS(Thursday!$W:$W,Thursday!$A:$A,Summary!$A6,Thursday!$H:$H,Summary!E$2,Thursday!$B:$B,Summary!$D$2)+
SUMIFS(Friday!$W:$W,Friday!$A:$A,Summary!$A6,Friday!$H:$H,Summary!E$2,Friday!$B:$B,Summary!$D$2)+
SUMIFS(Saturday!$W:$W,Saturday!$A:$A,Summary!$A6,Saturday!$H:$H,Summary!E$2,Saturday!$B:$B,Summary!$D$2)</f>
        <v>0</v>
      </c>
      <c r="F6" s="129">
        <f ca="1">SUMIFS(Sunday!$W:$W,Sunday!$A:$A,Summary!$A6,Sunday!$H:$H,Summary!F$2,Sunday!$B:$B,Summary!$D$2)+
SUMIFS(Monday!$W:$W,Monday!$A:$A,Summary!$A6,Monday!$H:$H,Summary!F$2,Monday!$B:$B,Summary!$D$2)+
SUMIFS(Tuesday!$W:$W,Tuesday!$A:$A,Summary!$A6,Tuesday!$H:$H,Summary!F$2,Tuesday!$B:$B,Summary!$D$2)+
SUMIFS(Wednesday!$W:$W,Wednesday!$A:$A,Summary!$A6,Wednesday!$H:$H,Summary!F$2,Wednesday!$B:$B,Summary!$D$2)+
SUMIFS(Thursday!$W:$W,Thursday!$A:$A,Summary!$A6,Thursday!$H:$H,Summary!F$2,Thursday!$B:$B,Summary!$D$2)+
SUMIFS(Friday!$W:$W,Friday!$A:$A,Summary!$A6,Friday!$H:$H,Summary!F$2,Friday!$B:$B,Summary!$D$2)+
SUMIFS(Saturday!$W:$W,Saturday!$A:$A,Summary!$A6,Saturday!$H:$H,Summary!F$2,Saturday!$B:$B,Summary!$D$2)</f>
        <v>0</v>
      </c>
      <c r="G6" s="129">
        <f ca="1">SUMIFS(Sunday!$W:$W,Sunday!$A:$A,Summary!$A6,Sunday!$H:$H,Summary!G$2,Sunday!$B:$B,Summary!$D$2)+
SUMIFS(Monday!$W:$W,Monday!$A:$A,Summary!$A6,Monday!$H:$H,Summary!G$2,Monday!$B:$B,Summary!$D$2)+
SUMIFS(Tuesday!$W:$W,Tuesday!$A:$A,Summary!$A6,Tuesday!$H:$H,Summary!G$2,Tuesday!$B:$B,Summary!$D$2)+
SUMIFS(Wednesday!$W:$W,Wednesday!$A:$A,Summary!$A6,Wednesday!$H:$H,Summary!G$2,Wednesday!$B:$B,Summary!$D$2)+
SUMIFS(Thursday!$W:$W,Thursday!$A:$A,Summary!$A6,Thursday!$H:$H,Summary!G$2,Thursday!$B:$B,Summary!$D$2)+
SUMIFS(Friday!$W:$W,Friday!$A:$A,Summary!$A6,Friday!$H:$H,Summary!G$2,Friday!$B:$B,Summary!$D$2)+
SUMIFS(Saturday!$W:$W,Saturday!$A:$A,Summary!$A6,Saturday!$H:$H,Summary!G$2,Saturday!$B:$B,Summary!$D$2)</f>
        <v>0</v>
      </c>
      <c r="H6" s="129">
        <f ca="1">SUMIFS(Sunday!$W:$W,Sunday!$A:$A,Summary!$A6,Sunday!$H:$H,Summary!H$2,Sunday!$B:$B,Summary!$D$2)+
SUMIFS(Monday!$W:$W,Monday!$A:$A,Summary!$A6,Monday!$H:$H,Summary!H$2,Monday!$B:$B,Summary!$D$2)+
SUMIFS(Tuesday!$W:$W,Tuesday!$A:$A,Summary!$A6,Tuesday!$H:$H,Summary!H$2,Tuesday!$B:$B,Summary!$D$2)+
SUMIFS(Wednesday!$W:$W,Wednesday!$A:$A,Summary!$A6,Wednesday!$H:$H,Summary!H$2,Wednesday!$B:$B,Summary!$D$2)+
SUMIFS(Thursday!$W:$W,Thursday!$A:$A,Summary!$A6,Thursday!$H:$H,Summary!H$2,Thursday!$B:$B,Summary!$D$2)+
SUMIFS(Friday!$W:$W,Friday!$A:$A,Summary!$A6,Friday!$H:$H,Summary!H$2,Friday!$B:$B,Summary!$D$2)+
SUMIFS(Saturday!$W:$W,Saturday!$A:$A,Summary!$A6,Saturday!$H:$H,Summary!H$2,Saturday!$B:$B,Summary!$D$2)</f>
        <v>0</v>
      </c>
      <c r="I6" s="148">
        <f t="shared" ca="1" si="1"/>
        <v>0</v>
      </c>
      <c r="J6" s="146"/>
      <c r="K6" s="115"/>
      <c r="L6" s="114"/>
      <c r="M6" s="119">
        <f ca="1">SUMIFS(Sunday!$W:$W,Sunday!$A:$A,Summary!$A6,Sunday!$H:$H,Summary!M$2,Sunday!$B:$B,Summary!$L$2)+
SUMIFS(Monday!$W:$W,Monday!$A:$A,Summary!$A6,Monday!$H:$H,Summary!M$2,Monday!$B:$B,Summary!$L$2)+
SUMIFS(Tuesday!$W:$W,Tuesday!$A:$A,Summary!$A6,Tuesday!$H:$H,Summary!M$2,Tuesday!$B:$B,Summary!$L$2)+
SUMIFS(Wednesday!$W:$W,Wednesday!$A:$A,Summary!$A6,Wednesday!$H:$H,Summary!M$2,Wednesday!$B:$B,Summary!$L$2)+
SUMIFS(Thursday!$W:$W,Thursday!$A:$A,Summary!$A6,Thursday!$H:$H,Summary!M$2,Thursday!$B:$B,Summary!$L$2)+
SUMIFS(Friday!$W:$W,Friday!$A:$A,Summary!$A6,Friday!$H:$H,Summary!M$2,Friday!$B:$B,Summary!$L$2)+
SUMIFS(Saturday!$W:$W,Saturday!$A:$A,Summary!$A6,Saturday!$H:$H,Summary!M$2,Saturday!$B:$B,Summary!$L$2)</f>
        <v>0</v>
      </c>
      <c r="N6" s="119">
        <f ca="1">SUMIFS(Sunday!$W:$W,Sunday!$A:$A,Summary!$A6,Sunday!$H:$H,Summary!N$2,Sunday!$B:$B,Summary!$L$2)+
SUMIFS(Monday!$W:$W,Monday!$A:$A,Summary!$A6,Monday!$H:$H,Summary!N$2,Monday!$B:$B,Summary!$L$2)+
SUMIFS(Tuesday!$W:$W,Tuesday!$A:$A,Summary!$A6,Tuesday!$H:$H,Summary!N$2,Tuesday!$B:$B,Summary!$L$2)+
SUMIFS(Wednesday!$W:$W,Wednesday!$A:$A,Summary!$A6,Wednesday!$H:$H,Summary!N$2,Wednesday!$B:$B,Summary!$L$2)+
SUMIFS(Thursday!$W:$W,Thursday!$A:$A,Summary!$A6,Thursday!$H:$H,Summary!N$2,Thursday!$B:$B,Summary!$L$2)+
SUMIFS(Friday!$W:$W,Friday!$A:$A,Summary!$A6,Friday!$H:$H,Summary!N$2,Friday!$B:$B,Summary!$L$2)+
SUMIFS(Saturday!$W:$W,Saturday!$A:$A,Summary!$A6,Saturday!$H:$H,Summary!N$2,Saturday!$B:$B,Summary!$L$2)</f>
        <v>0</v>
      </c>
      <c r="O6" s="119">
        <f ca="1">SUMIFS(Sunday!$W:$W,Sunday!$A:$A,Summary!$A6,Sunday!$H:$H,Summary!O$2,Sunday!$B:$B,Summary!$L$2)+
SUMIFS(Monday!$W:$W,Monday!$A:$A,Summary!$A6,Monday!$H:$H,Summary!O$2,Monday!$B:$B,Summary!$L$2)+
SUMIFS(Tuesday!$W:$W,Tuesday!$A:$A,Summary!$A6,Tuesday!$H:$H,Summary!O$2,Tuesday!$B:$B,Summary!$L$2)+
SUMIFS(Wednesday!$W:$W,Wednesday!$A:$A,Summary!$A6,Wednesday!$H:$H,Summary!O$2,Wednesday!$B:$B,Summary!$L$2)+
SUMIFS(Thursday!$W:$W,Thursday!$A:$A,Summary!$A6,Thursday!$H:$H,Summary!O$2,Thursday!$B:$B,Summary!$L$2)+
SUMIFS(Friday!$W:$W,Friday!$A:$A,Summary!$A6,Friday!$H:$H,Summary!O$2,Friday!$B:$B,Summary!$L$2)+
SUMIFS(Saturday!$W:$W,Saturday!$A:$A,Summary!$A6,Saturday!$H:$H,Summary!O$2,Saturday!$B:$B,Summary!$L$2)</f>
        <v>0</v>
      </c>
      <c r="P6" s="119">
        <f ca="1">SUMIFS(Sunday!$W:$W,Sunday!$A:$A,Summary!$A6,Sunday!$H:$H,Summary!P$2,Sunday!$B:$B,Summary!$L$2)+
SUMIFS(Monday!$W:$W,Monday!$A:$A,Summary!$A6,Monday!$H:$H,Summary!P$2,Monday!$B:$B,Summary!$L$2)+
SUMIFS(Tuesday!$W:$W,Tuesday!$A:$A,Summary!$A6,Tuesday!$H:$H,Summary!P$2,Tuesday!$B:$B,Summary!$L$2)+
SUMIFS(Wednesday!$W:$W,Wednesday!$A:$A,Summary!$A6,Wednesday!$H:$H,Summary!P$2,Wednesday!$B:$B,Summary!$L$2)+
SUMIFS(Thursday!$W:$W,Thursday!$A:$A,Summary!$A6,Thursday!$H:$H,Summary!P$2,Thursday!$B:$B,Summary!$L$2)+
SUMIFS(Friday!$W:$W,Friday!$A:$A,Summary!$A6,Friday!$H:$H,Summary!P$2,Friday!$B:$B,Summary!$L$2)+
SUMIFS(Saturday!$W:$W,Saturday!$A:$A,Summary!$A6,Saturday!$H:$H,Summary!P$2,Saturday!$B:$B,Summary!$L$2)</f>
        <v>0</v>
      </c>
      <c r="Q6" s="136">
        <f t="shared" ca="1" si="0"/>
        <v>0</v>
      </c>
      <c r="R6" s="146"/>
      <c r="S6" s="163">
        <f t="shared" ca="1" si="2"/>
        <v>0</v>
      </c>
      <c r="T6" s="145">
        <f t="shared" ca="1" si="3"/>
        <v>0</v>
      </c>
      <c r="W6" t="s">
        <v>102</v>
      </c>
      <c r="X6" t="str">
        <f>IFERROR(VLOOKUP($Y$3,Sunday!$G:$Y,3,0),"")</f>
        <v/>
      </c>
      <c r="Y6" t="str">
        <f>IFERROR(VLOOKUP($Y$3,Sunday!$G:$Y,4,0),"")</f>
        <v/>
      </c>
      <c r="Z6" t="str">
        <f>IFERROR(VLOOKUP($Y$3,Sunday!$G:$Y,5,0),"")</f>
        <v/>
      </c>
      <c r="AA6" t="str">
        <f>IFERROR(VLOOKUP($Y$3,Sunday!$G:$Y,6,0),"")</f>
        <v/>
      </c>
      <c r="AB6" t="str">
        <f>IFERROR(VLOOKUP($Y$3,Sunday!$G:$Y,2,0),"")</f>
        <v/>
      </c>
      <c r="AC6" t="str">
        <f>IFERROR(VLOOKUP($Y$3,Sunday!$G:$Y,17,0),"")</f>
        <v/>
      </c>
    </row>
    <row r="7" spans="1:29" x14ac:dyDescent="0.25">
      <c r="A7" s="67" t="s">
        <v>20</v>
      </c>
      <c r="B7" s="146"/>
      <c r="C7" s="68">
        <v>6070</v>
      </c>
      <c r="D7" s="69"/>
      <c r="E7" s="130">
        <f ca="1">SUMIFS(Sunday!$W:$W,Sunday!$A:$A,Summary!$A7,Sunday!$H:$H,Summary!E$2,Sunday!$B:$B,Summary!$D$2)+
SUMIFS(Monday!$W:$W,Monday!$A:$A,Summary!$A7,Monday!$H:$H,Summary!E$2,Monday!$B:$B,Summary!$D$2)+
SUMIFS(Tuesday!$W:$W,Tuesday!$A:$A,Summary!$A7,Tuesday!$H:$H,Summary!E$2,Tuesday!$B:$B,Summary!$D$2)+
SUMIFS(Wednesday!$W:$W,Wednesday!$A:$A,Summary!$A7,Wednesday!$H:$H,Summary!E$2,Wednesday!$B:$B,Summary!$D$2)+
SUMIFS(Thursday!$W:$W,Thursday!$A:$A,Summary!$A7,Thursday!$H:$H,Summary!E$2,Thursday!$B:$B,Summary!$D$2)+
SUMIFS(Friday!$W:$W,Friday!$A:$A,Summary!$A7,Friday!$H:$H,Summary!E$2,Friday!$B:$B,Summary!$D$2)+
SUMIFS(Saturday!$W:$W,Saturday!$A:$A,Summary!$A7,Saturday!$H:$H,Summary!E$2,Saturday!$B:$B,Summary!$D$2)</f>
        <v>0</v>
      </c>
      <c r="F7" s="130">
        <f ca="1">SUMIFS(Sunday!$W:$W,Sunday!$A:$A,Summary!$A7,Sunday!$H:$H,Summary!F$2,Sunday!$B:$B,Summary!$D$2)+
SUMIFS(Monday!$W:$W,Monday!$A:$A,Summary!$A7,Monday!$H:$H,Summary!F$2,Monday!$B:$B,Summary!$D$2)+
SUMIFS(Tuesday!$W:$W,Tuesday!$A:$A,Summary!$A7,Tuesday!$H:$H,Summary!F$2,Tuesday!$B:$B,Summary!$D$2)+
SUMIFS(Wednesday!$W:$W,Wednesday!$A:$A,Summary!$A7,Wednesday!$H:$H,Summary!F$2,Wednesday!$B:$B,Summary!$D$2)+
SUMIFS(Thursday!$W:$W,Thursday!$A:$A,Summary!$A7,Thursday!$H:$H,Summary!F$2,Thursday!$B:$B,Summary!$D$2)+
SUMIFS(Friday!$W:$W,Friday!$A:$A,Summary!$A7,Friday!$H:$H,Summary!F$2,Friday!$B:$B,Summary!$D$2)+
SUMIFS(Saturday!$W:$W,Saturday!$A:$A,Summary!$A7,Saturday!$H:$H,Summary!F$2,Saturday!$B:$B,Summary!$D$2)</f>
        <v>0</v>
      </c>
      <c r="G7" s="130">
        <f ca="1">SUMIFS(Sunday!$W:$W,Sunday!$A:$A,Summary!$A7,Sunday!$H:$H,Summary!G$2,Sunday!$B:$B,Summary!$D$2)+
SUMIFS(Monday!$W:$W,Monday!$A:$A,Summary!$A7,Monday!$H:$H,Summary!G$2,Monday!$B:$B,Summary!$D$2)+
SUMIFS(Tuesday!$W:$W,Tuesday!$A:$A,Summary!$A7,Tuesday!$H:$H,Summary!G$2,Tuesday!$B:$B,Summary!$D$2)+
SUMIFS(Wednesday!$W:$W,Wednesday!$A:$A,Summary!$A7,Wednesday!$H:$H,Summary!G$2,Wednesday!$B:$B,Summary!$D$2)+
SUMIFS(Thursday!$W:$W,Thursday!$A:$A,Summary!$A7,Thursday!$H:$H,Summary!G$2,Thursday!$B:$B,Summary!$D$2)+
SUMIFS(Friday!$W:$W,Friday!$A:$A,Summary!$A7,Friday!$H:$H,Summary!G$2,Friday!$B:$B,Summary!$D$2)+
SUMIFS(Saturday!$W:$W,Saturday!$A:$A,Summary!$A7,Saturday!$H:$H,Summary!G$2,Saturday!$B:$B,Summary!$D$2)</f>
        <v>0</v>
      </c>
      <c r="H7" s="130">
        <f ca="1">SUMIFS(Sunday!$W:$W,Sunday!$A:$A,Summary!$A7,Sunday!$H:$H,Summary!H$2,Sunday!$B:$B,Summary!$D$2)+
SUMIFS(Monday!$W:$W,Monday!$A:$A,Summary!$A7,Monday!$H:$H,Summary!H$2,Monday!$B:$B,Summary!$D$2)+
SUMIFS(Tuesday!$W:$W,Tuesday!$A:$A,Summary!$A7,Tuesday!$H:$H,Summary!H$2,Tuesday!$B:$B,Summary!$D$2)+
SUMIFS(Wednesday!$W:$W,Wednesday!$A:$A,Summary!$A7,Wednesday!$H:$H,Summary!H$2,Wednesday!$B:$B,Summary!$D$2)+
SUMIFS(Thursday!$W:$W,Thursday!$A:$A,Summary!$A7,Thursday!$H:$H,Summary!H$2,Thursday!$B:$B,Summary!$D$2)+
SUMIFS(Friday!$W:$W,Friday!$A:$A,Summary!$A7,Friday!$H:$H,Summary!H$2,Friday!$B:$B,Summary!$D$2)+
SUMIFS(Saturday!$W:$W,Saturday!$A:$A,Summary!$A7,Saturday!$H:$H,Summary!H$2,Saturday!$B:$B,Summary!$D$2)</f>
        <v>0</v>
      </c>
      <c r="I7" s="149">
        <f t="shared" ca="1" si="1"/>
        <v>0</v>
      </c>
      <c r="J7" s="146"/>
      <c r="K7" s="115"/>
      <c r="L7" s="114"/>
      <c r="M7" s="118">
        <f ca="1">SUMIFS(Sunday!$W:$W,Sunday!$A:$A,Summary!$A7,Sunday!$H:$H,Summary!M$2,Sunday!$B:$B,Summary!$L$2)+
SUMIFS(Monday!$W:$W,Monday!$A:$A,Summary!$A7,Monday!$H:$H,Summary!M$2,Monday!$B:$B,Summary!$L$2)+
SUMIFS(Tuesday!$W:$W,Tuesday!$A:$A,Summary!$A7,Tuesday!$H:$H,Summary!M$2,Tuesday!$B:$B,Summary!$L$2)+
SUMIFS(Wednesday!$W:$W,Wednesday!$A:$A,Summary!$A7,Wednesday!$H:$H,Summary!M$2,Wednesday!$B:$B,Summary!$L$2)+
SUMIFS(Thursday!$W:$W,Thursday!$A:$A,Summary!$A7,Thursday!$H:$H,Summary!M$2,Thursday!$B:$B,Summary!$L$2)+
SUMIFS(Friday!$W:$W,Friday!$A:$A,Summary!$A7,Friday!$H:$H,Summary!M$2,Friday!$B:$B,Summary!$L$2)+
SUMIFS(Saturday!$W:$W,Saturday!$A:$A,Summary!$A7,Saturday!$H:$H,Summary!M$2,Saturday!$B:$B,Summary!$L$2)</f>
        <v>0</v>
      </c>
      <c r="N7" s="118">
        <f ca="1">SUMIFS(Sunday!$W:$W,Sunday!$A:$A,Summary!$A7,Sunday!$H:$H,Summary!N$2,Sunday!$B:$B,Summary!$L$2)+
SUMIFS(Monday!$W:$W,Monday!$A:$A,Summary!$A7,Monday!$H:$H,Summary!N$2,Monday!$B:$B,Summary!$L$2)+
SUMIFS(Tuesday!$W:$W,Tuesday!$A:$A,Summary!$A7,Tuesday!$H:$H,Summary!N$2,Tuesday!$B:$B,Summary!$L$2)+
SUMIFS(Wednesday!$W:$W,Wednesday!$A:$A,Summary!$A7,Wednesday!$H:$H,Summary!N$2,Wednesday!$B:$B,Summary!$L$2)+
SUMIFS(Thursday!$W:$W,Thursday!$A:$A,Summary!$A7,Thursday!$H:$H,Summary!N$2,Thursday!$B:$B,Summary!$L$2)+
SUMIFS(Friday!$W:$W,Friday!$A:$A,Summary!$A7,Friday!$H:$H,Summary!N$2,Friday!$B:$B,Summary!$L$2)+
SUMIFS(Saturday!$W:$W,Saturday!$A:$A,Summary!$A7,Saturday!$H:$H,Summary!N$2,Saturday!$B:$B,Summary!$L$2)</f>
        <v>0</v>
      </c>
      <c r="O7" s="118">
        <f ca="1">SUMIFS(Sunday!$W:$W,Sunday!$A:$A,Summary!$A7,Sunday!$H:$H,Summary!O$2,Sunday!$B:$B,Summary!$L$2)+
SUMIFS(Monday!$W:$W,Monday!$A:$A,Summary!$A7,Monday!$H:$H,Summary!O$2,Monday!$B:$B,Summary!$L$2)+
SUMIFS(Tuesday!$W:$W,Tuesday!$A:$A,Summary!$A7,Tuesday!$H:$H,Summary!O$2,Tuesday!$B:$B,Summary!$L$2)+
SUMIFS(Wednesday!$W:$W,Wednesday!$A:$A,Summary!$A7,Wednesday!$H:$H,Summary!O$2,Wednesday!$B:$B,Summary!$L$2)+
SUMIFS(Thursday!$W:$W,Thursday!$A:$A,Summary!$A7,Thursday!$H:$H,Summary!O$2,Thursday!$B:$B,Summary!$L$2)+
SUMIFS(Friday!$W:$W,Friday!$A:$A,Summary!$A7,Friday!$H:$H,Summary!O$2,Friday!$B:$B,Summary!$L$2)+
SUMIFS(Saturday!$W:$W,Saturday!$A:$A,Summary!$A7,Saturday!$H:$H,Summary!O$2,Saturday!$B:$B,Summary!$L$2)</f>
        <v>0</v>
      </c>
      <c r="P7" s="118">
        <f ca="1">SUMIFS(Sunday!$W:$W,Sunday!$A:$A,Summary!$A7,Sunday!$H:$H,Summary!P$2,Sunday!$B:$B,Summary!$L$2)+
SUMIFS(Monday!$W:$W,Monday!$A:$A,Summary!$A7,Monday!$H:$H,Summary!P$2,Monday!$B:$B,Summary!$L$2)+
SUMIFS(Tuesday!$W:$W,Tuesday!$A:$A,Summary!$A7,Tuesday!$H:$H,Summary!P$2,Tuesday!$B:$B,Summary!$L$2)+
SUMIFS(Wednesday!$W:$W,Wednesday!$A:$A,Summary!$A7,Wednesday!$H:$H,Summary!P$2,Wednesday!$B:$B,Summary!$L$2)+
SUMIFS(Thursday!$W:$W,Thursday!$A:$A,Summary!$A7,Thursday!$H:$H,Summary!P$2,Thursday!$B:$B,Summary!$L$2)+
SUMIFS(Friday!$W:$W,Friday!$A:$A,Summary!$A7,Friday!$H:$H,Summary!P$2,Friday!$B:$B,Summary!$L$2)+
SUMIFS(Saturday!$W:$W,Saturday!$A:$A,Summary!$A7,Saturday!$H:$H,Summary!P$2,Saturday!$B:$B,Summary!$L$2)</f>
        <v>0</v>
      </c>
      <c r="Q7" s="136">
        <f t="shared" ca="1" si="0"/>
        <v>0</v>
      </c>
      <c r="R7" s="146"/>
      <c r="S7" s="163">
        <f t="shared" ca="1" si="2"/>
        <v>0</v>
      </c>
      <c r="T7" s="145">
        <f t="shared" ca="1" si="3"/>
        <v>0</v>
      </c>
      <c r="W7" t="s">
        <v>103</v>
      </c>
      <c r="X7" t="str">
        <f>IFERROR(VLOOKUP($Y$3,Monday!$G:$Y,3,0),"")</f>
        <v/>
      </c>
      <c r="Y7" t="str">
        <f>IFERROR(VLOOKUP($Y$3,Monday!$G:$Y,4,0),"")</f>
        <v/>
      </c>
      <c r="Z7" t="str">
        <f>IFERROR(VLOOKUP($Y$3,Monday!$G:$Y,5,0),"")</f>
        <v/>
      </c>
      <c r="AA7" t="str">
        <f>IFERROR(VLOOKUP($Y$3,Monday!$G:$Y,6,0),"")</f>
        <v/>
      </c>
      <c r="AB7" t="str">
        <f>IFERROR(VLOOKUP($Y$3,Monday!$G:$Y,2,0),"")</f>
        <v/>
      </c>
      <c r="AC7" t="str">
        <f>IFERROR(VLOOKUP($Y$3,Monday!$G:$Y,17,0),"")</f>
        <v/>
      </c>
    </row>
    <row r="8" spans="1:29" x14ac:dyDescent="0.25">
      <c r="A8" s="70" t="s">
        <v>21</v>
      </c>
      <c r="B8" s="146"/>
      <c r="C8" s="71">
        <v>6073</v>
      </c>
      <c r="D8" s="72"/>
      <c r="E8" s="131">
        <f ca="1">SUMIFS(Sunday!$W:$W,Sunday!$A:$A,Summary!$A8,Sunday!$H:$H,Summary!E$2,Sunday!$B:$B,Summary!$D$2)+
SUMIFS(Monday!$W:$W,Monday!$A:$A,Summary!$A8,Monday!$H:$H,Summary!E$2,Monday!$B:$B,Summary!$D$2)+
SUMIFS(Tuesday!$W:$W,Tuesday!$A:$A,Summary!$A8,Tuesday!$H:$H,Summary!E$2,Tuesday!$B:$B,Summary!$D$2)+
SUMIFS(Wednesday!$W:$W,Wednesday!$A:$A,Summary!$A8,Wednesday!$H:$H,Summary!E$2,Wednesday!$B:$B,Summary!$D$2)+
SUMIFS(Thursday!$W:$W,Thursday!$A:$A,Summary!$A8,Thursday!$H:$H,Summary!E$2,Thursday!$B:$B,Summary!$D$2)+
SUMIFS(Friday!$W:$W,Friday!$A:$A,Summary!$A8,Friday!$H:$H,Summary!E$2,Friday!$B:$B,Summary!$D$2)+
SUMIFS(Saturday!$W:$W,Saturday!$A:$A,Summary!$A8,Saturday!$H:$H,Summary!E$2,Saturday!$B:$B,Summary!$D$2)</f>
        <v>0</v>
      </c>
      <c r="F8" s="131">
        <f ca="1">SUMIFS(Sunday!$W:$W,Sunday!$A:$A,Summary!$A8,Sunday!$H:$H,Summary!F$2,Sunday!$B:$B,Summary!$D$2)+
SUMIFS(Monday!$W:$W,Monday!$A:$A,Summary!$A8,Monday!$H:$H,Summary!F$2,Monday!$B:$B,Summary!$D$2)+
SUMIFS(Tuesday!$W:$W,Tuesday!$A:$A,Summary!$A8,Tuesday!$H:$H,Summary!F$2,Tuesday!$B:$B,Summary!$D$2)+
SUMIFS(Wednesday!$W:$W,Wednesday!$A:$A,Summary!$A8,Wednesday!$H:$H,Summary!F$2,Wednesday!$B:$B,Summary!$D$2)+
SUMIFS(Thursday!$W:$W,Thursday!$A:$A,Summary!$A8,Thursday!$H:$H,Summary!F$2,Thursday!$B:$B,Summary!$D$2)+
SUMIFS(Friday!$W:$W,Friday!$A:$A,Summary!$A8,Friday!$H:$H,Summary!F$2,Friday!$B:$B,Summary!$D$2)+
SUMIFS(Saturday!$W:$W,Saturday!$A:$A,Summary!$A8,Saturday!$H:$H,Summary!F$2,Saturday!$B:$B,Summary!$D$2)</f>
        <v>0</v>
      </c>
      <c r="G8" s="131">
        <f ca="1">SUMIFS(Sunday!$W:$W,Sunday!$A:$A,Summary!$A8,Sunday!$H:$H,Summary!G$2,Sunday!$B:$B,Summary!$D$2)+
SUMIFS(Monday!$W:$W,Monday!$A:$A,Summary!$A8,Monday!$H:$H,Summary!G$2,Monday!$B:$B,Summary!$D$2)+
SUMIFS(Tuesday!$W:$W,Tuesday!$A:$A,Summary!$A8,Tuesday!$H:$H,Summary!G$2,Tuesday!$B:$B,Summary!$D$2)+
SUMIFS(Wednesday!$W:$W,Wednesday!$A:$A,Summary!$A8,Wednesday!$H:$H,Summary!G$2,Wednesday!$B:$B,Summary!$D$2)+
SUMIFS(Thursday!$W:$W,Thursday!$A:$A,Summary!$A8,Thursday!$H:$H,Summary!G$2,Thursday!$B:$B,Summary!$D$2)+
SUMIFS(Friday!$W:$W,Friday!$A:$A,Summary!$A8,Friday!$H:$H,Summary!G$2,Friday!$B:$B,Summary!$D$2)+
SUMIFS(Saturday!$W:$W,Saturday!$A:$A,Summary!$A8,Saturday!$H:$H,Summary!G$2,Saturday!$B:$B,Summary!$D$2)</f>
        <v>0</v>
      </c>
      <c r="H8" s="131">
        <f ca="1">SUMIFS(Sunday!$W:$W,Sunday!$A:$A,Summary!$A8,Sunday!$H:$H,Summary!H$2,Sunday!$B:$B,Summary!$D$2)+
SUMIFS(Monday!$W:$W,Monday!$A:$A,Summary!$A8,Monday!$H:$H,Summary!H$2,Monday!$B:$B,Summary!$D$2)+
SUMIFS(Tuesday!$W:$W,Tuesday!$A:$A,Summary!$A8,Tuesday!$H:$H,Summary!H$2,Tuesday!$B:$B,Summary!$D$2)+
SUMIFS(Wednesday!$W:$W,Wednesday!$A:$A,Summary!$A8,Wednesday!$H:$H,Summary!H$2,Wednesday!$B:$B,Summary!$D$2)+
SUMIFS(Thursday!$W:$W,Thursday!$A:$A,Summary!$A8,Thursday!$H:$H,Summary!H$2,Thursday!$B:$B,Summary!$D$2)+
SUMIFS(Friday!$W:$W,Friday!$A:$A,Summary!$A8,Friday!$H:$H,Summary!H$2,Friday!$B:$B,Summary!$D$2)+
SUMIFS(Saturday!$W:$W,Saturday!$A:$A,Summary!$A8,Saturday!$H:$H,Summary!H$2,Saturday!$B:$B,Summary!$D$2)</f>
        <v>0</v>
      </c>
      <c r="I8" s="150">
        <f t="shared" ca="1" si="1"/>
        <v>0</v>
      </c>
      <c r="J8" s="146"/>
      <c r="K8" s="115"/>
      <c r="L8" s="114"/>
      <c r="M8" s="119">
        <f ca="1">SUMIFS(Sunday!$W:$W,Sunday!$A:$A,Summary!$A8,Sunday!$H:$H,Summary!M$2,Sunday!$B:$B,Summary!$L$2)+
SUMIFS(Monday!$W:$W,Monday!$A:$A,Summary!$A8,Monday!$H:$H,Summary!M$2,Monday!$B:$B,Summary!$L$2)+
SUMIFS(Tuesday!$W:$W,Tuesday!$A:$A,Summary!$A8,Tuesday!$H:$H,Summary!M$2,Tuesday!$B:$B,Summary!$L$2)+
SUMIFS(Wednesday!$W:$W,Wednesday!$A:$A,Summary!$A8,Wednesday!$H:$H,Summary!M$2,Wednesday!$B:$B,Summary!$L$2)+
SUMIFS(Thursday!$W:$W,Thursday!$A:$A,Summary!$A8,Thursday!$H:$H,Summary!M$2,Thursday!$B:$B,Summary!$L$2)+
SUMIFS(Friday!$W:$W,Friday!$A:$A,Summary!$A8,Friday!$H:$H,Summary!M$2,Friday!$B:$B,Summary!$L$2)+
SUMIFS(Saturday!$W:$W,Saturday!$A:$A,Summary!$A8,Saturday!$H:$H,Summary!M$2,Saturday!$B:$B,Summary!$L$2)</f>
        <v>0</v>
      </c>
      <c r="N8" s="119">
        <f ca="1">SUMIFS(Sunday!$W:$W,Sunday!$A:$A,Summary!$A8,Sunday!$H:$H,Summary!N$2,Sunday!$B:$B,Summary!$L$2)+
SUMIFS(Monday!$W:$W,Monday!$A:$A,Summary!$A8,Monday!$H:$H,Summary!N$2,Monday!$B:$B,Summary!$L$2)+
SUMIFS(Tuesday!$W:$W,Tuesday!$A:$A,Summary!$A8,Tuesday!$H:$H,Summary!N$2,Tuesday!$B:$B,Summary!$L$2)+
SUMIFS(Wednesday!$W:$W,Wednesday!$A:$A,Summary!$A8,Wednesday!$H:$H,Summary!N$2,Wednesday!$B:$B,Summary!$L$2)+
SUMIFS(Thursday!$W:$W,Thursday!$A:$A,Summary!$A8,Thursday!$H:$H,Summary!N$2,Thursday!$B:$B,Summary!$L$2)+
SUMIFS(Friday!$W:$W,Friday!$A:$A,Summary!$A8,Friday!$H:$H,Summary!N$2,Friday!$B:$B,Summary!$L$2)+
SUMIFS(Saturday!$W:$W,Saturday!$A:$A,Summary!$A8,Saturday!$H:$H,Summary!N$2,Saturday!$B:$B,Summary!$L$2)</f>
        <v>0</v>
      </c>
      <c r="O8" s="119">
        <f ca="1">SUMIFS(Sunday!$W:$W,Sunday!$A:$A,Summary!$A8,Sunday!$H:$H,Summary!O$2,Sunday!$B:$B,Summary!$L$2)+
SUMIFS(Monday!$W:$W,Monday!$A:$A,Summary!$A8,Monday!$H:$H,Summary!O$2,Monday!$B:$B,Summary!$L$2)+
SUMIFS(Tuesday!$W:$W,Tuesday!$A:$A,Summary!$A8,Tuesday!$H:$H,Summary!O$2,Tuesday!$B:$B,Summary!$L$2)+
SUMIFS(Wednesday!$W:$W,Wednesday!$A:$A,Summary!$A8,Wednesday!$H:$H,Summary!O$2,Wednesday!$B:$B,Summary!$L$2)+
SUMIFS(Thursday!$W:$W,Thursday!$A:$A,Summary!$A8,Thursday!$H:$H,Summary!O$2,Thursday!$B:$B,Summary!$L$2)+
SUMIFS(Friday!$W:$W,Friday!$A:$A,Summary!$A8,Friday!$H:$H,Summary!O$2,Friday!$B:$B,Summary!$L$2)+
SUMIFS(Saturday!$W:$W,Saturday!$A:$A,Summary!$A8,Saturday!$H:$H,Summary!O$2,Saturday!$B:$B,Summary!$L$2)</f>
        <v>0</v>
      </c>
      <c r="P8" s="119">
        <f ca="1">SUMIFS(Sunday!$W:$W,Sunday!$A:$A,Summary!$A8,Sunday!$H:$H,Summary!P$2,Sunday!$B:$B,Summary!$L$2)+
SUMIFS(Monday!$W:$W,Monday!$A:$A,Summary!$A8,Monday!$H:$H,Summary!P$2,Monday!$B:$B,Summary!$L$2)+
SUMIFS(Tuesday!$W:$W,Tuesday!$A:$A,Summary!$A8,Tuesday!$H:$H,Summary!P$2,Tuesday!$B:$B,Summary!$L$2)+
SUMIFS(Wednesday!$W:$W,Wednesday!$A:$A,Summary!$A8,Wednesday!$H:$H,Summary!P$2,Wednesday!$B:$B,Summary!$L$2)+
SUMIFS(Thursday!$W:$W,Thursday!$A:$A,Summary!$A8,Thursday!$H:$H,Summary!P$2,Thursday!$B:$B,Summary!$L$2)+
SUMIFS(Friday!$W:$W,Friday!$A:$A,Summary!$A8,Friday!$H:$H,Summary!P$2,Friday!$B:$B,Summary!$L$2)+
SUMIFS(Saturday!$W:$W,Saturday!$A:$A,Summary!$A8,Saturday!$H:$H,Summary!P$2,Saturday!$B:$B,Summary!$L$2)</f>
        <v>0</v>
      </c>
      <c r="Q8" s="136">
        <f t="shared" ca="1" si="0"/>
        <v>0</v>
      </c>
      <c r="R8" s="146"/>
      <c r="S8" s="163">
        <f t="shared" ca="1" si="2"/>
        <v>0</v>
      </c>
      <c r="T8" s="145">
        <f t="shared" ca="1" si="3"/>
        <v>0</v>
      </c>
      <c r="W8" t="s">
        <v>104</v>
      </c>
      <c r="X8" t="str">
        <f>IFERROR(VLOOKUP($Y$3,Tuesday!$G:$Y,3,0),"")</f>
        <v/>
      </c>
      <c r="Y8" t="str">
        <f>IFERROR(VLOOKUP($Y$3,Tuesday!$G:$Y,4,0),"")</f>
        <v/>
      </c>
      <c r="Z8" t="str">
        <f>IFERROR(VLOOKUP($Y$3,Tuesday!$G:$Y,5,0),"")</f>
        <v/>
      </c>
      <c r="AA8" t="str">
        <f>IFERROR(VLOOKUP($Y$3,Tuesday!$G:$Y,6,0),"")</f>
        <v/>
      </c>
      <c r="AB8" t="str">
        <f>IFERROR(VLOOKUP($Y$3,Tuesday!$G:$Y,2,0),"")</f>
        <v/>
      </c>
      <c r="AC8" t="str">
        <f>IFERROR(VLOOKUP($Y$3,Tuesday!$G:$Y,17,0),"")</f>
        <v/>
      </c>
    </row>
    <row r="9" spans="1:29" x14ac:dyDescent="0.25">
      <c r="A9" s="73" t="s">
        <v>22</v>
      </c>
      <c r="B9" s="146"/>
      <c r="C9" s="113"/>
      <c r="D9" s="114"/>
      <c r="E9" s="119">
        <f ca="1">SUMIFS(Sunday!$W:$W,Sunday!$A:$A,Summary!$A9,Sunday!$H:$H,Summary!E$2,Sunday!$B:$B,Summary!$D$2)+
SUMIFS(Monday!$W:$W,Monday!$A:$A,Summary!$A9,Monday!$H:$H,Summary!E$2,Monday!$B:$B,Summary!$D$2)+
SUMIFS(Tuesday!$W:$W,Tuesday!$A:$A,Summary!$A9,Tuesday!$H:$H,Summary!E$2,Tuesday!$B:$B,Summary!$D$2)+
SUMIFS(Wednesday!$W:$W,Wednesday!$A:$A,Summary!$A9,Wednesday!$H:$H,Summary!E$2,Wednesday!$B:$B,Summary!$D$2)+
SUMIFS(Thursday!$W:$W,Thursday!$A:$A,Summary!$A9,Thursday!$H:$H,Summary!E$2,Thursday!$B:$B,Summary!$D$2)+
SUMIFS(Friday!$W:$W,Friday!$A:$A,Summary!$A9,Friday!$H:$H,Summary!E$2,Friday!$B:$B,Summary!$D$2)+
SUMIFS(Saturday!$W:$W,Saturday!$A:$A,Summary!$A9,Saturday!$H:$H,Summary!E$2,Saturday!$B:$B,Summary!$D$2)</f>
        <v>0</v>
      </c>
      <c r="F9" s="119">
        <f ca="1">SUMIFS(Sunday!$W:$W,Sunday!$A:$A,Summary!$A9,Sunday!$H:$H,Summary!F$2,Sunday!$B:$B,Summary!$D$2)+
SUMIFS(Monday!$W:$W,Monday!$A:$A,Summary!$A9,Monday!$H:$H,Summary!F$2,Monday!$B:$B,Summary!$D$2)+
SUMIFS(Tuesday!$W:$W,Tuesday!$A:$A,Summary!$A9,Tuesday!$H:$H,Summary!F$2,Tuesday!$B:$B,Summary!$D$2)+
SUMIFS(Wednesday!$W:$W,Wednesday!$A:$A,Summary!$A9,Wednesday!$H:$H,Summary!F$2,Wednesday!$B:$B,Summary!$D$2)+
SUMIFS(Thursday!$W:$W,Thursday!$A:$A,Summary!$A9,Thursday!$H:$H,Summary!F$2,Thursday!$B:$B,Summary!$D$2)+
SUMIFS(Friday!$W:$W,Friday!$A:$A,Summary!$A9,Friday!$H:$H,Summary!F$2,Friday!$B:$B,Summary!$D$2)+
SUMIFS(Saturday!$W:$W,Saturday!$A:$A,Summary!$A9,Saturday!$H:$H,Summary!F$2,Saturday!$B:$B,Summary!$D$2)</f>
        <v>0</v>
      </c>
      <c r="G9" s="119">
        <f ca="1">SUMIFS(Sunday!$W:$W,Sunday!$A:$A,Summary!$A9,Sunday!$H:$H,Summary!G$2,Sunday!$B:$B,Summary!$D$2)+
SUMIFS(Monday!$W:$W,Monday!$A:$A,Summary!$A9,Monday!$H:$H,Summary!G$2,Monday!$B:$B,Summary!$D$2)+
SUMIFS(Tuesday!$W:$W,Tuesday!$A:$A,Summary!$A9,Tuesday!$H:$H,Summary!G$2,Tuesday!$B:$B,Summary!$D$2)+
SUMIFS(Wednesday!$W:$W,Wednesday!$A:$A,Summary!$A9,Wednesday!$H:$H,Summary!G$2,Wednesday!$B:$B,Summary!$D$2)+
SUMIFS(Thursday!$W:$W,Thursday!$A:$A,Summary!$A9,Thursday!$H:$H,Summary!G$2,Thursday!$B:$B,Summary!$D$2)+
SUMIFS(Friday!$W:$W,Friday!$A:$A,Summary!$A9,Friday!$H:$H,Summary!G$2,Friday!$B:$B,Summary!$D$2)+
SUMIFS(Saturday!$W:$W,Saturday!$A:$A,Summary!$A9,Saturday!$H:$H,Summary!G$2,Saturday!$B:$B,Summary!$D$2)</f>
        <v>0</v>
      </c>
      <c r="H9" s="119">
        <f ca="1">SUMIFS(Sunday!$W:$W,Sunday!$A:$A,Summary!$A9,Sunday!$H:$H,Summary!H$2,Sunday!$B:$B,Summary!$D$2)+
SUMIFS(Monday!$W:$W,Monday!$A:$A,Summary!$A9,Monday!$H:$H,Summary!H$2,Monday!$B:$B,Summary!$D$2)+
SUMIFS(Tuesday!$W:$W,Tuesday!$A:$A,Summary!$A9,Tuesday!$H:$H,Summary!H$2,Tuesday!$B:$B,Summary!$D$2)+
SUMIFS(Wednesday!$W:$W,Wednesday!$A:$A,Summary!$A9,Wednesday!$H:$H,Summary!H$2,Wednesday!$B:$B,Summary!$D$2)+
SUMIFS(Thursday!$W:$W,Thursday!$A:$A,Summary!$A9,Thursday!$H:$H,Summary!H$2,Thursday!$B:$B,Summary!$D$2)+
SUMIFS(Friday!$W:$W,Friday!$A:$A,Summary!$A9,Friday!$H:$H,Summary!H$2,Friday!$B:$B,Summary!$D$2)+
SUMIFS(Saturday!$W:$W,Saturday!$A:$A,Summary!$A9,Saturday!$H:$H,Summary!H$2,Saturday!$B:$B,Summary!$D$2)</f>
        <v>0</v>
      </c>
      <c r="I9" s="116">
        <f t="shared" ca="1" si="1"/>
        <v>0</v>
      </c>
      <c r="J9" s="146"/>
      <c r="K9" s="75" t="s">
        <v>86</v>
      </c>
      <c r="L9" s="74"/>
      <c r="M9" s="120">
        <f ca="1">SUMIFS(Sunday!$W:$W,Sunday!$A:$A,Summary!$A9,Sunday!$H:$H,Summary!M$2,Sunday!$B:$B,Summary!$L$2)+
SUMIFS(Monday!$W:$W,Monday!$A:$A,Summary!$A9,Monday!$H:$H,Summary!M$2,Monday!$B:$B,Summary!$L$2)+
SUMIFS(Tuesday!$W:$W,Tuesday!$A:$A,Summary!$A9,Tuesday!$H:$H,Summary!M$2,Tuesday!$B:$B,Summary!$L$2)+
SUMIFS(Wednesday!$W:$W,Wednesday!$A:$A,Summary!$A9,Wednesday!$H:$H,Summary!M$2,Wednesday!$B:$B,Summary!$L$2)+
SUMIFS(Thursday!$W:$W,Thursday!$A:$A,Summary!$A9,Thursday!$H:$H,Summary!M$2,Thursday!$B:$B,Summary!$L$2)+
SUMIFS(Friday!$W:$W,Friday!$A:$A,Summary!$A9,Friday!$H:$H,Summary!M$2,Friday!$B:$B,Summary!$L$2)+
SUMIFS(Saturday!$W:$W,Saturday!$A:$A,Summary!$A9,Saturday!$H:$H,Summary!M$2,Saturday!$B:$B,Summary!$L$2)</f>
        <v>0</v>
      </c>
      <c r="N9" s="120">
        <f ca="1">SUMIFS(Sunday!$W:$W,Sunday!$A:$A,Summary!$A9,Sunday!$H:$H,Summary!N$2,Sunday!$B:$B,Summary!$L$2)+
SUMIFS(Monday!$W:$W,Monday!$A:$A,Summary!$A9,Monday!$H:$H,Summary!N$2,Monday!$B:$B,Summary!$L$2)+
SUMIFS(Tuesday!$W:$W,Tuesday!$A:$A,Summary!$A9,Tuesday!$H:$H,Summary!N$2,Tuesday!$B:$B,Summary!$L$2)+
SUMIFS(Wednesday!$W:$W,Wednesday!$A:$A,Summary!$A9,Wednesday!$H:$H,Summary!N$2,Wednesday!$B:$B,Summary!$L$2)+
SUMIFS(Thursday!$W:$W,Thursday!$A:$A,Summary!$A9,Thursday!$H:$H,Summary!N$2,Thursday!$B:$B,Summary!$L$2)+
SUMIFS(Friday!$W:$W,Friday!$A:$A,Summary!$A9,Friday!$H:$H,Summary!N$2,Friday!$B:$B,Summary!$L$2)+
SUMIFS(Saturday!$W:$W,Saturday!$A:$A,Summary!$A9,Saturday!$H:$H,Summary!N$2,Saturday!$B:$B,Summary!$L$2)</f>
        <v>0</v>
      </c>
      <c r="O9" s="120">
        <f ca="1">SUMIFS(Sunday!$W:$W,Sunday!$A:$A,Summary!$A9,Sunday!$H:$H,Summary!O$2,Sunday!$B:$B,Summary!$L$2)+
SUMIFS(Monday!$W:$W,Monday!$A:$A,Summary!$A9,Monday!$H:$H,Summary!O$2,Monday!$B:$B,Summary!$L$2)+
SUMIFS(Tuesday!$W:$W,Tuesday!$A:$A,Summary!$A9,Tuesday!$H:$H,Summary!O$2,Tuesday!$B:$B,Summary!$L$2)+
SUMIFS(Wednesday!$W:$W,Wednesday!$A:$A,Summary!$A9,Wednesday!$H:$H,Summary!O$2,Wednesday!$B:$B,Summary!$L$2)+
SUMIFS(Thursday!$W:$W,Thursday!$A:$A,Summary!$A9,Thursday!$H:$H,Summary!O$2,Thursday!$B:$B,Summary!$L$2)+
SUMIFS(Friday!$W:$W,Friday!$A:$A,Summary!$A9,Friday!$H:$H,Summary!O$2,Friday!$B:$B,Summary!$L$2)+
SUMIFS(Saturday!$W:$W,Saturday!$A:$A,Summary!$A9,Saturday!$H:$H,Summary!O$2,Saturday!$B:$B,Summary!$L$2)</f>
        <v>0</v>
      </c>
      <c r="P9" s="120">
        <f ca="1">SUMIFS(Sunday!$W:$W,Sunday!$A:$A,Summary!$A9,Sunday!$H:$H,Summary!P$2,Sunday!$B:$B,Summary!$L$2)+
SUMIFS(Monday!$W:$W,Monday!$A:$A,Summary!$A9,Monday!$H:$H,Summary!P$2,Monday!$B:$B,Summary!$L$2)+
SUMIFS(Tuesday!$W:$W,Tuesday!$A:$A,Summary!$A9,Tuesday!$H:$H,Summary!P$2,Tuesday!$B:$B,Summary!$L$2)+
SUMIFS(Wednesday!$W:$W,Wednesday!$A:$A,Summary!$A9,Wednesday!$H:$H,Summary!P$2,Wednesday!$B:$B,Summary!$L$2)+
SUMIFS(Thursday!$W:$W,Thursday!$A:$A,Summary!$A9,Thursday!$H:$H,Summary!P$2,Thursday!$B:$B,Summary!$L$2)+
SUMIFS(Friday!$W:$W,Friday!$A:$A,Summary!$A9,Friday!$H:$H,Summary!P$2,Friday!$B:$B,Summary!$L$2)+
SUMIFS(Saturday!$W:$W,Saturday!$A:$A,Summary!$A9,Saturday!$H:$H,Summary!P$2,Saturday!$B:$B,Summary!$L$2)</f>
        <v>0</v>
      </c>
      <c r="Q9" s="137">
        <f t="shared" ca="1" si="0"/>
        <v>0</v>
      </c>
      <c r="R9" s="146"/>
      <c r="S9" s="163">
        <f t="shared" ca="1" si="2"/>
        <v>0</v>
      </c>
      <c r="T9" s="145">
        <f t="shared" ca="1" si="3"/>
        <v>0</v>
      </c>
      <c r="W9" t="s">
        <v>105</v>
      </c>
      <c r="X9" t="str">
        <f>IFERROR(VLOOKUP($Y$3,Wednesday!$G:$Y,3,0),"")</f>
        <v/>
      </c>
      <c r="Y9" t="str">
        <f>IFERROR(VLOOKUP($Y$3,Wednesday!$G:$Y,4,0),"")</f>
        <v/>
      </c>
      <c r="Z9" t="str">
        <f>IFERROR(VLOOKUP($Y$3,Wednesday!$G:$Y,5,0),"")</f>
        <v/>
      </c>
      <c r="AA9" t="str">
        <f>IFERROR(VLOOKUP($Y$3,Wednesday!$G:$Y,3,0),"")</f>
        <v/>
      </c>
      <c r="AB9" t="str">
        <f>IFERROR(VLOOKUP($Y$3,Wednesday!$G:$Y,2,0),"")</f>
        <v/>
      </c>
      <c r="AC9" t="str">
        <f>IFERROR(VLOOKUP($Y$3,Wednesday!$G:$Y,17,0),"")</f>
        <v/>
      </c>
    </row>
    <row r="10" spans="1:29" x14ac:dyDescent="0.25">
      <c r="A10" s="76" t="s">
        <v>23</v>
      </c>
      <c r="B10" s="146"/>
      <c r="C10" s="77">
        <v>6053</v>
      </c>
      <c r="D10" s="78"/>
      <c r="E10" s="121">
        <f ca="1">SUMIFS(Sunday!$W:$W,Sunday!$A:$A,Summary!$A10,Sunday!$H:$H,Summary!E$2,Sunday!$B:$B,Summary!$D$2)+
SUMIFS(Monday!$W:$W,Monday!$A:$A,Summary!$A10,Monday!$H:$H,Summary!E$2,Monday!$B:$B,Summary!$D$2)+
SUMIFS(Tuesday!$W:$W,Tuesday!$A:$A,Summary!$A10,Tuesday!$H:$H,Summary!E$2,Tuesday!$B:$B,Summary!$D$2)+
SUMIFS(Wednesday!$W:$W,Wednesday!$A:$A,Summary!$A10,Wednesday!$H:$H,Summary!E$2,Wednesday!$B:$B,Summary!$D$2)+
SUMIFS(Thursday!$W:$W,Thursday!$A:$A,Summary!$A10,Thursday!$H:$H,Summary!E$2,Thursday!$B:$B,Summary!$D$2)+
SUMIFS(Friday!$W:$W,Friday!$A:$A,Summary!$A10,Friday!$H:$H,Summary!E$2,Friday!$B:$B,Summary!$D$2)+
SUMIFS(Saturday!$W:$W,Saturday!$A:$A,Summary!$A10,Saturday!$H:$H,Summary!E$2,Saturday!$B:$B,Summary!$D$2)</f>
        <v>0</v>
      </c>
      <c r="F10" s="121">
        <f ca="1">SUMIFS(Sunday!$W:$W,Sunday!$A:$A,Summary!$A10,Sunday!$H:$H,Summary!F$2,Sunday!$B:$B,Summary!$D$2)+
SUMIFS(Monday!$W:$W,Monday!$A:$A,Summary!$A10,Monday!$H:$H,Summary!F$2,Monday!$B:$B,Summary!$D$2)+
SUMIFS(Tuesday!$W:$W,Tuesday!$A:$A,Summary!$A10,Tuesday!$H:$H,Summary!F$2,Tuesday!$B:$B,Summary!$D$2)+
SUMIFS(Wednesday!$W:$W,Wednesday!$A:$A,Summary!$A10,Wednesday!$H:$H,Summary!F$2,Wednesday!$B:$B,Summary!$D$2)+
SUMIFS(Thursday!$W:$W,Thursday!$A:$A,Summary!$A10,Thursday!$H:$H,Summary!F$2,Thursday!$B:$B,Summary!$D$2)+
SUMIFS(Friday!$W:$W,Friday!$A:$A,Summary!$A10,Friday!$H:$H,Summary!F$2,Friday!$B:$B,Summary!$D$2)+
SUMIFS(Saturday!$W:$W,Saturday!$A:$A,Summary!$A10,Saturday!$H:$H,Summary!F$2,Saturday!$B:$B,Summary!$D$2)</f>
        <v>0</v>
      </c>
      <c r="G10" s="121">
        <f ca="1">SUMIFS(Sunday!$W:$W,Sunday!$A:$A,Summary!$A10,Sunday!$H:$H,Summary!G$2,Sunday!$B:$B,Summary!$D$2)+
SUMIFS(Monday!$W:$W,Monday!$A:$A,Summary!$A10,Monday!$H:$H,Summary!G$2,Monday!$B:$B,Summary!$D$2)+
SUMIFS(Tuesday!$W:$W,Tuesday!$A:$A,Summary!$A10,Tuesday!$H:$H,Summary!G$2,Tuesday!$B:$B,Summary!$D$2)+
SUMIFS(Wednesday!$W:$W,Wednesday!$A:$A,Summary!$A10,Wednesday!$H:$H,Summary!G$2,Wednesday!$B:$B,Summary!$D$2)+
SUMIFS(Thursday!$W:$W,Thursday!$A:$A,Summary!$A10,Thursday!$H:$H,Summary!G$2,Thursday!$B:$B,Summary!$D$2)+
SUMIFS(Friday!$W:$W,Friday!$A:$A,Summary!$A10,Friday!$H:$H,Summary!G$2,Friday!$B:$B,Summary!$D$2)+
SUMIFS(Saturday!$W:$W,Saturday!$A:$A,Summary!$A10,Saturday!$H:$H,Summary!G$2,Saturday!$B:$B,Summary!$D$2)</f>
        <v>0</v>
      </c>
      <c r="H10" s="121">
        <f ca="1">SUMIFS(Sunday!$W:$W,Sunday!$A:$A,Summary!$A10,Sunday!$H:$H,Summary!H$2,Sunday!$B:$B,Summary!$D$2)+
SUMIFS(Monday!$W:$W,Monday!$A:$A,Summary!$A10,Monday!$H:$H,Summary!H$2,Monday!$B:$B,Summary!$D$2)+
SUMIFS(Tuesday!$W:$W,Tuesday!$A:$A,Summary!$A10,Tuesday!$H:$H,Summary!H$2,Tuesday!$B:$B,Summary!$D$2)+
SUMIFS(Wednesday!$W:$W,Wednesday!$A:$A,Summary!$A10,Wednesday!$H:$H,Summary!H$2,Wednesday!$B:$B,Summary!$D$2)+
SUMIFS(Thursday!$W:$W,Thursday!$A:$A,Summary!$A10,Thursday!$H:$H,Summary!H$2,Thursday!$B:$B,Summary!$D$2)+
SUMIFS(Friday!$W:$W,Friday!$A:$A,Summary!$A10,Friday!$H:$H,Summary!H$2,Friday!$B:$B,Summary!$D$2)+
SUMIFS(Saturday!$W:$W,Saturday!$A:$A,Summary!$A10,Saturday!$H:$H,Summary!H$2,Saturday!$B:$B,Summary!$D$2)</f>
        <v>0</v>
      </c>
      <c r="I10" s="151">
        <f t="shared" ca="1" si="1"/>
        <v>0</v>
      </c>
      <c r="J10" s="146"/>
      <c r="K10" s="79" t="s">
        <v>87</v>
      </c>
      <c r="L10" s="78"/>
      <c r="M10" s="121">
        <f ca="1">SUMIFS(Sunday!$W:$W,Sunday!$A:$A,Summary!$A10,Sunday!$H:$H,Summary!M$2,Sunday!$B:$B,Summary!$L$2)+
SUMIFS(Monday!$W:$W,Monday!$A:$A,Summary!$A10,Monday!$H:$H,Summary!M$2,Monday!$B:$B,Summary!$L$2)+
SUMIFS(Tuesday!$W:$W,Tuesday!$A:$A,Summary!$A10,Tuesday!$H:$H,Summary!M$2,Tuesday!$B:$B,Summary!$L$2)+
SUMIFS(Wednesday!$W:$W,Wednesday!$A:$A,Summary!$A10,Wednesday!$H:$H,Summary!M$2,Wednesday!$B:$B,Summary!$L$2)+
SUMIFS(Thursday!$W:$W,Thursday!$A:$A,Summary!$A10,Thursday!$H:$H,Summary!M$2,Thursday!$B:$B,Summary!$L$2)+
SUMIFS(Friday!$W:$W,Friday!$A:$A,Summary!$A10,Friday!$H:$H,Summary!M$2,Friday!$B:$B,Summary!$L$2)+
SUMIFS(Saturday!$W:$W,Saturday!$A:$A,Summary!$A10,Saturday!$H:$H,Summary!M$2,Saturday!$B:$B,Summary!$L$2)</f>
        <v>0</v>
      </c>
      <c r="N10" s="121">
        <f ca="1">SUMIFS(Sunday!$W:$W,Sunday!$A:$A,Summary!$A10,Sunday!$H:$H,Summary!N$2,Sunday!$B:$B,Summary!$L$2)+
SUMIFS(Monday!$W:$W,Monday!$A:$A,Summary!$A10,Monday!$H:$H,Summary!N$2,Monday!$B:$B,Summary!$L$2)+
SUMIFS(Tuesday!$W:$W,Tuesday!$A:$A,Summary!$A10,Tuesday!$H:$H,Summary!N$2,Tuesday!$B:$B,Summary!$L$2)+
SUMIFS(Wednesday!$W:$W,Wednesday!$A:$A,Summary!$A10,Wednesday!$H:$H,Summary!N$2,Wednesday!$B:$B,Summary!$L$2)+
SUMIFS(Thursday!$W:$W,Thursday!$A:$A,Summary!$A10,Thursday!$H:$H,Summary!N$2,Thursday!$B:$B,Summary!$L$2)+
SUMIFS(Friday!$W:$W,Friday!$A:$A,Summary!$A10,Friday!$H:$H,Summary!N$2,Friday!$B:$B,Summary!$L$2)+
SUMIFS(Saturday!$W:$W,Saturday!$A:$A,Summary!$A10,Saturday!$H:$H,Summary!N$2,Saturday!$B:$B,Summary!$L$2)</f>
        <v>0</v>
      </c>
      <c r="O10" s="121">
        <f ca="1">SUMIFS(Sunday!$W:$W,Sunday!$A:$A,Summary!$A10,Sunday!$H:$H,Summary!O$2,Sunday!$B:$B,Summary!$L$2)+
SUMIFS(Monday!$W:$W,Monday!$A:$A,Summary!$A10,Monday!$H:$H,Summary!O$2,Monday!$B:$B,Summary!$L$2)+
SUMIFS(Tuesday!$W:$W,Tuesday!$A:$A,Summary!$A10,Tuesday!$H:$H,Summary!O$2,Tuesday!$B:$B,Summary!$L$2)+
SUMIFS(Wednesday!$W:$W,Wednesday!$A:$A,Summary!$A10,Wednesday!$H:$H,Summary!O$2,Wednesday!$B:$B,Summary!$L$2)+
SUMIFS(Thursday!$W:$W,Thursday!$A:$A,Summary!$A10,Thursday!$H:$H,Summary!O$2,Thursday!$B:$B,Summary!$L$2)+
SUMIFS(Friday!$W:$W,Friday!$A:$A,Summary!$A10,Friday!$H:$H,Summary!O$2,Friday!$B:$B,Summary!$L$2)+
SUMIFS(Saturday!$W:$W,Saturday!$A:$A,Summary!$A10,Saturday!$H:$H,Summary!O$2,Saturday!$B:$B,Summary!$L$2)</f>
        <v>0</v>
      </c>
      <c r="P10" s="121">
        <f ca="1">SUMIFS(Sunday!$W:$W,Sunday!$A:$A,Summary!$A10,Sunday!$H:$H,Summary!P$2,Sunday!$B:$B,Summary!$L$2)+
SUMIFS(Monday!$W:$W,Monday!$A:$A,Summary!$A10,Monday!$H:$H,Summary!P$2,Monday!$B:$B,Summary!$L$2)+
SUMIFS(Tuesday!$W:$W,Tuesday!$A:$A,Summary!$A10,Tuesday!$H:$H,Summary!P$2,Tuesday!$B:$B,Summary!$L$2)+
SUMIFS(Wednesday!$W:$W,Wednesday!$A:$A,Summary!$A10,Wednesday!$H:$H,Summary!P$2,Wednesday!$B:$B,Summary!$L$2)+
SUMIFS(Thursday!$W:$W,Thursday!$A:$A,Summary!$A10,Thursday!$H:$H,Summary!P$2,Thursday!$B:$B,Summary!$L$2)+
SUMIFS(Friday!$W:$W,Friday!$A:$A,Summary!$A10,Friday!$H:$H,Summary!P$2,Friday!$B:$B,Summary!$L$2)+
SUMIFS(Saturday!$W:$W,Saturday!$A:$A,Summary!$A10,Saturday!$H:$H,Summary!P$2,Saturday!$B:$B,Summary!$L$2)</f>
        <v>0</v>
      </c>
      <c r="Q10" s="138">
        <f t="shared" ca="1" si="0"/>
        <v>0</v>
      </c>
      <c r="R10" s="146"/>
      <c r="S10" s="163">
        <f t="shared" ca="1" si="2"/>
        <v>0</v>
      </c>
      <c r="T10" s="145">
        <f t="shared" ca="1" si="3"/>
        <v>0</v>
      </c>
      <c r="W10" t="s">
        <v>106</v>
      </c>
      <c r="X10" t="str">
        <f>IFERROR(VLOOKUP($Y$3,Thursday!$G:$Y,3,0),"")</f>
        <v/>
      </c>
      <c r="Y10" t="str">
        <f>IFERROR(VLOOKUP($Y$3,Thursday!$G:$Y,4,0),"")</f>
        <v/>
      </c>
      <c r="Z10" t="str">
        <f>IFERROR(VLOOKUP($Y$3,Thursday!$G:$Y,5,0),"")</f>
        <v/>
      </c>
      <c r="AA10" t="str">
        <f>IFERROR(VLOOKUP($Y$3,Thursday!$G:$Y,6,0),"")</f>
        <v/>
      </c>
      <c r="AB10" t="str">
        <f>IFERROR(VLOOKUP($Y$3,Thursday!$G:$Y,2,0),"")</f>
        <v/>
      </c>
      <c r="AC10" t="str">
        <f>IFERROR(VLOOKUP($Y$3,Thursday!$G:$Y,17,0),"")</f>
        <v/>
      </c>
    </row>
    <row r="11" spans="1:29" x14ac:dyDescent="0.25">
      <c r="A11" s="80" t="s">
        <v>24</v>
      </c>
      <c r="B11" s="146"/>
      <c r="C11" s="81">
        <v>6007</v>
      </c>
      <c r="D11" s="82"/>
      <c r="E11" s="132">
        <f ca="1">SUMIFS(Sunday!$W:$W,Sunday!$A:$A,Summary!$A11,Sunday!$H:$H,Summary!E$2,Sunday!$B:$B,Summary!$D$2)+
SUMIFS(Monday!$W:$W,Monday!$A:$A,Summary!$A11,Monday!$H:$H,Summary!E$2,Monday!$B:$B,Summary!$D$2)+
SUMIFS(Tuesday!$W:$W,Tuesday!$A:$A,Summary!$A11,Tuesday!$H:$H,Summary!E$2,Tuesday!$B:$B,Summary!$D$2)+
SUMIFS(Wednesday!$W:$W,Wednesday!$A:$A,Summary!$A11,Wednesday!$H:$H,Summary!E$2,Wednesday!$B:$B,Summary!$D$2)+
SUMIFS(Thursday!$W:$W,Thursday!$A:$A,Summary!$A11,Thursday!$H:$H,Summary!E$2,Thursday!$B:$B,Summary!$D$2)+
SUMIFS(Friday!$W:$W,Friday!$A:$A,Summary!$A11,Friday!$H:$H,Summary!E$2,Friday!$B:$B,Summary!$D$2)+
SUMIFS(Saturday!$W:$W,Saturday!$A:$A,Summary!$A11,Saturday!$H:$H,Summary!E$2,Saturday!$B:$B,Summary!$D$2)</f>
        <v>0</v>
      </c>
      <c r="F11" s="132">
        <f ca="1">SUMIFS(Sunday!$W:$W,Sunday!$A:$A,Summary!$A11,Sunday!$H:$H,Summary!F$2,Sunday!$B:$B,Summary!$D$2)+
SUMIFS(Monday!$W:$W,Monday!$A:$A,Summary!$A11,Monday!$H:$H,Summary!F$2,Monday!$B:$B,Summary!$D$2)+
SUMIFS(Tuesday!$W:$W,Tuesday!$A:$A,Summary!$A11,Tuesday!$H:$H,Summary!F$2,Tuesday!$B:$B,Summary!$D$2)+
SUMIFS(Wednesday!$W:$W,Wednesday!$A:$A,Summary!$A11,Wednesday!$H:$H,Summary!F$2,Wednesday!$B:$B,Summary!$D$2)+
SUMIFS(Thursday!$W:$W,Thursday!$A:$A,Summary!$A11,Thursday!$H:$H,Summary!F$2,Thursday!$B:$B,Summary!$D$2)+
SUMIFS(Friday!$W:$W,Friday!$A:$A,Summary!$A11,Friday!$H:$H,Summary!F$2,Friday!$B:$B,Summary!$D$2)+
SUMIFS(Saturday!$W:$W,Saturday!$A:$A,Summary!$A11,Saturday!$H:$H,Summary!F$2,Saturday!$B:$B,Summary!$D$2)</f>
        <v>0</v>
      </c>
      <c r="G11" s="132">
        <f ca="1">SUMIFS(Sunday!$W:$W,Sunday!$A:$A,Summary!$A11,Sunday!$H:$H,Summary!G$2,Sunday!$B:$B,Summary!$D$2)+
SUMIFS(Monday!$W:$W,Monday!$A:$A,Summary!$A11,Monday!$H:$H,Summary!G$2,Monday!$B:$B,Summary!$D$2)+
SUMIFS(Tuesday!$W:$W,Tuesday!$A:$A,Summary!$A11,Tuesday!$H:$H,Summary!G$2,Tuesday!$B:$B,Summary!$D$2)+
SUMIFS(Wednesday!$W:$W,Wednesday!$A:$A,Summary!$A11,Wednesday!$H:$H,Summary!G$2,Wednesday!$B:$B,Summary!$D$2)+
SUMIFS(Thursday!$W:$W,Thursday!$A:$A,Summary!$A11,Thursday!$H:$H,Summary!G$2,Thursday!$B:$B,Summary!$D$2)+
SUMIFS(Friday!$W:$W,Friday!$A:$A,Summary!$A11,Friday!$H:$H,Summary!G$2,Friday!$B:$B,Summary!$D$2)+
SUMIFS(Saturday!$W:$W,Saturday!$A:$A,Summary!$A11,Saturday!$H:$H,Summary!G$2,Saturday!$B:$B,Summary!$D$2)</f>
        <v>0</v>
      </c>
      <c r="H11" s="132">
        <f ca="1">SUMIFS(Sunday!$W:$W,Sunday!$A:$A,Summary!$A11,Sunday!$H:$H,Summary!H$2,Sunday!$B:$B,Summary!$D$2)+
SUMIFS(Monday!$W:$W,Monday!$A:$A,Summary!$A11,Monday!$H:$H,Summary!H$2,Monday!$B:$B,Summary!$D$2)+
SUMIFS(Tuesday!$W:$W,Tuesday!$A:$A,Summary!$A11,Tuesday!$H:$H,Summary!H$2,Tuesday!$B:$B,Summary!$D$2)+
SUMIFS(Wednesday!$W:$W,Wednesday!$A:$A,Summary!$A11,Wednesday!$H:$H,Summary!H$2,Wednesday!$B:$B,Summary!$D$2)+
SUMIFS(Thursday!$W:$W,Thursday!$A:$A,Summary!$A11,Thursday!$H:$H,Summary!H$2,Thursday!$B:$B,Summary!$D$2)+
SUMIFS(Friday!$W:$W,Friday!$A:$A,Summary!$A11,Friday!$H:$H,Summary!H$2,Friday!$B:$B,Summary!$D$2)+
SUMIFS(Saturday!$W:$W,Saturday!$A:$A,Summary!$A11,Saturday!$H:$H,Summary!H$2,Saturday!$B:$B,Summary!$D$2)</f>
        <v>0</v>
      </c>
      <c r="I11" s="152">
        <f t="shared" ca="1" si="1"/>
        <v>0</v>
      </c>
      <c r="J11" s="146"/>
      <c r="K11" s="115"/>
      <c r="L11" s="114"/>
      <c r="M11" s="119">
        <f ca="1">SUMIFS(Sunday!$W:$W,Sunday!$A:$A,Summary!$A11,Sunday!$H:$H,Summary!M$2,Sunday!$B:$B,Summary!$L$2)+
SUMIFS(Monday!$W:$W,Monday!$A:$A,Summary!$A11,Monday!$H:$H,Summary!M$2,Monday!$B:$B,Summary!$L$2)+
SUMIFS(Tuesday!$W:$W,Tuesday!$A:$A,Summary!$A11,Tuesday!$H:$H,Summary!M$2,Tuesday!$B:$B,Summary!$L$2)+
SUMIFS(Wednesday!$W:$W,Wednesday!$A:$A,Summary!$A11,Wednesday!$H:$H,Summary!M$2,Wednesday!$B:$B,Summary!$L$2)+
SUMIFS(Thursday!$W:$W,Thursday!$A:$A,Summary!$A11,Thursday!$H:$H,Summary!M$2,Thursday!$B:$B,Summary!$L$2)+
SUMIFS(Friday!$W:$W,Friday!$A:$A,Summary!$A11,Friday!$H:$H,Summary!M$2,Friday!$B:$B,Summary!$L$2)+
SUMIFS(Saturday!$W:$W,Saturday!$A:$A,Summary!$A11,Saturday!$H:$H,Summary!M$2,Saturday!$B:$B,Summary!$L$2)</f>
        <v>0</v>
      </c>
      <c r="N11" s="119">
        <f ca="1">SUMIFS(Sunday!$W:$W,Sunday!$A:$A,Summary!$A11,Sunday!$H:$H,Summary!N$2,Sunday!$B:$B,Summary!$L$2)+
SUMIFS(Monday!$W:$W,Monday!$A:$A,Summary!$A11,Monday!$H:$H,Summary!N$2,Monday!$B:$B,Summary!$L$2)+
SUMIFS(Tuesday!$W:$W,Tuesday!$A:$A,Summary!$A11,Tuesday!$H:$H,Summary!N$2,Tuesday!$B:$B,Summary!$L$2)+
SUMIFS(Wednesday!$W:$W,Wednesday!$A:$A,Summary!$A11,Wednesday!$H:$H,Summary!N$2,Wednesday!$B:$B,Summary!$L$2)+
SUMIFS(Thursday!$W:$W,Thursday!$A:$A,Summary!$A11,Thursday!$H:$H,Summary!N$2,Thursday!$B:$B,Summary!$L$2)+
SUMIFS(Friday!$W:$W,Friday!$A:$A,Summary!$A11,Friday!$H:$H,Summary!N$2,Friday!$B:$B,Summary!$L$2)+
SUMIFS(Saturday!$W:$W,Saturday!$A:$A,Summary!$A11,Saturday!$H:$H,Summary!N$2,Saturday!$B:$B,Summary!$L$2)</f>
        <v>0</v>
      </c>
      <c r="O11" s="119">
        <f ca="1">SUMIFS(Sunday!$W:$W,Sunday!$A:$A,Summary!$A11,Sunday!$H:$H,Summary!O$2,Sunday!$B:$B,Summary!$L$2)+
SUMIFS(Monday!$W:$W,Monday!$A:$A,Summary!$A11,Monday!$H:$H,Summary!O$2,Monday!$B:$B,Summary!$L$2)+
SUMIFS(Tuesday!$W:$W,Tuesday!$A:$A,Summary!$A11,Tuesday!$H:$H,Summary!O$2,Tuesday!$B:$B,Summary!$L$2)+
SUMIFS(Wednesday!$W:$W,Wednesday!$A:$A,Summary!$A11,Wednesday!$H:$H,Summary!O$2,Wednesday!$B:$B,Summary!$L$2)+
SUMIFS(Thursday!$W:$W,Thursday!$A:$A,Summary!$A11,Thursday!$H:$H,Summary!O$2,Thursday!$B:$B,Summary!$L$2)+
SUMIFS(Friday!$W:$W,Friday!$A:$A,Summary!$A11,Friday!$H:$H,Summary!O$2,Friday!$B:$B,Summary!$L$2)+
SUMIFS(Saturday!$W:$W,Saturday!$A:$A,Summary!$A11,Saturday!$H:$H,Summary!O$2,Saturday!$B:$B,Summary!$L$2)</f>
        <v>0</v>
      </c>
      <c r="P11" s="119">
        <f ca="1">SUMIFS(Sunday!$W:$W,Sunday!$A:$A,Summary!$A11,Sunday!$H:$H,Summary!P$2,Sunday!$B:$B,Summary!$L$2)+
SUMIFS(Monday!$W:$W,Monday!$A:$A,Summary!$A11,Monday!$H:$H,Summary!P$2,Monday!$B:$B,Summary!$L$2)+
SUMIFS(Tuesday!$W:$W,Tuesday!$A:$A,Summary!$A11,Tuesday!$H:$H,Summary!P$2,Tuesday!$B:$B,Summary!$L$2)+
SUMIFS(Wednesday!$W:$W,Wednesday!$A:$A,Summary!$A11,Wednesday!$H:$H,Summary!P$2,Wednesday!$B:$B,Summary!$L$2)+
SUMIFS(Thursday!$W:$W,Thursday!$A:$A,Summary!$A11,Thursday!$H:$H,Summary!P$2,Thursday!$B:$B,Summary!$L$2)+
SUMIFS(Friday!$W:$W,Friday!$A:$A,Summary!$A11,Friday!$H:$H,Summary!P$2,Friday!$B:$B,Summary!$L$2)+
SUMIFS(Saturday!$W:$W,Saturday!$A:$A,Summary!$A11,Saturday!$H:$H,Summary!P$2,Saturday!$B:$B,Summary!$L$2)</f>
        <v>0</v>
      </c>
      <c r="Q11" s="136">
        <f t="shared" ca="1" si="0"/>
        <v>0</v>
      </c>
      <c r="R11" s="146"/>
      <c r="S11" s="163">
        <f t="shared" ca="1" si="2"/>
        <v>0</v>
      </c>
      <c r="T11" s="145">
        <f t="shared" ca="1" si="3"/>
        <v>0</v>
      </c>
      <c r="W11" t="s">
        <v>107</v>
      </c>
      <c r="X11" t="str">
        <f>IFERROR(VLOOKUP($Y$3,Friday!$G:$Y,3,0),"")</f>
        <v/>
      </c>
      <c r="Y11" t="str">
        <f>IFERROR(VLOOKUP($Y$3,Friday!$G:$Y,4,0),"")</f>
        <v/>
      </c>
      <c r="Z11" t="str">
        <f>IFERROR(VLOOKUP($Y$3,Friday!$G:$Y,5,0),"")</f>
        <v/>
      </c>
      <c r="AA11" t="str">
        <f>IFERROR(VLOOKUP($Y$3,Friday!$G:$Y,6,0),"")</f>
        <v/>
      </c>
      <c r="AB11" t="str">
        <f>IFERROR(VLOOKUP($Y$3,Friday!$G:$Y,2,0),"")</f>
        <v/>
      </c>
      <c r="AC11" t="str">
        <f>IFERROR(VLOOKUP($Y$3,Friday!$G:$Y,17,0),"")</f>
        <v/>
      </c>
    </row>
    <row r="12" spans="1:29" x14ac:dyDescent="0.25">
      <c r="A12" s="83" t="s">
        <v>25</v>
      </c>
      <c r="B12" s="146"/>
      <c r="C12" s="84">
        <v>6004</v>
      </c>
      <c r="D12" s="85"/>
      <c r="E12" s="122">
        <f ca="1">SUMIFS(Sunday!$W:$W,Sunday!$A:$A,Summary!$A12,Sunday!$H:$H,Summary!E$2,Sunday!$B:$B,Summary!$D$2)+
SUMIFS(Monday!$W:$W,Monday!$A:$A,Summary!$A12,Monday!$H:$H,Summary!E$2,Monday!$B:$B,Summary!$D$2)+
SUMIFS(Tuesday!$W:$W,Tuesday!$A:$A,Summary!$A12,Tuesday!$H:$H,Summary!E$2,Tuesday!$B:$B,Summary!$D$2)+
SUMIFS(Wednesday!$W:$W,Wednesday!$A:$A,Summary!$A12,Wednesday!$H:$H,Summary!E$2,Wednesday!$B:$B,Summary!$D$2)+
SUMIFS(Thursday!$W:$W,Thursday!$A:$A,Summary!$A12,Thursday!$H:$H,Summary!E$2,Thursday!$B:$B,Summary!$D$2)+
SUMIFS(Friday!$W:$W,Friday!$A:$A,Summary!$A12,Friday!$H:$H,Summary!E$2,Friday!$B:$B,Summary!$D$2)+
SUMIFS(Saturday!$W:$W,Saturday!$A:$A,Summary!$A12,Saturday!$H:$H,Summary!E$2,Saturday!$B:$B,Summary!$D$2)</f>
        <v>0</v>
      </c>
      <c r="F12" s="122">
        <f ca="1">SUMIFS(Sunday!$W:$W,Sunday!$A:$A,Summary!$A12,Sunday!$H:$H,Summary!F$2,Sunday!$B:$B,Summary!$D$2)+
SUMIFS(Monday!$W:$W,Monday!$A:$A,Summary!$A12,Monday!$H:$H,Summary!F$2,Monday!$B:$B,Summary!$D$2)+
SUMIFS(Tuesday!$W:$W,Tuesday!$A:$A,Summary!$A12,Tuesday!$H:$H,Summary!F$2,Tuesday!$B:$B,Summary!$D$2)+
SUMIFS(Wednesday!$W:$W,Wednesday!$A:$A,Summary!$A12,Wednesday!$H:$H,Summary!F$2,Wednesday!$B:$B,Summary!$D$2)+
SUMIFS(Thursday!$W:$W,Thursday!$A:$A,Summary!$A12,Thursday!$H:$H,Summary!F$2,Thursday!$B:$B,Summary!$D$2)+
SUMIFS(Friday!$W:$W,Friday!$A:$A,Summary!$A12,Friday!$H:$H,Summary!F$2,Friday!$B:$B,Summary!$D$2)+
SUMIFS(Saturday!$W:$W,Saturday!$A:$A,Summary!$A12,Saturday!$H:$H,Summary!F$2,Saturday!$B:$B,Summary!$D$2)</f>
        <v>0</v>
      </c>
      <c r="G12" s="122">
        <f ca="1">SUMIFS(Sunday!$W:$W,Sunday!$A:$A,Summary!$A12,Sunday!$H:$H,Summary!G$2,Sunday!$B:$B,Summary!$D$2)+
SUMIFS(Monday!$W:$W,Monday!$A:$A,Summary!$A12,Monday!$H:$H,Summary!G$2,Monday!$B:$B,Summary!$D$2)+
SUMIFS(Tuesday!$W:$W,Tuesday!$A:$A,Summary!$A12,Tuesday!$H:$H,Summary!G$2,Tuesday!$B:$B,Summary!$D$2)+
SUMIFS(Wednesday!$W:$W,Wednesday!$A:$A,Summary!$A12,Wednesday!$H:$H,Summary!G$2,Wednesday!$B:$B,Summary!$D$2)+
SUMIFS(Thursday!$W:$W,Thursday!$A:$A,Summary!$A12,Thursday!$H:$H,Summary!G$2,Thursday!$B:$B,Summary!$D$2)+
SUMIFS(Friday!$W:$W,Friday!$A:$A,Summary!$A12,Friday!$H:$H,Summary!G$2,Friday!$B:$B,Summary!$D$2)+
SUMIFS(Saturday!$W:$W,Saturday!$A:$A,Summary!$A12,Saturday!$H:$H,Summary!G$2,Saturday!$B:$B,Summary!$D$2)</f>
        <v>0</v>
      </c>
      <c r="H12" s="122">
        <f ca="1">SUMIFS(Sunday!$W:$W,Sunday!$A:$A,Summary!$A12,Sunday!$H:$H,Summary!H$2,Sunday!$B:$B,Summary!$D$2)+
SUMIFS(Monday!$W:$W,Monday!$A:$A,Summary!$A12,Monday!$H:$H,Summary!H$2,Monday!$B:$B,Summary!$D$2)+
SUMIFS(Tuesday!$W:$W,Tuesday!$A:$A,Summary!$A12,Tuesday!$H:$H,Summary!H$2,Tuesday!$B:$B,Summary!$D$2)+
SUMIFS(Wednesday!$W:$W,Wednesday!$A:$A,Summary!$A12,Wednesday!$H:$H,Summary!H$2,Wednesday!$B:$B,Summary!$D$2)+
SUMIFS(Thursday!$W:$W,Thursday!$A:$A,Summary!$A12,Thursday!$H:$H,Summary!H$2,Thursday!$B:$B,Summary!$D$2)+
SUMIFS(Friday!$W:$W,Friday!$A:$A,Summary!$A12,Friday!$H:$H,Summary!H$2,Friday!$B:$B,Summary!$D$2)+
SUMIFS(Saturday!$W:$W,Saturday!$A:$A,Summary!$A12,Saturday!$H:$H,Summary!H$2,Saturday!$B:$B,Summary!$D$2)</f>
        <v>0</v>
      </c>
      <c r="I12" s="153">
        <f t="shared" ca="1" si="1"/>
        <v>0</v>
      </c>
      <c r="J12" s="146"/>
      <c r="K12" s="86" t="s">
        <v>88</v>
      </c>
      <c r="L12" s="85"/>
      <c r="M12" s="122">
        <f ca="1">SUMIFS(Sunday!$W:$W,Sunday!$A:$A,Summary!$A12,Sunday!$H:$H,Summary!M$2,Sunday!$B:$B,Summary!$L$2)+
SUMIFS(Monday!$W:$W,Monday!$A:$A,Summary!$A12,Monday!$H:$H,Summary!M$2,Monday!$B:$B,Summary!$L$2)+
SUMIFS(Tuesday!$W:$W,Tuesday!$A:$A,Summary!$A12,Tuesday!$H:$H,Summary!M$2,Tuesday!$B:$B,Summary!$L$2)+
SUMIFS(Wednesday!$W:$W,Wednesday!$A:$A,Summary!$A12,Wednesday!$H:$H,Summary!M$2,Wednesday!$B:$B,Summary!$L$2)+
SUMIFS(Thursday!$W:$W,Thursday!$A:$A,Summary!$A12,Thursday!$H:$H,Summary!M$2,Thursday!$B:$B,Summary!$L$2)+
SUMIFS(Friday!$W:$W,Friday!$A:$A,Summary!$A12,Friday!$H:$H,Summary!M$2,Friday!$B:$B,Summary!$L$2)+
SUMIFS(Saturday!$W:$W,Saturday!$A:$A,Summary!$A12,Saturday!$H:$H,Summary!M$2,Saturday!$B:$B,Summary!$L$2)</f>
        <v>0</v>
      </c>
      <c r="N12" s="122">
        <f ca="1">SUMIFS(Sunday!$W:$W,Sunday!$A:$A,Summary!$A12,Sunday!$H:$H,Summary!N$2,Sunday!$B:$B,Summary!$L$2)+
SUMIFS(Monday!$W:$W,Monday!$A:$A,Summary!$A12,Monday!$H:$H,Summary!N$2,Monday!$B:$B,Summary!$L$2)+
SUMIFS(Tuesday!$W:$W,Tuesday!$A:$A,Summary!$A12,Tuesday!$H:$H,Summary!N$2,Tuesday!$B:$B,Summary!$L$2)+
SUMIFS(Wednesday!$W:$W,Wednesday!$A:$A,Summary!$A12,Wednesday!$H:$H,Summary!N$2,Wednesday!$B:$B,Summary!$L$2)+
SUMIFS(Thursday!$W:$W,Thursday!$A:$A,Summary!$A12,Thursday!$H:$H,Summary!N$2,Thursday!$B:$B,Summary!$L$2)+
SUMIFS(Friday!$W:$W,Friday!$A:$A,Summary!$A12,Friday!$H:$H,Summary!N$2,Friday!$B:$B,Summary!$L$2)+
SUMIFS(Saturday!$W:$W,Saturday!$A:$A,Summary!$A12,Saturday!$H:$H,Summary!N$2,Saturday!$B:$B,Summary!$L$2)</f>
        <v>0</v>
      </c>
      <c r="O12" s="122">
        <f ca="1">SUMIFS(Sunday!$W:$W,Sunday!$A:$A,Summary!$A12,Sunday!$H:$H,Summary!O$2,Sunday!$B:$B,Summary!$L$2)+
SUMIFS(Monday!$W:$W,Monday!$A:$A,Summary!$A12,Monday!$H:$H,Summary!O$2,Monday!$B:$B,Summary!$L$2)+
SUMIFS(Tuesday!$W:$W,Tuesday!$A:$A,Summary!$A12,Tuesday!$H:$H,Summary!O$2,Tuesday!$B:$B,Summary!$L$2)+
SUMIFS(Wednesday!$W:$W,Wednesday!$A:$A,Summary!$A12,Wednesday!$H:$H,Summary!O$2,Wednesday!$B:$B,Summary!$L$2)+
SUMIFS(Thursday!$W:$W,Thursday!$A:$A,Summary!$A12,Thursday!$H:$H,Summary!O$2,Thursday!$B:$B,Summary!$L$2)+
SUMIFS(Friday!$W:$W,Friday!$A:$A,Summary!$A12,Friday!$H:$H,Summary!O$2,Friday!$B:$B,Summary!$L$2)+
SUMIFS(Saturday!$W:$W,Saturday!$A:$A,Summary!$A12,Saturday!$H:$H,Summary!O$2,Saturday!$B:$B,Summary!$L$2)</f>
        <v>0</v>
      </c>
      <c r="P12" s="122">
        <f ca="1">SUMIFS(Sunday!$W:$W,Sunday!$A:$A,Summary!$A12,Sunday!$H:$H,Summary!P$2,Sunday!$B:$B,Summary!$L$2)+
SUMIFS(Monday!$W:$W,Monday!$A:$A,Summary!$A12,Monday!$H:$H,Summary!P$2,Monday!$B:$B,Summary!$L$2)+
SUMIFS(Tuesday!$W:$W,Tuesday!$A:$A,Summary!$A12,Tuesday!$H:$H,Summary!P$2,Tuesday!$B:$B,Summary!$L$2)+
SUMIFS(Wednesday!$W:$W,Wednesday!$A:$A,Summary!$A12,Wednesday!$H:$H,Summary!P$2,Wednesday!$B:$B,Summary!$L$2)+
SUMIFS(Thursday!$W:$W,Thursday!$A:$A,Summary!$A12,Thursday!$H:$H,Summary!P$2,Thursday!$B:$B,Summary!$L$2)+
SUMIFS(Friday!$W:$W,Friday!$A:$A,Summary!$A12,Friday!$H:$H,Summary!P$2,Friday!$B:$B,Summary!$L$2)+
SUMIFS(Saturday!$W:$W,Saturday!$A:$A,Summary!$A12,Saturday!$H:$H,Summary!P$2,Saturday!$B:$B,Summary!$L$2)</f>
        <v>0</v>
      </c>
      <c r="Q12" s="139">
        <f t="shared" ca="1" si="0"/>
        <v>0</v>
      </c>
      <c r="R12" s="146"/>
      <c r="S12" s="163">
        <f t="shared" ca="1" si="2"/>
        <v>0</v>
      </c>
      <c r="T12" s="145">
        <f t="shared" ca="1" si="3"/>
        <v>0</v>
      </c>
      <c r="W12" t="s">
        <v>108</v>
      </c>
      <c r="X12" t="str">
        <f>IFERROR(VLOOKUP($Y$3,Saturday!$G:$Y,3,0),"")</f>
        <v/>
      </c>
      <c r="Y12" t="str">
        <f>IFERROR(VLOOKUP($Y$3,Saturday!$G:$Y,4,0),"")</f>
        <v/>
      </c>
      <c r="Z12" t="str">
        <f>IFERROR(VLOOKUP($Y$3,Saturday!$G:$Y,5,0),"")</f>
        <v/>
      </c>
      <c r="AA12" t="str">
        <f>IFERROR(VLOOKUP($Y$3,Saturday!$G:$Y,6,0),"")</f>
        <v/>
      </c>
      <c r="AB12" t="str">
        <f>IFERROR(VLOOKUP($Y$3,Saturday!$G:$Y,2,0),"")</f>
        <v/>
      </c>
      <c r="AC12" t="str">
        <f>IFERROR(VLOOKUP($Y$3,Saturday!$G:$Y,17,0),"")</f>
        <v/>
      </c>
    </row>
    <row r="13" spans="1:29" ht="15.75" thickBot="1" x14ac:dyDescent="0.3">
      <c r="A13" s="87" t="s">
        <v>26</v>
      </c>
      <c r="B13" s="146"/>
      <c r="C13" s="88">
        <v>6008</v>
      </c>
      <c r="D13" s="89"/>
      <c r="E13" s="123">
        <f ca="1">SUMIFS(Sunday!$W:$W,Sunday!$A:$A,Summary!$A13,Sunday!$H:$H,Summary!E$2,Sunday!$B:$B,Summary!$D$2)+
SUMIFS(Monday!$W:$W,Monday!$A:$A,Summary!$A13,Monday!$H:$H,Summary!E$2,Monday!$B:$B,Summary!$D$2)+
SUMIFS(Tuesday!$W:$W,Tuesday!$A:$A,Summary!$A13,Tuesday!$H:$H,Summary!E$2,Tuesday!$B:$B,Summary!$D$2)+
SUMIFS(Wednesday!$W:$W,Wednesday!$A:$A,Summary!$A13,Wednesday!$H:$H,Summary!E$2,Wednesday!$B:$B,Summary!$D$2)+
SUMIFS(Thursday!$W:$W,Thursday!$A:$A,Summary!$A13,Thursday!$H:$H,Summary!E$2,Thursday!$B:$B,Summary!$D$2)+
SUMIFS(Friday!$W:$W,Friday!$A:$A,Summary!$A13,Friday!$H:$H,Summary!E$2,Friday!$B:$B,Summary!$D$2)+
SUMIFS(Saturday!$W:$W,Saturday!$A:$A,Summary!$A13,Saturday!$H:$H,Summary!E$2,Saturday!$B:$B,Summary!$D$2)</f>
        <v>0</v>
      </c>
      <c r="F13" s="123">
        <f ca="1">SUMIFS(Sunday!$W:$W,Sunday!$A:$A,Summary!$A13,Sunday!$H:$H,Summary!F$2,Sunday!$B:$B,Summary!$D$2)+
SUMIFS(Monday!$W:$W,Monday!$A:$A,Summary!$A13,Monday!$H:$H,Summary!F$2,Monday!$B:$B,Summary!$D$2)+
SUMIFS(Tuesday!$W:$W,Tuesday!$A:$A,Summary!$A13,Tuesday!$H:$H,Summary!F$2,Tuesday!$B:$B,Summary!$D$2)+
SUMIFS(Wednesday!$W:$W,Wednesday!$A:$A,Summary!$A13,Wednesday!$H:$H,Summary!F$2,Wednesday!$B:$B,Summary!$D$2)+
SUMIFS(Thursday!$W:$W,Thursday!$A:$A,Summary!$A13,Thursday!$H:$H,Summary!F$2,Thursday!$B:$B,Summary!$D$2)+
SUMIFS(Friday!$W:$W,Friday!$A:$A,Summary!$A13,Friday!$H:$H,Summary!F$2,Friday!$B:$B,Summary!$D$2)+
SUMIFS(Saturday!$W:$W,Saturday!$A:$A,Summary!$A13,Saturday!$H:$H,Summary!F$2,Saturday!$B:$B,Summary!$D$2)</f>
        <v>0</v>
      </c>
      <c r="G13" s="123">
        <f ca="1">SUMIFS(Sunday!$W:$W,Sunday!$A:$A,Summary!$A13,Sunday!$H:$H,Summary!G$2,Sunday!$B:$B,Summary!$D$2)+
SUMIFS(Monday!$W:$W,Monday!$A:$A,Summary!$A13,Monday!$H:$H,Summary!G$2,Monday!$B:$B,Summary!$D$2)+
SUMIFS(Tuesday!$W:$W,Tuesday!$A:$A,Summary!$A13,Tuesday!$H:$H,Summary!G$2,Tuesday!$B:$B,Summary!$D$2)+
SUMIFS(Wednesday!$W:$W,Wednesday!$A:$A,Summary!$A13,Wednesday!$H:$H,Summary!G$2,Wednesday!$B:$B,Summary!$D$2)+
SUMIFS(Thursday!$W:$W,Thursday!$A:$A,Summary!$A13,Thursday!$H:$H,Summary!G$2,Thursday!$B:$B,Summary!$D$2)+
SUMIFS(Friday!$W:$W,Friday!$A:$A,Summary!$A13,Friday!$H:$H,Summary!G$2,Friday!$B:$B,Summary!$D$2)+
SUMIFS(Saturday!$W:$W,Saturday!$A:$A,Summary!$A13,Saturday!$H:$H,Summary!G$2,Saturday!$B:$B,Summary!$D$2)</f>
        <v>0</v>
      </c>
      <c r="H13" s="123">
        <f ca="1">SUMIFS(Sunday!$W:$W,Sunday!$A:$A,Summary!$A13,Sunday!$H:$H,Summary!H$2,Sunday!$B:$B,Summary!$D$2)+
SUMIFS(Monday!$W:$W,Monday!$A:$A,Summary!$A13,Monday!$H:$H,Summary!H$2,Monday!$B:$B,Summary!$D$2)+
SUMIFS(Tuesday!$W:$W,Tuesday!$A:$A,Summary!$A13,Tuesday!$H:$H,Summary!H$2,Tuesday!$B:$B,Summary!$D$2)+
SUMIFS(Wednesday!$W:$W,Wednesday!$A:$A,Summary!$A13,Wednesday!$H:$H,Summary!H$2,Wednesday!$B:$B,Summary!$D$2)+
SUMIFS(Thursday!$W:$W,Thursday!$A:$A,Summary!$A13,Thursday!$H:$H,Summary!H$2,Thursday!$B:$B,Summary!$D$2)+
SUMIFS(Friday!$W:$W,Friday!$A:$A,Summary!$A13,Friday!$H:$H,Summary!H$2,Friday!$B:$B,Summary!$D$2)+
SUMIFS(Saturday!$W:$W,Saturday!$A:$A,Summary!$A13,Saturday!$H:$H,Summary!H$2,Saturday!$B:$B,Summary!$D$2)</f>
        <v>0</v>
      </c>
      <c r="I13" s="154">
        <f t="shared" ca="1" si="1"/>
        <v>0</v>
      </c>
      <c r="J13" s="146"/>
      <c r="K13" s="90" t="s">
        <v>89</v>
      </c>
      <c r="L13" s="89"/>
      <c r="M13" s="123">
        <f ca="1">SUMIFS(Sunday!$W:$W,Sunday!$A:$A,Summary!$A13,Sunday!$H:$H,Summary!M$2,Sunday!$B:$B,Summary!$L$2)+
SUMIFS(Monday!$W:$W,Monday!$A:$A,Summary!$A13,Monday!$H:$H,Summary!M$2,Monday!$B:$B,Summary!$L$2)+
SUMIFS(Tuesday!$W:$W,Tuesday!$A:$A,Summary!$A13,Tuesday!$H:$H,Summary!M$2,Tuesday!$B:$B,Summary!$L$2)+
SUMIFS(Wednesday!$W:$W,Wednesday!$A:$A,Summary!$A13,Wednesday!$H:$H,Summary!M$2,Wednesday!$B:$B,Summary!$L$2)+
SUMIFS(Thursday!$W:$W,Thursday!$A:$A,Summary!$A13,Thursday!$H:$H,Summary!M$2,Thursday!$B:$B,Summary!$L$2)+
SUMIFS(Friday!$W:$W,Friday!$A:$A,Summary!$A13,Friday!$H:$H,Summary!M$2,Friday!$B:$B,Summary!$L$2)+
SUMIFS(Saturday!$W:$W,Saturday!$A:$A,Summary!$A13,Saturday!$H:$H,Summary!M$2,Saturday!$B:$B,Summary!$L$2)</f>
        <v>0</v>
      </c>
      <c r="N13" s="123">
        <f ca="1">SUMIFS(Sunday!$W:$W,Sunday!$A:$A,Summary!$A13,Sunday!$H:$H,Summary!N$2,Sunday!$B:$B,Summary!$L$2)+
SUMIFS(Monday!$W:$W,Monday!$A:$A,Summary!$A13,Monday!$H:$H,Summary!N$2,Monday!$B:$B,Summary!$L$2)+
SUMIFS(Tuesday!$W:$W,Tuesday!$A:$A,Summary!$A13,Tuesday!$H:$H,Summary!N$2,Tuesday!$B:$B,Summary!$L$2)+
SUMIFS(Wednesday!$W:$W,Wednesday!$A:$A,Summary!$A13,Wednesday!$H:$H,Summary!N$2,Wednesday!$B:$B,Summary!$L$2)+
SUMIFS(Thursday!$W:$W,Thursday!$A:$A,Summary!$A13,Thursday!$H:$H,Summary!N$2,Thursday!$B:$B,Summary!$L$2)+
SUMIFS(Friday!$W:$W,Friday!$A:$A,Summary!$A13,Friday!$H:$H,Summary!N$2,Friday!$B:$B,Summary!$L$2)+
SUMIFS(Saturday!$W:$W,Saturday!$A:$A,Summary!$A13,Saturday!$H:$H,Summary!N$2,Saturday!$B:$B,Summary!$L$2)</f>
        <v>0</v>
      </c>
      <c r="O13" s="123">
        <f ca="1">SUMIFS(Sunday!$W:$W,Sunday!$A:$A,Summary!$A13,Sunday!$H:$H,Summary!O$2,Sunday!$B:$B,Summary!$L$2)+
SUMIFS(Monday!$W:$W,Monday!$A:$A,Summary!$A13,Monday!$H:$H,Summary!O$2,Monday!$B:$B,Summary!$L$2)+
SUMIFS(Tuesday!$W:$W,Tuesday!$A:$A,Summary!$A13,Tuesday!$H:$H,Summary!O$2,Tuesday!$B:$B,Summary!$L$2)+
SUMIFS(Wednesday!$W:$W,Wednesday!$A:$A,Summary!$A13,Wednesday!$H:$H,Summary!O$2,Wednesday!$B:$B,Summary!$L$2)+
SUMIFS(Thursday!$W:$W,Thursday!$A:$A,Summary!$A13,Thursday!$H:$H,Summary!O$2,Thursday!$B:$B,Summary!$L$2)+
SUMIFS(Friday!$W:$W,Friday!$A:$A,Summary!$A13,Friday!$H:$H,Summary!O$2,Friday!$B:$B,Summary!$L$2)+
SUMIFS(Saturday!$W:$W,Saturday!$A:$A,Summary!$A13,Saturday!$H:$H,Summary!O$2,Saturday!$B:$B,Summary!$L$2)</f>
        <v>0</v>
      </c>
      <c r="P13" s="123">
        <f ca="1">SUMIFS(Sunday!$W:$W,Sunday!$A:$A,Summary!$A13,Sunday!$H:$H,Summary!P$2,Sunday!$B:$B,Summary!$L$2)+
SUMIFS(Monday!$W:$W,Monday!$A:$A,Summary!$A13,Monday!$H:$H,Summary!P$2,Monday!$B:$B,Summary!$L$2)+
SUMIFS(Tuesday!$W:$W,Tuesday!$A:$A,Summary!$A13,Tuesday!$H:$H,Summary!P$2,Tuesday!$B:$B,Summary!$L$2)+
SUMIFS(Wednesday!$W:$W,Wednesday!$A:$A,Summary!$A13,Wednesday!$H:$H,Summary!P$2,Wednesday!$B:$B,Summary!$L$2)+
SUMIFS(Thursday!$W:$W,Thursday!$A:$A,Summary!$A13,Thursday!$H:$H,Summary!P$2,Thursday!$B:$B,Summary!$L$2)+
SUMIFS(Friday!$W:$W,Friday!$A:$A,Summary!$A13,Friday!$H:$H,Summary!P$2,Friday!$B:$B,Summary!$L$2)+
SUMIFS(Saturday!$W:$W,Saturday!$A:$A,Summary!$A13,Saturday!$H:$H,Summary!P$2,Saturday!$B:$B,Summary!$L$2)</f>
        <v>0</v>
      </c>
      <c r="Q13" s="140">
        <f t="shared" ca="1" si="0"/>
        <v>0</v>
      </c>
      <c r="R13" s="146"/>
      <c r="S13" s="163">
        <f t="shared" ca="1" si="2"/>
        <v>0</v>
      </c>
      <c r="T13" s="145">
        <f t="shared" ca="1" si="3"/>
        <v>0</v>
      </c>
      <c r="AC13" s="221">
        <f>SUM(AC6:AC12)</f>
        <v>0</v>
      </c>
    </row>
    <row r="14" spans="1:29" ht="15.75" thickTop="1" x14ac:dyDescent="0.25">
      <c r="A14" s="91" t="s">
        <v>27</v>
      </c>
      <c r="B14" s="146"/>
      <c r="C14" s="92">
        <v>6024</v>
      </c>
      <c r="D14" s="93"/>
      <c r="E14" s="133">
        <f ca="1">SUMIFS(Sunday!$W:$W,Sunday!$A:$A,Summary!$A14,Sunday!$H:$H,Summary!E$2,Sunday!$B:$B,Summary!$D$2)+
SUMIFS(Monday!$W:$W,Monday!$A:$A,Summary!$A14,Monday!$H:$H,Summary!E$2,Monday!$B:$B,Summary!$D$2)+
SUMIFS(Tuesday!$W:$W,Tuesday!$A:$A,Summary!$A14,Tuesday!$H:$H,Summary!E$2,Tuesday!$B:$B,Summary!$D$2)+
SUMIFS(Wednesday!$W:$W,Wednesday!$A:$A,Summary!$A14,Wednesday!$H:$H,Summary!E$2,Wednesday!$B:$B,Summary!$D$2)+
SUMIFS(Thursday!$W:$W,Thursday!$A:$A,Summary!$A14,Thursday!$H:$H,Summary!E$2,Thursday!$B:$B,Summary!$D$2)+
SUMIFS(Friday!$W:$W,Friday!$A:$A,Summary!$A14,Friday!$H:$H,Summary!E$2,Friday!$B:$B,Summary!$D$2)+
SUMIFS(Saturday!$W:$W,Saturday!$A:$A,Summary!$A14,Saturday!$H:$H,Summary!E$2,Saturday!$B:$B,Summary!$D$2)</f>
        <v>0</v>
      </c>
      <c r="F14" s="133">
        <f ca="1">SUMIFS(Sunday!$W:$W,Sunday!$A:$A,Summary!$A14,Sunday!$H:$H,Summary!F$2,Sunday!$B:$B,Summary!$D$2)+
SUMIFS(Monday!$W:$W,Monday!$A:$A,Summary!$A14,Monday!$H:$H,Summary!F$2,Monday!$B:$B,Summary!$D$2)+
SUMIFS(Tuesday!$W:$W,Tuesday!$A:$A,Summary!$A14,Tuesday!$H:$H,Summary!F$2,Tuesday!$B:$B,Summary!$D$2)+
SUMIFS(Wednesday!$W:$W,Wednesday!$A:$A,Summary!$A14,Wednesday!$H:$H,Summary!F$2,Wednesday!$B:$B,Summary!$D$2)+
SUMIFS(Thursday!$W:$W,Thursday!$A:$A,Summary!$A14,Thursday!$H:$H,Summary!F$2,Thursday!$B:$B,Summary!$D$2)+
SUMIFS(Friday!$W:$W,Friday!$A:$A,Summary!$A14,Friday!$H:$H,Summary!F$2,Friday!$B:$B,Summary!$D$2)+
SUMIFS(Saturday!$W:$W,Saturday!$A:$A,Summary!$A14,Saturday!$H:$H,Summary!F$2,Saturday!$B:$B,Summary!$D$2)</f>
        <v>0</v>
      </c>
      <c r="G14" s="133">
        <f ca="1">SUMIFS(Sunday!$W:$W,Sunday!$A:$A,Summary!$A14,Sunday!$H:$H,Summary!G$2,Sunday!$B:$B,Summary!$D$2)+
SUMIFS(Monday!$W:$W,Monday!$A:$A,Summary!$A14,Monday!$H:$H,Summary!G$2,Monday!$B:$B,Summary!$D$2)+
SUMIFS(Tuesday!$W:$W,Tuesday!$A:$A,Summary!$A14,Tuesday!$H:$H,Summary!G$2,Tuesday!$B:$B,Summary!$D$2)+
SUMIFS(Wednesday!$W:$W,Wednesday!$A:$A,Summary!$A14,Wednesday!$H:$H,Summary!G$2,Wednesday!$B:$B,Summary!$D$2)+
SUMIFS(Thursday!$W:$W,Thursday!$A:$A,Summary!$A14,Thursday!$H:$H,Summary!G$2,Thursday!$B:$B,Summary!$D$2)+
SUMIFS(Friday!$W:$W,Friday!$A:$A,Summary!$A14,Friday!$H:$H,Summary!G$2,Friday!$B:$B,Summary!$D$2)+
SUMIFS(Saturday!$W:$W,Saturday!$A:$A,Summary!$A14,Saturday!$H:$H,Summary!G$2,Saturday!$B:$B,Summary!$D$2)</f>
        <v>0</v>
      </c>
      <c r="H14" s="133">
        <f ca="1">SUMIFS(Sunday!$W:$W,Sunday!$A:$A,Summary!$A14,Sunday!$H:$H,Summary!H$2,Sunday!$B:$B,Summary!$D$2)+
SUMIFS(Monday!$W:$W,Monday!$A:$A,Summary!$A14,Monday!$H:$H,Summary!H$2,Monday!$B:$B,Summary!$D$2)+
SUMIFS(Tuesday!$W:$W,Tuesday!$A:$A,Summary!$A14,Tuesday!$H:$H,Summary!H$2,Tuesday!$B:$B,Summary!$D$2)+
SUMIFS(Wednesday!$W:$W,Wednesday!$A:$A,Summary!$A14,Wednesday!$H:$H,Summary!H$2,Wednesday!$B:$B,Summary!$D$2)+
SUMIFS(Thursday!$W:$W,Thursday!$A:$A,Summary!$A14,Thursday!$H:$H,Summary!H$2,Thursday!$B:$B,Summary!$D$2)+
SUMIFS(Friday!$W:$W,Friday!$A:$A,Summary!$A14,Friday!$H:$H,Summary!H$2,Friday!$B:$B,Summary!$D$2)+
SUMIFS(Saturday!$W:$W,Saturday!$A:$A,Summary!$A14,Saturday!$H:$H,Summary!H$2,Saturday!$B:$B,Summary!$D$2)</f>
        <v>0</v>
      </c>
      <c r="I14" s="155">
        <f t="shared" ca="1" si="1"/>
        <v>0</v>
      </c>
      <c r="J14" s="146"/>
      <c r="K14" s="115"/>
      <c r="L14" s="114"/>
      <c r="M14" s="119">
        <f ca="1">SUMIFS(Sunday!$W:$W,Sunday!$A:$A,Summary!$A14,Sunday!$H:$H,Summary!M$2,Sunday!$B:$B,Summary!$L$2)+
SUMIFS(Monday!$W:$W,Monday!$A:$A,Summary!$A14,Monday!$H:$H,Summary!M$2,Monday!$B:$B,Summary!$L$2)+
SUMIFS(Tuesday!$W:$W,Tuesday!$A:$A,Summary!$A14,Tuesday!$H:$H,Summary!M$2,Tuesday!$B:$B,Summary!$L$2)+
SUMIFS(Wednesday!$W:$W,Wednesday!$A:$A,Summary!$A14,Wednesday!$H:$H,Summary!M$2,Wednesday!$B:$B,Summary!$L$2)+
SUMIFS(Thursday!$W:$W,Thursday!$A:$A,Summary!$A14,Thursday!$H:$H,Summary!M$2,Thursday!$B:$B,Summary!$L$2)+
SUMIFS(Friday!$W:$W,Friday!$A:$A,Summary!$A14,Friday!$H:$H,Summary!M$2,Friday!$B:$B,Summary!$L$2)+
SUMIFS(Saturday!$W:$W,Saturday!$A:$A,Summary!$A14,Saturday!$H:$H,Summary!M$2,Saturday!$B:$B,Summary!$L$2)</f>
        <v>0</v>
      </c>
      <c r="N14" s="119">
        <f ca="1">SUMIFS(Sunday!$W:$W,Sunday!$A:$A,Summary!$A14,Sunday!$H:$H,Summary!N$2,Sunday!$B:$B,Summary!$L$2)+
SUMIFS(Monday!$W:$W,Monday!$A:$A,Summary!$A14,Monday!$H:$H,Summary!N$2,Monday!$B:$B,Summary!$L$2)+
SUMIFS(Tuesday!$W:$W,Tuesday!$A:$A,Summary!$A14,Tuesday!$H:$H,Summary!N$2,Tuesday!$B:$B,Summary!$L$2)+
SUMIFS(Wednesday!$W:$W,Wednesday!$A:$A,Summary!$A14,Wednesday!$H:$H,Summary!N$2,Wednesday!$B:$B,Summary!$L$2)+
SUMIFS(Thursday!$W:$W,Thursday!$A:$A,Summary!$A14,Thursday!$H:$H,Summary!N$2,Thursday!$B:$B,Summary!$L$2)+
SUMIFS(Friday!$W:$W,Friday!$A:$A,Summary!$A14,Friday!$H:$H,Summary!N$2,Friday!$B:$B,Summary!$L$2)+
SUMIFS(Saturday!$W:$W,Saturday!$A:$A,Summary!$A14,Saturday!$H:$H,Summary!N$2,Saturday!$B:$B,Summary!$L$2)</f>
        <v>0</v>
      </c>
      <c r="O14" s="119">
        <f ca="1">SUMIFS(Sunday!$W:$W,Sunday!$A:$A,Summary!$A14,Sunday!$H:$H,Summary!O$2,Sunday!$B:$B,Summary!$L$2)+
SUMIFS(Monday!$W:$W,Monday!$A:$A,Summary!$A14,Monday!$H:$H,Summary!O$2,Monday!$B:$B,Summary!$L$2)+
SUMIFS(Tuesday!$W:$W,Tuesday!$A:$A,Summary!$A14,Tuesday!$H:$H,Summary!O$2,Tuesday!$B:$B,Summary!$L$2)+
SUMIFS(Wednesday!$W:$W,Wednesday!$A:$A,Summary!$A14,Wednesday!$H:$H,Summary!O$2,Wednesday!$B:$B,Summary!$L$2)+
SUMIFS(Thursday!$W:$W,Thursday!$A:$A,Summary!$A14,Thursday!$H:$H,Summary!O$2,Thursday!$B:$B,Summary!$L$2)+
SUMIFS(Friday!$W:$W,Friday!$A:$A,Summary!$A14,Friday!$H:$H,Summary!O$2,Friday!$B:$B,Summary!$L$2)+
SUMIFS(Saturday!$W:$W,Saturday!$A:$A,Summary!$A14,Saturday!$H:$H,Summary!O$2,Saturday!$B:$B,Summary!$L$2)</f>
        <v>0</v>
      </c>
      <c r="P14" s="119">
        <f ca="1">SUMIFS(Sunday!$W:$W,Sunday!$A:$A,Summary!$A14,Sunday!$H:$H,Summary!P$2,Sunday!$B:$B,Summary!$L$2)+
SUMIFS(Monday!$W:$W,Monday!$A:$A,Summary!$A14,Monday!$H:$H,Summary!P$2,Monday!$B:$B,Summary!$L$2)+
SUMIFS(Tuesday!$W:$W,Tuesday!$A:$A,Summary!$A14,Tuesday!$H:$H,Summary!P$2,Tuesday!$B:$B,Summary!$L$2)+
SUMIFS(Wednesday!$W:$W,Wednesday!$A:$A,Summary!$A14,Wednesday!$H:$H,Summary!P$2,Wednesday!$B:$B,Summary!$L$2)+
SUMIFS(Thursday!$W:$W,Thursday!$A:$A,Summary!$A14,Thursday!$H:$H,Summary!P$2,Thursday!$B:$B,Summary!$L$2)+
SUMIFS(Friday!$W:$W,Friday!$A:$A,Summary!$A14,Friday!$H:$H,Summary!P$2,Friday!$B:$B,Summary!$L$2)+
SUMIFS(Saturday!$W:$W,Saturday!$A:$A,Summary!$A14,Saturday!$H:$H,Summary!P$2,Saturday!$B:$B,Summary!$L$2)</f>
        <v>0</v>
      </c>
      <c r="Q14" s="136">
        <f t="shared" ca="1" si="0"/>
        <v>0</v>
      </c>
      <c r="R14" s="146"/>
      <c r="S14" s="163">
        <f t="shared" ca="1" si="2"/>
        <v>0</v>
      </c>
      <c r="T14" s="145">
        <f t="shared" ca="1" si="3"/>
        <v>0</v>
      </c>
    </row>
    <row r="15" spans="1:29" x14ac:dyDescent="0.25">
      <c r="A15" s="94" t="s">
        <v>28</v>
      </c>
      <c r="B15" s="146"/>
      <c r="C15" s="95">
        <v>6009</v>
      </c>
      <c r="D15" s="96"/>
      <c r="E15" s="124">
        <f ca="1">SUMIFS(Sunday!$W:$W,Sunday!$A:$A,Summary!$A15,Sunday!$H:$H,Summary!E$2,Sunday!$B:$B,Summary!$D$2)+
SUMIFS(Monday!$W:$W,Monday!$A:$A,Summary!$A15,Monday!$H:$H,Summary!E$2,Monday!$B:$B,Summary!$D$2)+
SUMIFS(Tuesday!$W:$W,Tuesday!$A:$A,Summary!$A15,Tuesday!$H:$H,Summary!E$2,Tuesday!$B:$B,Summary!$D$2)+
SUMIFS(Wednesday!$W:$W,Wednesday!$A:$A,Summary!$A15,Wednesday!$H:$H,Summary!E$2,Wednesday!$B:$B,Summary!$D$2)+
SUMIFS(Thursday!$W:$W,Thursday!$A:$A,Summary!$A15,Thursday!$H:$H,Summary!E$2,Thursday!$B:$B,Summary!$D$2)+
SUMIFS(Friday!$W:$W,Friday!$A:$A,Summary!$A15,Friday!$H:$H,Summary!E$2,Friday!$B:$B,Summary!$D$2)+
SUMIFS(Saturday!$W:$W,Saturday!$A:$A,Summary!$A15,Saturday!$H:$H,Summary!E$2,Saturday!$B:$B,Summary!$D$2)</f>
        <v>0</v>
      </c>
      <c r="F15" s="124">
        <f ca="1">SUMIFS(Sunday!$W:$W,Sunday!$A:$A,Summary!$A15,Sunday!$H:$H,Summary!F$2,Sunday!$B:$B,Summary!$D$2)+
SUMIFS(Monday!$W:$W,Monday!$A:$A,Summary!$A15,Monday!$H:$H,Summary!F$2,Monday!$B:$B,Summary!$D$2)+
SUMIFS(Tuesday!$W:$W,Tuesday!$A:$A,Summary!$A15,Tuesday!$H:$H,Summary!F$2,Tuesday!$B:$B,Summary!$D$2)+
SUMIFS(Wednesday!$W:$W,Wednesday!$A:$A,Summary!$A15,Wednesday!$H:$H,Summary!F$2,Wednesday!$B:$B,Summary!$D$2)+
SUMIFS(Thursday!$W:$W,Thursday!$A:$A,Summary!$A15,Thursday!$H:$H,Summary!F$2,Thursday!$B:$B,Summary!$D$2)+
SUMIFS(Friday!$W:$W,Friday!$A:$A,Summary!$A15,Friday!$H:$H,Summary!F$2,Friday!$B:$B,Summary!$D$2)+
SUMIFS(Saturday!$W:$W,Saturday!$A:$A,Summary!$A15,Saturday!$H:$H,Summary!F$2,Saturday!$B:$B,Summary!$D$2)</f>
        <v>0</v>
      </c>
      <c r="G15" s="124">
        <f ca="1">SUMIFS(Sunday!$W:$W,Sunday!$A:$A,Summary!$A15,Sunday!$H:$H,Summary!G$2,Sunday!$B:$B,Summary!$D$2)+
SUMIFS(Monday!$W:$W,Monday!$A:$A,Summary!$A15,Monday!$H:$H,Summary!G$2,Monday!$B:$B,Summary!$D$2)+
SUMIFS(Tuesday!$W:$W,Tuesday!$A:$A,Summary!$A15,Tuesday!$H:$H,Summary!G$2,Tuesday!$B:$B,Summary!$D$2)+
SUMIFS(Wednesday!$W:$W,Wednesday!$A:$A,Summary!$A15,Wednesday!$H:$H,Summary!G$2,Wednesday!$B:$B,Summary!$D$2)+
SUMIFS(Thursday!$W:$W,Thursday!$A:$A,Summary!$A15,Thursday!$H:$H,Summary!G$2,Thursday!$B:$B,Summary!$D$2)+
SUMIFS(Friday!$W:$W,Friday!$A:$A,Summary!$A15,Friday!$H:$H,Summary!G$2,Friday!$B:$B,Summary!$D$2)+
SUMIFS(Saturday!$W:$W,Saturday!$A:$A,Summary!$A15,Saturday!$H:$H,Summary!G$2,Saturday!$B:$B,Summary!$D$2)</f>
        <v>0</v>
      </c>
      <c r="H15" s="124">
        <f ca="1">SUMIFS(Sunday!$W:$W,Sunday!$A:$A,Summary!$A15,Sunday!$H:$H,Summary!H$2,Sunday!$B:$B,Summary!$D$2)+
SUMIFS(Monday!$W:$W,Monday!$A:$A,Summary!$A15,Monday!$H:$H,Summary!H$2,Monday!$B:$B,Summary!$D$2)+
SUMIFS(Tuesday!$W:$W,Tuesday!$A:$A,Summary!$A15,Tuesday!$H:$H,Summary!H$2,Tuesday!$B:$B,Summary!$D$2)+
SUMIFS(Wednesday!$W:$W,Wednesday!$A:$A,Summary!$A15,Wednesday!$H:$H,Summary!H$2,Wednesday!$B:$B,Summary!$D$2)+
SUMIFS(Thursday!$W:$W,Thursday!$A:$A,Summary!$A15,Thursday!$H:$H,Summary!H$2,Thursday!$B:$B,Summary!$D$2)+
SUMIFS(Friday!$W:$W,Friday!$A:$A,Summary!$A15,Friday!$H:$H,Summary!H$2,Friday!$B:$B,Summary!$D$2)+
SUMIFS(Saturday!$W:$W,Saturday!$A:$A,Summary!$A15,Saturday!$H:$H,Summary!H$2,Saturday!$B:$B,Summary!$D$2)</f>
        <v>0</v>
      </c>
      <c r="I15" s="156">
        <f t="shared" ca="1" si="1"/>
        <v>0</v>
      </c>
      <c r="J15" s="146"/>
      <c r="K15" s="97" t="s">
        <v>90</v>
      </c>
      <c r="L15" s="96"/>
      <c r="M15" s="124">
        <f ca="1">SUMIFS(Sunday!$W:$W,Sunday!$A:$A,Summary!$A15,Sunday!$H:$H,Summary!M$2,Sunday!$B:$B,Summary!$L$2)+
SUMIFS(Monday!$W:$W,Monday!$A:$A,Summary!$A15,Monday!$H:$H,Summary!M$2,Monday!$B:$B,Summary!$L$2)+
SUMIFS(Tuesday!$W:$W,Tuesday!$A:$A,Summary!$A15,Tuesday!$H:$H,Summary!M$2,Tuesday!$B:$B,Summary!$L$2)+
SUMIFS(Wednesday!$W:$W,Wednesday!$A:$A,Summary!$A15,Wednesday!$H:$H,Summary!M$2,Wednesday!$B:$B,Summary!$L$2)+
SUMIFS(Thursday!$W:$W,Thursday!$A:$A,Summary!$A15,Thursday!$H:$H,Summary!M$2,Thursday!$B:$B,Summary!$L$2)+
SUMIFS(Friday!$W:$W,Friday!$A:$A,Summary!$A15,Friday!$H:$H,Summary!M$2,Friday!$B:$B,Summary!$L$2)+
SUMIFS(Saturday!$W:$W,Saturday!$A:$A,Summary!$A15,Saturday!$H:$H,Summary!M$2,Saturday!$B:$B,Summary!$L$2)</f>
        <v>0</v>
      </c>
      <c r="N15" s="124">
        <f ca="1">SUMIFS(Sunday!$W:$W,Sunday!$A:$A,Summary!$A15,Sunday!$H:$H,Summary!N$2,Sunday!$B:$B,Summary!$L$2)+
SUMIFS(Monday!$W:$W,Monday!$A:$A,Summary!$A15,Monday!$H:$H,Summary!N$2,Monday!$B:$B,Summary!$L$2)+
SUMIFS(Tuesday!$W:$W,Tuesday!$A:$A,Summary!$A15,Tuesday!$H:$H,Summary!N$2,Tuesday!$B:$B,Summary!$L$2)+
SUMIFS(Wednesday!$W:$W,Wednesday!$A:$A,Summary!$A15,Wednesday!$H:$H,Summary!N$2,Wednesday!$B:$B,Summary!$L$2)+
SUMIFS(Thursday!$W:$W,Thursday!$A:$A,Summary!$A15,Thursday!$H:$H,Summary!N$2,Thursday!$B:$B,Summary!$L$2)+
SUMIFS(Friday!$W:$W,Friday!$A:$A,Summary!$A15,Friday!$H:$H,Summary!N$2,Friday!$B:$B,Summary!$L$2)+
SUMIFS(Saturday!$W:$W,Saturday!$A:$A,Summary!$A15,Saturday!$H:$H,Summary!N$2,Saturday!$B:$B,Summary!$L$2)</f>
        <v>0</v>
      </c>
      <c r="O15" s="124">
        <f ca="1">SUMIFS(Sunday!$W:$W,Sunday!$A:$A,Summary!$A15,Sunday!$H:$H,Summary!O$2,Sunday!$B:$B,Summary!$L$2)+
SUMIFS(Monday!$W:$W,Monday!$A:$A,Summary!$A15,Monday!$H:$H,Summary!O$2,Monday!$B:$B,Summary!$L$2)+
SUMIFS(Tuesday!$W:$W,Tuesday!$A:$A,Summary!$A15,Tuesday!$H:$H,Summary!O$2,Tuesday!$B:$B,Summary!$L$2)+
SUMIFS(Wednesday!$W:$W,Wednesday!$A:$A,Summary!$A15,Wednesday!$H:$H,Summary!O$2,Wednesday!$B:$B,Summary!$L$2)+
SUMIFS(Thursday!$W:$W,Thursday!$A:$A,Summary!$A15,Thursday!$H:$H,Summary!O$2,Thursday!$B:$B,Summary!$L$2)+
SUMIFS(Friday!$W:$W,Friday!$A:$A,Summary!$A15,Friday!$H:$H,Summary!O$2,Friday!$B:$B,Summary!$L$2)+
SUMIFS(Saturday!$W:$W,Saturday!$A:$A,Summary!$A15,Saturday!$H:$H,Summary!O$2,Saturday!$B:$B,Summary!$L$2)</f>
        <v>0</v>
      </c>
      <c r="P15" s="124">
        <f ca="1">SUMIFS(Sunday!$W:$W,Sunday!$A:$A,Summary!$A15,Sunday!$H:$H,Summary!P$2,Sunday!$B:$B,Summary!$L$2)+
SUMIFS(Monday!$W:$W,Monday!$A:$A,Summary!$A15,Monday!$H:$H,Summary!P$2,Monday!$B:$B,Summary!$L$2)+
SUMIFS(Tuesday!$W:$W,Tuesday!$A:$A,Summary!$A15,Tuesday!$H:$H,Summary!P$2,Tuesday!$B:$B,Summary!$L$2)+
SUMIFS(Wednesday!$W:$W,Wednesday!$A:$A,Summary!$A15,Wednesday!$H:$H,Summary!P$2,Wednesday!$B:$B,Summary!$L$2)+
SUMIFS(Thursday!$W:$W,Thursday!$A:$A,Summary!$A15,Thursday!$H:$H,Summary!P$2,Thursday!$B:$B,Summary!$L$2)+
SUMIFS(Friday!$W:$W,Friday!$A:$A,Summary!$A15,Friday!$H:$H,Summary!P$2,Friday!$B:$B,Summary!$L$2)+
SUMIFS(Saturday!$W:$W,Saturday!$A:$A,Summary!$A15,Saturday!$H:$H,Summary!P$2,Saturday!$B:$B,Summary!$L$2)</f>
        <v>0</v>
      </c>
      <c r="Q15" s="141">
        <f t="shared" ca="1" si="0"/>
        <v>0</v>
      </c>
      <c r="R15" s="146"/>
      <c r="S15" s="163">
        <f t="shared" ca="1" si="2"/>
        <v>0</v>
      </c>
      <c r="T15" s="145">
        <f t="shared" ca="1" si="3"/>
        <v>0</v>
      </c>
    </row>
    <row r="16" spans="1:29" x14ac:dyDescent="0.25">
      <c r="A16" s="98" t="s">
        <v>29</v>
      </c>
      <c r="B16" s="146"/>
      <c r="C16" s="99">
        <v>6013</v>
      </c>
      <c r="D16" s="100"/>
      <c r="E16" s="134">
        <f ca="1">SUMIFS(Sunday!$W:$W,Sunday!$A:$A,Summary!$A16,Sunday!$H:$H,Summary!E$2,Sunday!$B:$B,Summary!$D$2)+
SUMIFS(Monday!$W:$W,Monday!$A:$A,Summary!$A16,Monday!$H:$H,Summary!E$2,Monday!$B:$B,Summary!$D$2)+
SUMIFS(Tuesday!$W:$W,Tuesday!$A:$A,Summary!$A16,Tuesday!$H:$H,Summary!E$2,Tuesday!$B:$B,Summary!$D$2)+
SUMIFS(Wednesday!$W:$W,Wednesday!$A:$A,Summary!$A16,Wednesday!$H:$H,Summary!E$2,Wednesday!$B:$B,Summary!$D$2)+
SUMIFS(Thursday!$W:$W,Thursday!$A:$A,Summary!$A16,Thursday!$H:$H,Summary!E$2,Thursday!$B:$B,Summary!$D$2)+
SUMIFS(Friday!$W:$W,Friday!$A:$A,Summary!$A16,Friday!$H:$H,Summary!E$2,Friday!$B:$B,Summary!$D$2)+
SUMIFS(Saturday!$W:$W,Saturday!$A:$A,Summary!$A16,Saturday!$H:$H,Summary!E$2,Saturday!$B:$B,Summary!$D$2)</f>
        <v>0</v>
      </c>
      <c r="F16" s="134">
        <f ca="1">SUMIFS(Sunday!$W:$W,Sunday!$A:$A,Summary!$A16,Sunday!$H:$H,Summary!F$2,Sunday!$B:$B,Summary!$D$2)+
SUMIFS(Monday!$W:$W,Monday!$A:$A,Summary!$A16,Monday!$H:$H,Summary!F$2,Monday!$B:$B,Summary!$D$2)+
SUMIFS(Tuesday!$W:$W,Tuesday!$A:$A,Summary!$A16,Tuesday!$H:$H,Summary!F$2,Tuesday!$B:$B,Summary!$D$2)+
SUMIFS(Wednesday!$W:$W,Wednesday!$A:$A,Summary!$A16,Wednesday!$H:$H,Summary!F$2,Wednesday!$B:$B,Summary!$D$2)+
SUMIFS(Thursday!$W:$W,Thursday!$A:$A,Summary!$A16,Thursday!$H:$H,Summary!F$2,Thursday!$B:$B,Summary!$D$2)+
SUMIFS(Friday!$W:$W,Friday!$A:$A,Summary!$A16,Friday!$H:$H,Summary!F$2,Friday!$B:$B,Summary!$D$2)+
SUMIFS(Saturday!$W:$W,Saturday!$A:$A,Summary!$A16,Saturday!$H:$H,Summary!F$2,Saturday!$B:$B,Summary!$D$2)</f>
        <v>0</v>
      </c>
      <c r="G16" s="134">
        <f ca="1">SUMIFS(Sunday!$W:$W,Sunday!$A:$A,Summary!$A16,Sunday!$H:$H,Summary!G$2,Sunday!$B:$B,Summary!$D$2)+
SUMIFS(Monday!$W:$W,Monday!$A:$A,Summary!$A16,Monday!$H:$H,Summary!G$2,Monday!$B:$B,Summary!$D$2)+
SUMIFS(Tuesday!$W:$W,Tuesday!$A:$A,Summary!$A16,Tuesday!$H:$H,Summary!G$2,Tuesday!$B:$B,Summary!$D$2)+
SUMIFS(Wednesday!$W:$W,Wednesday!$A:$A,Summary!$A16,Wednesday!$H:$H,Summary!G$2,Wednesday!$B:$B,Summary!$D$2)+
SUMIFS(Thursday!$W:$W,Thursday!$A:$A,Summary!$A16,Thursday!$H:$H,Summary!G$2,Thursday!$B:$B,Summary!$D$2)+
SUMIFS(Friday!$W:$W,Friday!$A:$A,Summary!$A16,Friday!$H:$H,Summary!G$2,Friday!$B:$B,Summary!$D$2)+
SUMIFS(Saturday!$W:$W,Saturday!$A:$A,Summary!$A16,Saturday!$H:$H,Summary!G$2,Saturday!$B:$B,Summary!$D$2)</f>
        <v>0</v>
      </c>
      <c r="H16" s="134">
        <f ca="1">SUMIFS(Sunday!$W:$W,Sunday!$A:$A,Summary!$A16,Sunday!$H:$H,Summary!H$2,Sunday!$B:$B,Summary!$D$2)+
SUMIFS(Monday!$W:$W,Monday!$A:$A,Summary!$A16,Monday!$H:$H,Summary!H$2,Monday!$B:$B,Summary!$D$2)+
SUMIFS(Tuesday!$W:$W,Tuesday!$A:$A,Summary!$A16,Tuesday!$H:$H,Summary!H$2,Tuesday!$B:$B,Summary!$D$2)+
SUMIFS(Wednesday!$W:$W,Wednesday!$A:$A,Summary!$A16,Wednesday!$H:$H,Summary!H$2,Wednesday!$B:$B,Summary!$D$2)+
SUMIFS(Thursday!$W:$W,Thursday!$A:$A,Summary!$A16,Thursday!$H:$H,Summary!H$2,Thursday!$B:$B,Summary!$D$2)+
SUMIFS(Friday!$W:$W,Friday!$A:$A,Summary!$A16,Friday!$H:$H,Summary!H$2,Friday!$B:$B,Summary!$D$2)+
SUMIFS(Saturday!$W:$W,Saturday!$A:$A,Summary!$A16,Saturday!$H:$H,Summary!H$2,Saturday!$B:$B,Summary!$D$2)</f>
        <v>0</v>
      </c>
      <c r="I16" s="157">
        <f t="shared" ca="1" si="1"/>
        <v>0</v>
      </c>
      <c r="J16" s="146"/>
      <c r="K16" s="115"/>
      <c r="L16" s="114"/>
      <c r="M16" s="119">
        <f ca="1">SUMIFS(Sunday!$W:$W,Sunday!$A:$A,Summary!$A16,Sunday!$H:$H,Summary!M$2,Sunday!$B:$B,Summary!$L$2)+
SUMIFS(Monday!$W:$W,Monday!$A:$A,Summary!$A16,Monday!$H:$H,Summary!M$2,Monday!$B:$B,Summary!$L$2)+
SUMIFS(Tuesday!$W:$W,Tuesday!$A:$A,Summary!$A16,Tuesday!$H:$H,Summary!M$2,Tuesday!$B:$B,Summary!$L$2)+
SUMIFS(Wednesday!$W:$W,Wednesday!$A:$A,Summary!$A16,Wednesday!$H:$H,Summary!M$2,Wednesday!$B:$B,Summary!$L$2)+
SUMIFS(Thursday!$W:$W,Thursday!$A:$A,Summary!$A16,Thursday!$H:$H,Summary!M$2,Thursday!$B:$B,Summary!$L$2)+
SUMIFS(Friday!$W:$W,Friday!$A:$A,Summary!$A16,Friday!$H:$H,Summary!M$2,Friday!$B:$B,Summary!$L$2)+
SUMIFS(Saturday!$W:$W,Saturday!$A:$A,Summary!$A16,Saturday!$H:$H,Summary!M$2,Saturday!$B:$B,Summary!$L$2)</f>
        <v>0</v>
      </c>
      <c r="N16" s="119">
        <f ca="1">SUMIFS(Sunday!$W:$W,Sunday!$A:$A,Summary!$A16,Sunday!$H:$H,Summary!N$2,Sunday!$B:$B,Summary!$L$2)+
SUMIFS(Monday!$W:$W,Monday!$A:$A,Summary!$A16,Monday!$H:$H,Summary!N$2,Monday!$B:$B,Summary!$L$2)+
SUMIFS(Tuesday!$W:$W,Tuesday!$A:$A,Summary!$A16,Tuesday!$H:$H,Summary!N$2,Tuesday!$B:$B,Summary!$L$2)+
SUMIFS(Wednesday!$W:$W,Wednesday!$A:$A,Summary!$A16,Wednesday!$H:$H,Summary!N$2,Wednesday!$B:$B,Summary!$L$2)+
SUMIFS(Thursday!$W:$W,Thursday!$A:$A,Summary!$A16,Thursday!$H:$H,Summary!N$2,Thursday!$B:$B,Summary!$L$2)+
SUMIFS(Friday!$W:$W,Friday!$A:$A,Summary!$A16,Friday!$H:$H,Summary!N$2,Friday!$B:$B,Summary!$L$2)+
SUMIFS(Saturday!$W:$W,Saturday!$A:$A,Summary!$A16,Saturday!$H:$H,Summary!N$2,Saturday!$B:$B,Summary!$L$2)</f>
        <v>0</v>
      </c>
      <c r="O16" s="119">
        <f ca="1">SUMIFS(Sunday!$W:$W,Sunday!$A:$A,Summary!$A16,Sunday!$H:$H,Summary!O$2,Sunday!$B:$B,Summary!$L$2)+
SUMIFS(Monday!$W:$W,Monday!$A:$A,Summary!$A16,Monday!$H:$H,Summary!O$2,Monday!$B:$B,Summary!$L$2)+
SUMIFS(Tuesday!$W:$W,Tuesday!$A:$A,Summary!$A16,Tuesday!$H:$H,Summary!O$2,Tuesday!$B:$B,Summary!$L$2)+
SUMIFS(Wednesday!$W:$W,Wednesday!$A:$A,Summary!$A16,Wednesday!$H:$H,Summary!O$2,Wednesday!$B:$B,Summary!$L$2)+
SUMIFS(Thursday!$W:$W,Thursday!$A:$A,Summary!$A16,Thursday!$H:$H,Summary!O$2,Thursday!$B:$B,Summary!$L$2)+
SUMIFS(Friday!$W:$W,Friday!$A:$A,Summary!$A16,Friday!$H:$H,Summary!O$2,Friday!$B:$B,Summary!$L$2)+
SUMIFS(Saturday!$W:$W,Saturday!$A:$A,Summary!$A16,Saturday!$H:$H,Summary!O$2,Saturday!$B:$B,Summary!$L$2)</f>
        <v>0</v>
      </c>
      <c r="P16" s="119">
        <f ca="1">SUMIFS(Sunday!$W:$W,Sunday!$A:$A,Summary!$A16,Sunday!$H:$H,Summary!P$2,Sunday!$B:$B,Summary!$L$2)+
SUMIFS(Monday!$W:$W,Monday!$A:$A,Summary!$A16,Monday!$H:$H,Summary!P$2,Monday!$B:$B,Summary!$L$2)+
SUMIFS(Tuesday!$W:$W,Tuesday!$A:$A,Summary!$A16,Tuesday!$H:$H,Summary!P$2,Tuesday!$B:$B,Summary!$L$2)+
SUMIFS(Wednesday!$W:$W,Wednesday!$A:$A,Summary!$A16,Wednesday!$H:$H,Summary!P$2,Wednesday!$B:$B,Summary!$L$2)+
SUMIFS(Thursday!$W:$W,Thursday!$A:$A,Summary!$A16,Thursday!$H:$H,Summary!P$2,Thursday!$B:$B,Summary!$L$2)+
SUMIFS(Friday!$W:$W,Friday!$A:$A,Summary!$A16,Friday!$H:$H,Summary!P$2,Friday!$B:$B,Summary!$L$2)+
SUMIFS(Saturday!$W:$W,Saturday!$A:$A,Summary!$A16,Saturday!$H:$H,Summary!P$2,Saturday!$B:$B,Summary!$L$2)</f>
        <v>0</v>
      </c>
      <c r="Q16" s="136">
        <f t="shared" ca="1" si="0"/>
        <v>0</v>
      </c>
      <c r="R16" s="146"/>
      <c r="S16" s="163">
        <f t="shared" ca="1" si="2"/>
        <v>0</v>
      </c>
      <c r="T16" s="145">
        <f t="shared" ca="1" si="3"/>
        <v>0</v>
      </c>
    </row>
    <row r="17" spans="1:20" x14ac:dyDescent="0.25">
      <c r="A17" s="101" t="s">
        <v>30</v>
      </c>
      <c r="B17" s="146"/>
      <c r="C17" s="102">
        <v>8102</v>
      </c>
      <c r="D17" s="103"/>
      <c r="E17" s="125">
        <f ca="1">SUMIFS(Sunday!$W:$W,Sunday!$A:$A,Summary!$A17,Sunday!$H:$H,Summary!E$2,Sunday!$B:$B,Summary!$D$2)+
SUMIFS(Monday!$W:$W,Monday!$A:$A,Summary!$A17,Monday!$H:$H,Summary!E$2,Monday!$B:$B,Summary!$D$2)+
SUMIFS(Tuesday!$W:$W,Tuesday!$A:$A,Summary!$A17,Tuesday!$H:$H,Summary!E$2,Tuesday!$B:$B,Summary!$D$2)+
SUMIFS(Wednesday!$W:$W,Wednesday!$A:$A,Summary!$A17,Wednesday!$H:$H,Summary!E$2,Wednesday!$B:$B,Summary!$D$2)+
SUMIFS(Thursday!$W:$W,Thursday!$A:$A,Summary!$A17,Thursday!$H:$H,Summary!E$2,Thursday!$B:$B,Summary!$D$2)+
SUMIFS(Friday!$W:$W,Friday!$A:$A,Summary!$A17,Friday!$H:$H,Summary!E$2,Friday!$B:$B,Summary!$D$2)+
SUMIFS(Saturday!$W:$W,Saturday!$A:$A,Summary!$A17,Saturday!$H:$H,Summary!E$2,Saturday!$B:$B,Summary!$D$2)</f>
        <v>0</v>
      </c>
      <c r="F17" s="125">
        <f ca="1">SUMIFS(Sunday!$W:$W,Sunday!$A:$A,Summary!$A17,Sunday!$H:$H,Summary!F$2,Sunday!$B:$B,Summary!$D$2)+
SUMIFS(Monday!$W:$W,Monday!$A:$A,Summary!$A17,Monday!$H:$H,Summary!F$2,Monday!$B:$B,Summary!$D$2)+
SUMIFS(Tuesday!$W:$W,Tuesday!$A:$A,Summary!$A17,Tuesday!$H:$H,Summary!F$2,Tuesday!$B:$B,Summary!$D$2)+
SUMIFS(Wednesday!$W:$W,Wednesday!$A:$A,Summary!$A17,Wednesday!$H:$H,Summary!F$2,Wednesday!$B:$B,Summary!$D$2)+
SUMIFS(Thursday!$W:$W,Thursday!$A:$A,Summary!$A17,Thursday!$H:$H,Summary!F$2,Thursday!$B:$B,Summary!$D$2)+
SUMIFS(Friday!$W:$W,Friday!$A:$A,Summary!$A17,Friday!$H:$H,Summary!F$2,Friday!$B:$B,Summary!$D$2)+
SUMIFS(Saturday!$W:$W,Saturday!$A:$A,Summary!$A17,Saturday!$H:$H,Summary!F$2,Saturday!$B:$B,Summary!$D$2)</f>
        <v>0</v>
      </c>
      <c r="G17" s="125">
        <f ca="1">SUMIFS(Sunday!$W:$W,Sunday!$A:$A,Summary!$A17,Sunday!$H:$H,Summary!G$2,Sunday!$B:$B,Summary!$D$2)+
SUMIFS(Monday!$W:$W,Monday!$A:$A,Summary!$A17,Monday!$H:$H,Summary!G$2,Monday!$B:$B,Summary!$D$2)+
SUMIFS(Tuesday!$W:$W,Tuesday!$A:$A,Summary!$A17,Tuesday!$H:$H,Summary!G$2,Tuesday!$B:$B,Summary!$D$2)+
SUMIFS(Wednesday!$W:$W,Wednesday!$A:$A,Summary!$A17,Wednesday!$H:$H,Summary!G$2,Wednesday!$B:$B,Summary!$D$2)+
SUMIFS(Thursday!$W:$W,Thursday!$A:$A,Summary!$A17,Thursday!$H:$H,Summary!G$2,Thursday!$B:$B,Summary!$D$2)+
SUMIFS(Friday!$W:$W,Friday!$A:$A,Summary!$A17,Friday!$H:$H,Summary!G$2,Friday!$B:$B,Summary!$D$2)+
SUMIFS(Saturday!$W:$W,Saturday!$A:$A,Summary!$A17,Saturday!$H:$H,Summary!G$2,Saturday!$B:$B,Summary!$D$2)</f>
        <v>0</v>
      </c>
      <c r="H17" s="125">
        <f ca="1">SUMIFS(Sunday!$W:$W,Sunday!$A:$A,Summary!$A17,Sunday!$H:$H,Summary!H$2,Sunday!$B:$B,Summary!$D$2)+
SUMIFS(Monday!$W:$W,Monday!$A:$A,Summary!$A17,Monday!$H:$H,Summary!H$2,Monday!$B:$B,Summary!$D$2)+
SUMIFS(Tuesday!$W:$W,Tuesday!$A:$A,Summary!$A17,Tuesday!$H:$H,Summary!H$2,Tuesday!$B:$B,Summary!$D$2)+
SUMIFS(Wednesday!$W:$W,Wednesday!$A:$A,Summary!$A17,Wednesday!$H:$H,Summary!H$2,Wednesday!$B:$B,Summary!$D$2)+
SUMIFS(Thursday!$W:$W,Thursday!$A:$A,Summary!$A17,Thursday!$H:$H,Summary!H$2,Thursday!$B:$B,Summary!$D$2)+
SUMIFS(Friday!$W:$W,Friday!$A:$A,Summary!$A17,Friday!$H:$H,Summary!H$2,Friday!$B:$B,Summary!$D$2)+
SUMIFS(Saturday!$W:$W,Saturday!$A:$A,Summary!$A17,Saturday!$H:$H,Summary!H$2,Saturday!$B:$B,Summary!$D$2)</f>
        <v>0</v>
      </c>
      <c r="I17" s="158">
        <f t="shared" ca="1" si="1"/>
        <v>0</v>
      </c>
      <c r="J17" s="146"/>
      <c r="K17" s="104" t="s">
        <v>91</v>
      </c>
      <c r="L17" s="103"/>
      <c r="M17" s="125">
        <f ca="1">SUMIFS(Sunday!$W:$W,Sunday!$A:$A,Summary!$A17,Sunday!$H:$H,Summary!M$2,Sunday!$B:$B,Summary!$L$2)+
SUMIFS(Monday!$W:$W,Monday!$A:$A,Summary!$A17,Monday!$H:$H,Summary!M$2,Monday!$B:$B,Summary!$L$2)+
SUMIFS(Tuesday!$W:$W,Tuesday!$A:$A,Summary!$A17,Tuesday!$H:$H,Summary!M$2,Tuesday!$B:$B,Summary!$L$2)+
SUMIFS(Wednesday!$W:$W,Wednesday!$A:$A,Summary!$A17,Wednesday!$H:$H,Summary!M$2,Wednesday!$B:$B,Summary!$L$2)+
SUMIFS(Thursday!$W:$W,Thursday!$A:$A,Summary!$A17,Thursday!$H:$H,Summary!M$2,Thursday!$B:$B,Summary!$L$2)+
SUMIFS(Friday!$W:$W,Friday!$A:$A,Summary!$A17,Friday!$H:$H,Summary!M$2,Friday!$B:$B,Summary!$L$2)+
SUMIFS(Saturday!$W:$W,Saturday!$A:$A,Summary!$A17,Saturday!$H:$H,Summary!M$2,Saturday!$B:$B,Summary!$L$2)</f>
        <v>0</v>
      </c>
      <c r="N17" s="125">
        <f ca="1">SUMIFS(Sunday!$W:$W,Sunday!$A:$A,Summary!$A17,Sunday!$H:$H,Summary!N$2,Sunday!$B:$B,Summary!$L$2)+
SUMIFS(Monday!$W:$W,Monday!$A:$A,Summary!$A17,Monday!$H:$H,Summary!N$2,Monday!$B:$B,Summary!$L$2)+
SUMIFS(Tuesday!$W:$W,Tuesday!$A:$A,Summary!$A17,Tuesday!$H:$H,Summary!N$2,Tuesday!$B:$B,Summary!$L$2)+
SUMIFS(Wednesday!$W:$W,Wednesday!$A:$A,Summary!$A17,Wednesday!$H:$H,Summary!N$2,Wednesday!$B:$B,Summary!$L$2)+
SUMIFS(Thursday!$W:$W,Thursday!$A:$A,Summary!$A17,Thursday!$H:$H,Summary!N$2,Thursday!$B:$B,Summary!$L$2)+
SUMIFS(Friday!$W:$W,Friday!$A:$A,Summary!$A17,Friday!$H:$H,Summary!N$2,Friday!$B:$B,Summary!$L$2)+
SUMIFS(Saturday!$W:$W,Saturday!$A:$A,Summary!$A17,Saturday!$H:$H,Summary!N$2,Saturday!$B:$B,Summary!$L$2)</f>
        <v>0</v>
      </c>
      <c r="O17" s="125">
        <f ca="1">SUMIFS(Sunday!$W:$W,Sunday!$A:$A,Summary!$A17,Sunday!$H:$H,Summary!O$2,Sunday!$B:$B,Summary!$L$2)+
SUMIFS(Monday!$W:$W,Monday!$A:$A,Summary!$A17,Monday!$H:$H,Summary!O$2,Monday!$B:$B,Summary!$L$2)+
SUMIFS(Tuesday!$W:$W,Tuesday!$A:$A,Summary!$A17,Tuesday!$H:$H,Summary!O$2,Tuesday!$B:$B,Summary!$L$2)+
SUMIFS(Wednesday!$W:$W,Wednesday!$A:$A,Summary!$A17,Wednesday!$H:$H,Summary!O$2,Wednesday!$B:$B,Summary!$L$2)+
SUMIFS(Thursday!$W:$W,Thursday!$A:$A,Summary!$A17,Thursday!$H:$H,Summary!O$2,Thursday!$B:$B,Summary!$L$2)+
SUMIFS(Friday!$W:$W,Friday!$A:$A,Summary!$A17,Friday!$H:$H,Summary!O$2,Friday!$B:$B,Summary!$L$2)+
SUMIFS(Saturday!$W:$W,Saturday!$A:$A,Summary!$A17,Saturday!$H:$H,Summary!O$2,Saturday!$B:$B,Summary!$L$2)</f>
        <v>0</v>
      </c>
      <c r="P17" s="125">
        <f ca="1">SUMIFS(Sunday!$W:$W,Sunday!$A:$A,Summary!$A17,Sunday!$H:$H,Summary!P$2,Sunday!$B:$B,Summary!$L$2)+
SUMIFS(Monday!$W:$W,Monday!$A:$A,Summary!$A17,Monday!$H:$H,Summary!P$2,Monday!$B:$B,Summary!$L$2)+
SUMIFS(Tuesday!$W:$W,Tuesday!$A:$A,Summary!$A17,Tuesday!$H:$H,Summary!P$2,Tuesday!$B:$B,Summary!$L$2)+
SUMIFS(Wednesday!$W:$W,Wednesday!$A:$A,Summary!$A17,Wednesday!$H:$H,Summary!P$2,Wednesday!$B:$B,Summary!$L$2)+
SUMIFS(Thursday!$W:$W,Thursday!$A:$A,Summary!$A17,Thursday!$H:$H,Summary!P$2,Thursday!$B:$B,Summary!$L$2)+
SUMIFS(Friday!$W:$W,Friday!$A:$A,Summary!$A17,Friday!$H:$H,Summary!P$2,Friday!$B:$B,Summary!$L$2)+
SUMIFS(Saturday!$W:$W,Saturday!$A:$A,Summary!$A17,Saturday!$H:$H,Summary!P$2,Saturday!$B:$B,Summary!$L$2)</f>
        <v>0</v>
      </c>
      <c r="Q17" s="142">
        <f t="shared" ca="1" si="0"/>
        <v>0</v>
      </c>
      <c r="R17" s="146"/>
      <c r="S17" s="163">
        <f t="shared" ca="1" si="2"/>
        <v>0</v>
      </c>
      <c r="T17" s="145">
        <f t="shared" ca="1" si="3"/>
        <v>0</v>
      </c>
    </row>
    <row r="18" spans="1:20" x14ac:dyDescent="0.25">
      <c r="A18" s="105" t="s">
        <v>31</v>
      </c>
      <c r="B18" s="146"/>
      <c r="C18" s="106">
        <v>7010</v>
      </c>
      <c r="D18" s="107"/>
      <c r="E18" s="126">
        <f ca="1">SUMIFS(Sunday!$W:$W,Sunday!$A:$A,Summary!$A18,Sunday!$H:$H,Summary!E$2,Sunday!$B:$B,Summary!$D$2)+
SUMIFS(Monday!$W:$W,Monday!$A:$A,Summary!$A18,Monday!$H:$H,Summary!E$2,Monday!$B:$B,Summary!$D$2)+
SUMIFS(Tuesday!$W:$W,Tuesday!$A:$A,Summary!$A18,Tuesday!$H:$H,Summary!E$2,Tuesday!$B:$B,Summary!$D$2)+
SUMIFS(Wednesday!$W:$W,Wednesday!$A:$A,Summary!$A18,Wednesday!$H:$H,Summary!E$2,Wednesday!$B:$B,Summary!$D$2)+
SUMIFS(Thursday!$W:$W,Thursday!$A:$A,Summary!$A18,Thursday!$H:$H,Summary!E$2,Thursday!$B:$B,Summary!$D$2)+
SUMIFS(Friday!$W:$W,Friday!$A:$A,Summary!$A18,Friday!$H:$H,Summary!E$2,Friday!$B:$B,Summary!$D$2)+
SUMIFS(Saturday!$W:$W,Saturday!$A:$A,Summary!$A18,Saturday!$H:$H,Summary!E$2,Saturday!$B:$B,Summary!$D$2)</f>
        <v>0</v>
      </c>
      <c r="F18" s="126">
        <f ca="1">SUMIFS(Sunday!$W:$W,Sunday!$A:$A,Summary!$A18,Sunday!$H:$H,Summary!F$2,Sunday!$B:$B,Summary!$D$2)+
SUMIFS(Monday!$W:$W,Monday!$A:$A,Summary!$A18,Monday!$H:$H,Summary!F$2,Monday!$B:$B,Summary!$D$2)+
SUMIFS(Tuesday!$W:$W,Tuesday!$A:$A,Summary!$A18,Tuesday!$H:$H,Summary!F$2,Tuesday!$B:$B,Summary!$D$2)+
SUMIFS(Wednesday!$W:$W,Wednesday!$A:$A,Summary!$A18,Wednesday!$H:$H,Summary!F$2,Wednesday!$B:$B,Summary!$D$2)+
SUMIFS(Thursday!$W:$W,Thursday!$A:$A,Summary!$A18,Thursday!$H:$H,Summary!F$2,Thursday!$B:$B,Summary!$D$2)+
SUMIFS(Friday!$W:$W,Friday!$A:$A,Summary!$A18,Friday!$H:$H,Summary!F$2,Friday!$B:$B,Summary!$D$2)+
SUMIFS(Saturday!$W:$W,Saturday!$A:$A,Summary!$A18,Saturday!$H:$H,Summary!F$2,Saturday!$B:$B,Summary!$D$2)</f>
        <v>0</v>
      </c>
      <c r="G18" s="126">
        <f ca="1">SUMIFS(Sunday!$W:$W,Sunday!$A:$A,Summary!$A18,Sunday!$H:$H,Summary!G$2,Sunday!$B:$B,Summary!$D$2)+
SUMIFS(Monday!$W:$W,Monday!$A:$A,Summary!$A18,Monday!$H:$H,Summary!G$2,Monday!$B:$B,Summary!$D$2)+
SUMIFS(Tuesday!$W:$W,Tuesday!$A:$A,Summary!$A18,Tuesday!$H:$H,Summary!G$2,Tuesday!$B:$B,Summary!$D$2)+
SUMIFS(Wednesday!$W:$W,Wednesday!$A:$A,Summary!$A18,Wednesday!$H:$H,Summary!G$2,Wednesday!$B:$B,Summary!$D$2)+
SUMIFS(Thursday!$W:$W,Thursday!$A:$A,Summary!$A18,Thursday!$H:$H,Summary!G$2,Thursday!$B:$B,Summary!$D$2)+
SUMIFS(Friday!$W:$W,Friday!$A:$A,Summary!$A18,Friday!$H:$H,Summary!G$2,Friday!$B:$B,Summary!$D$2)+
SUMIFS(Saturday!$W:$W,Saturday!$A:$A,Summary!$A18,Saturday!$H:$H,Summary!G$2,Saturday!$B:$B,Summary!$D$2)</f>
        <v>0</v>
      </c>
      <c r="H18" s="126">
        <f ca="1">SUMIFS(Sunday!$W:$W,Sunday!$A:$A,Summary!$A18,Sunday!$H:$H,Summary!H$2,Sunday!$B:$B,Summary!$D$2)+
SUMIFS(Monday!$W:$W,Monday!$A:$A,Summary!$A18,Monday!$H:$H,Summary!H$2,Monday!$B:$B,Summary!$D$2)+
SUMIFS(Tuesday!$W:$W,Tuesday!$A:$A,Summary!$A18,Tuesday!$H:$H,Summary!H$2,Tuesday!$B:$B,Summary!$D$2)+
SUMIFS(Wednesday!$W:$W,Wednesday!$A:$A,Summary!$A18,Wednesday!$H:$H,Summary!H$2,Wednesday!$B:$B,Summary!$D$2)+
SUMIFS(Thursday!$W:$W,Thursday!$A:$A,Summary!$A18,Thursday!$H:$H,Summary!H$2,Thursday!$B:$B,Summary!$D$2)+
SUMIFS(Friday!$W:$W,Friday!$A:$A,Summary!$A18,Friday!$H:$H,Summary!H$2,Friday!$B:$B,Summary!$D$2)+
SUMIFS(Saturday!$W:$W,Saturday!$A:$A,Summary!$A18,Saturday!$H:$H,Summary!H$2,Saturday!$B:$B,Summary!$D$2)</f>
        <v>0</v>
      </c>
      <c r="I18" s="159">
        <f t="shared" ca="1" si="1"/>
        <v>0</v>
      </c>
      <c r="J18" s="146"/>
      <c r="K18" s="106" t="s">
        <v>92</v>
      </c>
      <c r="L18" s="107"/>
      <c r="M18" s="126">
        <f ca="1">SUMIFS(Sunday!$W:$W,Sunday!$A:$A,Summary!$A18,Sunday!$H:$H,Summary!M$2,Sunday!$B:$B,Summary!$L$2)+
SUMIFS(Monday!$W:$W,Monday!$A:$A,Summary!$A18,Monday!$H:$H,Summary!M$2,Monday!$B:$B,Summary!$L$2)+
SUMIFS(Tuesday!$W:$W,Tuesday!$A:$A,Summary!$A18,Tuesday!$H:$H,Summary!M$2,Tuesday!$B:$B,Summary!$L$2)+
SUMIFS(Wednesday!$W:$W,Wednesday!$A:$A,Summary!$A18,Wednesday!$H:$H,Summary!M$2,Wednesday!$B:$B,Summary!$L$2)+
SUMIFS(Thursday!$W:$W,Thursday!$A:$A,Summary!$A18,Thursday!$H:$H,Summary!M$2,Thursday!$B:$B,Summary!$L$2)+
SUMIFS(Friday!$W:$W,Friday!$A:$A,Summary!$A18,Friday!$H:$H,Summary!M$2,Friday!$B:$B,Summary!$L$2)+
SUMIFS(Saturday!$W:$W,Saturday!$A:$A,Summary!$A18,Saturday!$H:$H,Summary!M$2,Saturday!$B:$B,Summary!$L$2)</f>
        <v>0</v>
      </c>
      <c r="N18" s="126">
        <f ca="1">SUMIFS(Sunday!$W:$W,Sunday!$A:$A,Summary!$A18,Sunday!$H:$H,Summary!N$2,Sunday!$B:$B,Summary!$L$2)+
SUMIFS(Monday!$W:$W,Monday!$A:$A,Summary!$A18,Monday!$H:$H,Summary!N$2,Monday!$B:$B,Summary!$L$2)+
SUMIFS(Tuesday!$W:$W,Tuesday!$A:$A,Summary!$A18,Tuesday!$H:$H,Summary!N$2,Tuesday!$B:$B,Summary!$L$2)+
SUMIFS(Wednesday!$W:$W,Wednesday!$A:$A,Summary!$A18,Wednesday!$H:$H,Summary!N$2,Wednesday!$B:$B,Summary!$L$2)+
SUMIFS(Thursday!$W:$W,Thursday!$A:$A,Summary!$A18,Thursday!$H:$H,Summary!N$2,Thursday!$B:$B,Summary!$L$2)+
SUMIFS(Friday!$W:$W,Friday!$A:$A,Summary!$A18,Friday!$H:$H,Summary!N$2,Friday!$B:$B,Summary!$L$2)+
SUMIFS(Saturday!$W:$W,Saturday!$A:$A,Summary!$A18,Saturday!$H:$H,Summary!N$2,Saturday!$B:$B,Summary!$L$2)</f>
        <v>0</v>
      </c>
      <c r="O18" s="126">
        <f ca="1">SUMIFS(Sunday!$W:$W,Sunday!$A:$A,Summary!$A18,Sunday!$H:$H,Summary!O$2,Sunday!$B:$B,Summary!$L$2)+
SUMIFS(Monday!$W:$W,Monday!$A:$A,Summary!$A18,Monday!$H:$H,Summary!O$2,Monday!$B:$B,Summary!$L$2)+
SUMIFS(Tuesday!$W:$W,Tuesday!$A:$A,Summary!$A18,Tuesday!$H:$H,Summary!O$2,Tuesday!$B:$B,Summary!$L$2)+
SUMIFS(Wednesday!$W:$W,Wednesday!$A:$A,Summary!$A18,Wednesday!$H:$H,Summary!O$2,Wednesday!$B:$B,Summary!$L$2)+
SUMIFS(Thursday!$W:$W,Thursday!$A:$A,Summary!$A18,Thursday!$H:$H,Summary!O$2,Thursday!$B:$B,Summary!$L$2)+
SUMIFS(Friday!$W:$W,Friday!$A:$A,Summary!$A18,Friday!$H:$H,Summary!O$2,Friday!$B:$B,Summary!$L$2)+
SUMIFS(Saturday!$W:$W,Saturday!$A:$A,Summary!$A18,Saturday!$H:$H,Summary!O$2,Saturday!$B:$B,Summary!$L$2)</f>
        <v>0</v>
      </c>
      <c r="P18" s="126">
        <f ca="1">SUMIFS(Sunday!$W:$W,Sunday!$A:$A,Summary!$A18,Sunday!$H:$H,Summary!P$2,Sunday!$B:$B,Summary!$L$2)+
SUMIFS(Monday!$W:$W,Monday!$A:$A,Summary!$A18,Monday!$H:$H,Summary!P$2,Monday!$B:$B,Summary!$L$2)+
SUMIFS(Tuesday!$W:$W,Tuesday!$A:$A,Summary!$A18,Tuesday!$H:$H,Summary!P$2,Tuesday!$B:$B,Summary!$L$2)+
SUMIFS(Wednesday!$W:$W,Wednesday!$A:$A,Summary!$A18,Wednesday!$H:$H,Summary!P$2,Wednesday!$B:$B,Summary!$L$2)+
SUMIFS(Thursday!$W:$W,Thursday!$A:$A,Summary!$A18,Thursday!$H:$H,Summary!P$2,Thursday!$B:$B,Summary!$L$2)+
SUMIFS(Friday!$W:$W,Friday!$A:$A,Summary!$A18,Friday!$H:$H,Summary!P$2,Friday!$B:$B,Summary!$L$2)+
SUMIFS(Saturday!$W:$W,Saturday!$A:$A,Summary!$A18,Saturday!$H:$H,Summary!P$2,Saturday!$B:$B,Summary!$L$2)</f>
        <v>0</v>
      </c>
      <c r="Q18" s="143">
        <f t="shared" ca="1" si="0"/>
        <v>0</v>
      </c>
      <c r="R18" s="146"/>
      <c r="S18" s="163">
        <f t="shared" ca="1" si="2"/>
        <v>0</v>
      </c>
      <c r="T18" s="145">
        <f t="shared" ca="1" si="3"/>
        <v>0</v>
      </c>
    </row>
    <row r="19" spans="1:20" x14ac:dyDescent="0.25">
      <c r="A19" s="52" t="s">
        <v>37</v>
      </c>
      <c r="B19" s="146"/>
      <c r="C19" s="53"/>
      <c r="D19" s="108"/>
      <c r="E19" s="127">
        <f ca="1">SUM(E4:E18)</f>
        <v>0</v>
      </c>
      <c r="F19" s="127">
        <f ca="1">SUM(F4:F18)</f>
        <v>0</v>
      </c>
      <c r="G19" s="127">
        <f ca="1">SUM(G4:G18)</f>
        <v>0</v>
      </c>
      <c r="H19" s="127">
        <f ca="1">SUM(H4:H18)</f>
        <v>0</v>
      </c>
      <c r="I19" s="144">
        <f ca="1">SUM(I4:I18)</f>
        <v>0</v>
      </c>
      <c r="J19" s="146"/>
      <c r="K19" s="110"/>
      <c r="L19" s="109"/>
      <c r="M19" s="127">
        <f t="shared" ref="M19:T19" ca="1" si="4">SUM(M4:M18)</f>
        <v>0</v>
      </c>
      <c r="N19" s="127">
        <f t="shared" ca="1" si="4"/>
        <v>0</v>
      </c>
      <c r="O19" s="127">
        <f t="shared" ca="1" si="4"/>
        <v>0</v>
      </c>
      <c r="P19" s="127">
        <f t="shared" ca="1" si="4"/>
        <v>0</v>
      </c>
      <c r="Q19" s="144">
        <f t="shared" ca="1" si="4"/>
        <v>0</v>
      </c>
      <c r="R19" s="146"/>
      <c r="S19" s="111">
        <f t="shared" ca="1" si="4"/>
        <v>0</v>
      </c>
      <c r="T19" s="162">
        <f t="shared" ca="1" si="4"/>
        <v>0</v>
      </c>
    </row>
    <row r="21" spans="1:20" x14ac:dyDescent="0.25">
      <c r="P21" s="279" t="s">
        <v>124</v>
      </c>
      <c r="Q21" s="279"/>
      <c r="R21" s="279"/>
      <c r="S21" s="279"/>
      <c r="T21" s="279"/>
    </row>
    <row r="22" spans="1:20" x14ac:dyDescent="0.25">
      <c r="P22" s="280" t="s">
        <v>10</v>
      </c>
      <c r="Q22" s="280"/>
      <c r="R22" s="280"/>
      <c r="S22" s="216"/>
      <c r="T22" s="216" t="s">
        <v>125</v>
      </c>
    </row>
    <row r="23" spans="1:20" x14ac:dyDescent="0.25">
      <c r="P23" s="276"/>
      <c r="Q23" s="276"/>
      <c r="R23" s="276"/>
      <c r="T23" s="217" t="str">
        <f>IF(P23="","",VLOOKUP(Info!$B$3,'Agency Rates'!$K$1:$L$5,2,0))</f>
        <v/>
      </c>
    </row>
    <row r="24" spans="1:20" x14ac:dyDescent="0.25">
      <c r="P24" s="276"/>
      <c r="Q24" s="276"/>
      <c r="R24" s="276"/>
      <c r="T24" s="217" t="str">
        <f>IF(P24="","",VLOOKUP(Info!$B$3,'Agency Rates'!$K$1:$L$5,2,0))</f>
        <v/>
      </c>
    </row>
    <row r="25" spans="1:20" x14ac:dyDescent="0.25">
      <c r="P25" s="276"/>
      <c r="Q25" s="276"/>
      <c r="R25" s="276"/>
      <c r="T25" s="217" t="str">
        <f>IF(P25="","",VLOOKUP(Info!$B$3,'Agency Rates'!$K$1:$L$5,2,0))</f>
        <v/>
      </c>
    </row>
    <row r="26" spans="1:20" x14ac:dyDescent="0.25">
      <c r="P26" s="276"/>
      <c r="Q26" s="276"/>
      <c r="R26" s="276"/>
      <c r="T26" s="217" t="str">
        <f>IF(P26="","",VLOOKUP(Info!$B$3,'Agency Rates'!$K$1:$L$5,2,0))</f>
        <v/>
      </c>
    </row>
    <row r="27" spans="1:20" x14ac:dyDescent="0.25">
      <c r="P27" s="276"/>
      <c r="Q27" s="276"/>
      <c r="R27" s="276"/>
      <c r="T27" s="217" t="str">
        <f>IF(P27="","",VLOOKUP(Info!$B$3,'Agency Rates'!$K$1:$L$5,2,0))</f>
        <v/>
      </c>
    </row>
    <row r="28" spans="1:20" x14ac:dyDescent="0.25">
      <c r="P28" s="276"/>
      <c r="Q28" s="276"/>
      <c r="R28" s="276"/>
      <c r="T28" s="217" t="str">
        <f>IF(P28="","",VLOOKUP(Info!$B$3,'Agency Rates'!$K$1:$L$5,2,0))</f>
        <v/>
      </c>
    </row>
    <row r="29" spans="1:20" x14ac:dyDescent="0.25">
      <c r="P29" s="276"/>
      <c r="Q29" s="276"/>
      <c r="R29" s="276"/>
      <c r="T29" s="217" t="str">
        <f>IF(P29="","",VLOOKUP(Info!$B$3,'Agency Rates'!$K$1:$L$5,2,0))</f>
        <v/>
      </c>
    </row>
    <row r="30" spans="1:20" x14ac:dyDescent="0.25">
      <c r="P30" s="276"/>
      <c r="Q30" s="276"/>
      <c r="R30" s="276"/>
      <c r="T30" s="217" t="str">
        <f>IF(P30="","",VLOOKUP(Info!$B$3,'Agency Rates'!$K$1:$L$5,2,0))</f>
        <v/>
      </c>
    </row>
    <row r="31" spans="1:20" x14ac:dyDescent="0.25">
      <c r="P31" s="276"/>
      <c r="Q31" s="276"/>
      <c r="R31" s="276"/>
      <c r="T31" s="217" t="str">
        <f>IF(P31="","",VLOOKUP(Info!$B$3,'Agency Rates'!$K$1:$L$5,2,0))</f>
        <v/>
      </c>
    </row>
    <row r="32" spans="1:20" x14ac:dyDescent="0.25">
      <c r="P32" s="276"/>
      <c r="Q32" s="276"/>
      <c r="R32" s="276"/>
      <c r="T32" s="217" t="str">
        <f>IF(P32="","",VLOOKUP(Info!$B$3,'Agency Rates'!$K$1:$L$5,2,0))</f>
        <v/>
      </c>
    </row>
    <row r="33" spans="14:20" x14ac:dyDescent="0.25">
      <c r="N33" s="217"/>
      <c r="P33" s="276"/>
      <c r="Q33" s="276"/>
      <c r="R33" s="276"/>
      <c r="T33" s="217" t="str">
        <f>IF(P33="","",VLOOKUP(Info!$B$3,'Agency Rates'!$K$1:$L$5,2,0))</f>
        <v/>
      </c>
    </row>
    <row r="34" spans="14:20" x14ac:dyDescent="0.25">
      <c r="P34" s="276"/>
      <c r="Q34" s="276"/>
      <c r="R34" s="276"/>
      <c r="T34" s="217" t="str">
        <f>IF(P34="","",VLOOKUP(Info!$B$3,'Agency Rates'!$K$1:$L$5,2,0))</f>
        <v/>
      </c>
    </row>
    <row r="35" spans="14:20" x14ac:dyDescent="0.25">
      <c r="T35" s="162">
        <f t="shared" ref="T35" si="5">SUM(T20:T34)</f>
        <v>0</v>
      </c>
    </row>
    <row r="37" spans="14:20" x14ac:dyDescent="0.25">
      <c r="P37" s="162" t="s">
        <v>126</v>
      </c>
      <c r="Q37" s="162"/>
      <c r="T37" s="162">
        <f ca="1">T35+T19</f>
        <v>0</v>
      </c>
    </row>
    <row r="40" spans="14:20" x14ac:dyDescent="0.25">
      <c r="S40" t="s">
        <v>81</v>
      </c>
      <c r="T40" s="217">
        <f ca="1">SUM(T4:T18)-SUM(Sunday!Y9:Y60)-SUM(Monday!Y9:Y60)-SUM(Tuesday!Y9:Y60)-SUM(Wednesday!Y9:Y60)-SUM(Thursday!Y9:Y60)-SUM(Friday!Y9:Y60)-SUM(Saturday!Y9:Y60)</f>
        <v>0</v>
      </c>
    </row>
  </sheetData>
  <mergeCells count="17">
    <mergeCell ref="E1:H1"/>
    <mergeCell ref="M1:P1"/>
    <mergeCell ref="P21:T21"/>
    <mergeCell ref="P22:R22"/>
    <mergeCell ref="P23:R23"/>
    <mergeCell ref="P34:R34"/>
    <mergeCell ref="W3:X3"/>
    <mergeCell ref="P29:R29"/>
    <mergeCell ref="P30:R30"/>
    <mergeCell ref="P31:R31"/>
    <mergeCell ref="P32:R32"/>
    <mergeCell ref="P33:R33"/>
    <mergeCell ref="P24:R24"/>
    <mergeCell ref="P25:R25"/>
    <mergeCell ref="P26:R26"/>
    <mergeCell ref="P27:R27"/>
    <mergeCell ref="P28:R2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79998168889431442"/>
  </sheetPr>
  <dimension ref="A1:I17"/>
  <sheetViews>
    <sheetView tabSelected="1" workbookViewId="0">
      <selection activeCell="D4" sqref="D4"/>
    </sheetView>
  </sheetViews>
  <sheetFormatPr defaultRowHeight="15" x14ac:dyDescent="0.25"/>
  <cols>
    <col min="1" max="1" width="14.28515625" style="222" bestFit="1" customWidth="1"/>
    <col min="2" max="4" width="10.7109375" bestFit="1" customWidth="1"/>
    <col min="5" max="5" width="11.42578125" bestFit="1" customWidth="1"/>
    <col min="6" max="8" width="10.7109375" bestFit="1" customWidth="1"/>
  </cols>
  <sheetData>
    <row r="1" spans="1:9" x14ac:dyDescent="0.25">
      <c r="B1" s="223" t="s">
        <v>102</v>
      </c>
      <c r="C1" s="223" t="str">
        <f>"Monday"</f>
        <v>Monday</v>
      </c>
      <c r="D1" s="223" t="s">
        <v>104</v>
      </c>
      <c r="E1" s="223" t="s">
        <v>105</v>
      </c>
      <c r="F1" s="223" t="s">
        <v>106</v>
      </c>
      <c r="G1" s="223" t="s">
        <v>107</v>
      </c>
      <c r="H1" s="223" t="s">
        <v>108</v>
      </c>
      <c r="I1" s="281" t="s">
        <v>37</v>
      </c>
    </row>
    <row r="2" spans="1:9" x14ac:dyDescent="0.25">
      <c r="B2" s="254">
        <f ca="1">H2+1</f>
        <v>44556</v>
      </c>
      <c r="C2" s="254">
        <f ca="1">INDIRECT(C1&amp;"!A5")</f>
        <v>44550</v>
      </c>
      <c r="D2" s="254">
        <f t="shared" ref="D2:H2" ca="1" si="0">INDIRECT(D1&amp;"!A5")</f>
        <v>44551</v>
      </c>
      <c r="E2" s="254">
        <f t="shared" ca="1" si="0"/>
        <v>44552</v>
      </c>
      <c r="F2" s="254">
        <f t="shared" ca="1" si="0"/>
        <v>44553</v>
      </c>
      <c r="G2" s="254">
        <f t="shared" ca="1" si="0"/>
        <v>44554</v>
      </c>
      <c r="H2" s="254">
        <f t="shared" ca="1" si="0"/>
        <v>44555</v>
      </c>
      <c r="I2" s="281"/>
    </row>
    <row r="3" spans="1:9" x14ac:dyDescent="0.25">
      <c r="A3" s="224" t="s">
        <v>17</v>
      </c>
      <c r="B3" s="225">
        <f ca="1">SUMIF(INDIRECT(B$1&amp;"!A:A"),'Daily Hours'!$A3,INDIRECT(B$1&amp;"!W:W"))</f>
        <v>0</v>
      </c>
      <c r="C3" s="225">
        <f ca="1">SUMIF(INDIRECT(C$1&amp;"!A:A"),'Daily Hours'!$A3,INDIRECT(C$1&amp;"!W:W"))</f>
        <v>0</v>
      </c>
      <c r="D3" s="225">
        <f ca="1">SUMIF(INDIRECT(D$1&amp;"!A:A"),'Daily Hours'!$A3,INDIRECT(D$1&amp;"!W:W"))</f>
        <v>0</v>
      </c>
      <c r="E3" s="225">
        <f ca="1">SUMIF(INDIRECT(E$1&amp;"!A:A"),'Daily Hours'!$A3,INDIRECT(E$1&amp;"!W:W"))</f>
        <v>0</v>
      </c>
      <c r="F3" s="225">
        <f ca="1">SUMIF(INDIRECT(F$1&amp;"!A:A"),'Daily Hours'!$A3,INDIRECT(F$1&amp;"!W:W"))</f>
        <v>0</v>
      </c>
      <c r="G3" s="225">
        <f ca="1">SUMIF(INDIRECT(G$1&amp;"!A:A"),'Daily Hours'!$A3,INDIRECT(G$1&amp;"!W:W"))</f>
        <v>0</v>
      </c>
      <c r="H3" s="225">
        <f ca="1">SUMIF(INDIRECT(H$1&amp;"!A:A"),'Daily Hours'!$A3,INDIRECT(H$1&amp;"!W:W"))</f>
        <v>0</v>
      </c>
      <c r="I3" s="255">
        <f ca="1">SUM(C3:H3)</f>
        <v>0</v>
      </c>
    </row>
    <row r="4" spans="1:9" x14ac:dyDescent="0.25">
      <c r="A4" s="226" t="s">
        <v>18</v>
      </c>
      <c r="B4" s="227">
        <f ca="1">SUMIF(INDIRECT(B$1&amp;"!A:A"),'Daily Hours'!$A4,INDIRECT(B$1&amp;"!W:W"))</f>
        <v>0</v>
      </c>
      <c r="C4" s="227">
        <f ca="1">SUMIF(INDIRECT(C$1&amp;"!A:A"),'Daily Hours'!$A4,INDIRECT(C$1&amp;"!W:W"))</f>
        <v>0</v>
      </c>
      <c r="D4" s="227">
        <f ca="1">SUMIF(INDIRECT(D$1&amp;"!A:A"),'Daily Hours'!$A4,INDIRECT(D$1&amp;"!W:W"))</f>
        <v>0</v>
      </c>
      <c r="E4" s="227">
        <f ca="1">SUMIF(INDIRECT(E$1&amp;"!A:A"),'Daily Hours'!$A4,INDIRECT(E$1&amp;"!W:W"))</f>
        <v>0</v>
      </c>
      <c r="F4" s="227">
        <f ca="1">SUMIF(INDIRECT(F$1&amp;"!A:A"),'Daily Hours'!$A4,INDIRECT(F$1&amp;"!W:W"))</f>
        <v>0</v>
      </c>
      <c r="G4" s="227">
        <f ca="1">SUMIF(INDIRECT(G$1&amp;"!A:A"),'Daily Hours'!$A4,INDIRECT(G$1&amp;"!W:W"))</f>
        <v>0</v>
      </c>
      <c r="H4" s="227">
        <f ca="1">SUMIF(INDIRECT(H$1&amp;"!A:A"),'Daily Hours'!$A4,INDIRECT(H$1&amp;"!W:W"))</f>
        <v>0</v>
      </c>
      <c r="I4" s="255">
        <f ca="1">SUM(C4:H4)</f>
        <v>0</v>
      </c>
    </row>
    <row r="5" spans="1:9" x14ac:dyDescent="0.25">
      <c r="A5" s="228" t="s">
        <v>19</v>
      </c>
      <c r="B5" s="229">
        <f ca="1">SUMIF(INDIRECT(B$1&amp;"!A:A"),'Daily Hours'!$A5,INDIRECT(B$1&amp;"!W:W"))</f>
        <v>0</v>
      </c>
      <c r="C5" s="229">
        <f ca="1">SUMIF(INDIRECT(C$1&amp;"!A:A"),'Daily Hours'!$A5,INDIRECT(C$1&amp;"!W:W"))</f>
        <v>0</v>
      </c>
      <c r="D5" s="229">
        <f ca="1">SUMIF(INDIRECT(D$1&amp;"!A:A"),'Daily Hours'!$A5,INDIRECT(D$1&amp;"!W:W"))</f>
        <v>0</v>
      </c>
      <c r="E5" s="229">
        <f ca="1">SUMIF(INDIRECT(E$1&amp;"!A:A"),'Daily Hours'!$A5,INDIRECT(E$1&amp;"!W:W"))</f>
        <v>0</v>
      </c>
      <c r="F5" s="229">
        <f ca="1">SUMIF(INDIRECT(F$1&amp;"!A:A"),'Daily Hours'!$A5,INDIRECT(F$1&amp;"!W:W"))</f>
        <v>0</v>
      </c>
      <c r="G5" s="229">
        <f ca="1">SUMIF(INDIRECT(G$1&amp;"!A:A"),'Daily Hours'!$A5,INDIRECT(G$1&amp;"!W:W"))</f>
        <v>0</v>
      </c>
      <c r="H5" s="229">
        <f ca="1">SUMIF(INDIRECT(H$1&amp;"!A:A"),'Daily Hours'!$A5,INDIRECT(H$1&amp;"!W:W"))</f>
        <v>0</v>
      </c>
      <c r="I5" s="255">
        <f ca="1">SUM(C5:H5)</f>
        <v>0</v>
      </c>
    </row>
    <row r="6" spans="1:9" x14ac:dyDescent="0.25">
      <c r="A6" s="230" t="s">
        <v>20</v>
      </c>
      <c r="B6" s="231">
        <f ca="1">SUMIF(INDIRECT(B$1&amp;"!A:A"),'Daily Hours'!$A6,INDIRECT(B$1&amp;"!W:W"))</f>
        <v>0</v>
      </c>
      <c r="C6" s="231">
        <f ca="1">SUMIF(INDIRECT(C$1&amp;"!A:A"),'Daily Hours'!$A6,INDIRECT(C$1&amp;"!W:W"))</f>
        <v>0</v>
      </c>
      <c r="D6" s="231">
        <f ca="1">SUMIF(INDIRECT(D$1&amp;"!A:A"),'Daily Hours'!$A6,INDIRECT(D$1&amp;"!W:W"))</f>
        <v>0</v>
      </c>
      <c r="E6" s="231">
        <f ca="1">SUMIF(INDIRECT(E$1&amp;"!A:A"),'Daily Hours'!$A6,INDIRECT(E$1&amp;"!W:W"))</f>
        <v>0</v>
      </c>
      <c r="F6" s="231">
        <f ca="1">SUMIF(INDIRECT(F$1&amp;"!A:A"),'Daily Hours'!$A6,INDIRECT(F$1&amp;"!W:W"))</f>
        <v>0</v>
      </c>
      <c r="G6" s="231">
        <f ca="1">SUMIF(INDIRECT(G$1&amp;"!A:A"),'Daily Hours'!$A6,INDIRECT(G$1&amp;"!W:W"))</f>
        <v>0</v>
      </c>
      <c r="H6" s="231">
        <f ca="1">SUMIF(INDIRECT(H$1&amp;"!A:A"),'Daily Hours'!$A6,INDIRECT(H$1&amp;"!W:W"))</f>
        <v>0</v>
      </c>
      <c r="I6" s="255">
        <f ca="1">SUM(C6:H6)</f>
        <v>0</v>
      </c>
    </row>
    <row r="7" spans="1:9" x14ac:dyDescent="0.25">
      <c r="A7" s="232" t="s">
        <v>21</v>
      </c>
      <c r="B7" s="233">
        <f ca="1">SUMIF(INDIRECT(B$1&amp;"!A:A"),'Daily Hours'!$A7,INDIRECT(B$1&amp;"!W:W"))</f>
        <v>0</v>
      </c>
      <c r="C7" s="233">
        <f ca="1">SUMIF(INDIRECT(C$1&amp;"!A:A"),'Daily Hours'!$A7,INDIRECT(C$1&amp;"!W:W"))</f>
        <v>0</v>
      </c>
      <c r="D7" s="233">
        <f ca="1">SUMIF(INDIRECT(D$1&amp;"!A:A"),'Daily Hours'!$A7,INDIRECT(D$1&amp;"!W:W"))</f>
        <v>0</v>
      </c>
      <c r="E7" s="233">
        <f ca="1">SUMIF(INDIRECT(E$1&amp;"!A:A"),'Daily Hours'!$A7,INDIRECT(E$1&amp;"!W:W"))</f>
        <v>0</v>
      </c>
      <c r="F7" s="233">
        <f ca="1">SUMIF(INDIRECT(F$1&amp;"!A:A"),'Daily Hours'!$A7,INDIRECT(F$1&amp;"!W:W"))</f>
        <v>0</v>
      </c>
      <c r="G7" s="233">
        <f ca="1">SUMIF(INDIRECT(G$1&amp;"!A:A"),'Daily Hours'!$A7,INDIRECT(G$1&amp;"!W:W"))</f>
        <v>0</v>
      </c>
      <c r="H7" s="233">
        <f ca="1">SUMIF(INDIRECT(H$1&amp;"!A:A"),'Daily Hours'!$A7,INDIRECT(H$1&amp;"!W:W"))</f>
        <v>0</v>
      </c>
      <c r="I7" s="255">
        <f ca="1">SUM(C7:H7)</f>
        <v>0</v>
      </c>
    </row>
    <row r="8" spans="1:9" x14ac:dyDescent="0.25">
      <c r="A8" s="234" t="s">
        <v>22</v>
      </c>
      <c r="B8" s="235">
        <f ca="1">SUMIF(INDIRECT(B$1&amp;"!A:A"),'Daily Hours'!$A8,INDIRECT(B$1&amp;"!W:W"))</f>
        <v>0</v>
      </c>
      <c r="C8" s="235">
        <f ca="1">SUMIF(INDIRECT(C$1&amp;"!A:A"),'Daily Hours'!$A8,INDIRECT(C$1&amp;"!W:W"))</f>
        <v>0</v>
      </c>
      <c r="D8" s="235">
        <f ca="1">SUMIF(INDIRECT(D$1&amp;"!A:A"),'Daily Hours'!$A8,INDIRECT(D$1&amp;"!W:W"))</f>
        <v>0</v>
      </c>
      <c r="E8" s="235">
        <f ca="1">SUMIF(INDIRECT(E$1&amp;"!A:A"),'Daily Hours'!$A8,INDIRECT(E$1&amp;"!W:W"))</f>
        <v>0</v>
      </c>
      <c r="F8" s="235">
        <f ca="1">SUMIF(INDIRECT(F$1&amp;"!A:A"),'Daily Hours'!$A8,INDIRECT(F$1&amp;"!W:W"))</f>
        <v>0</v>
      </c>
      <c r="G8" s="235">
        <f ca="1">SUMIF(INDIRECT(G$1&amp;"!A:A"),'Daily Hours'!$A8,INDIRECT(G$1&amp;"!W:W"))</f>
        <v>0</v>
      </c>
      <c r="H8" s="235">
        <f ca="1">SUMIF(INDIRECT(H$1&amp;"!A:A"),'Daily Hours'!$A8,INDIRECT(H$1&amp;"!W:W"))</f>
        <v>0</v>
      </c>
      <c r="I8" s="255">
        <f ca="1">SUM(C8:H8)</f>
        <v>0</v>
      </c>
    </row>
    <row r="9" spans="1:9" x14ac:dyDescent="0.25">
      <c r="A9" s="236" t="s">
        <v>23</v>
      </c>
      <c r="B9" s="237">
        <f ca="1">SUMIF(INDIRECT(B$1&amp;"!A:A"),'Daily Hours'!$A9,INDIRECT(B$1&amp;"!W:W"))</f>
        <v>0</v>
      </c>
      <c r="C9" s="237">
        <f ca="1">SUMIF(INDIRECT(C$1&amp;"!A:A"),'Daily Hours'!$A9,INDIRECT(C$1&amp;"!W:W"))</f>
        <v>0</v>
      </c>
      <c r="D9" s="237">
        <f ca="1">SUMIF(INDIRECT(D$1&amp;"!A:A"),'Daily Hours'!$A9,INDIRECT(D$1&amp;"!W:W"))</f>
        <v>0</v>
      </c>
      <c r="E9" s="237">
        <f ca="1">SUMIF(INDIRECT(E$1&amp;"!A:A"),'Daily Hours'!$A9,INDIRECT(E$1&amp;"!W:W"))</f>
        <v>0</v>
      </c>
      <c r="F9" s="237">
        <f ca="1">SUMIF(INDIRECT(F$1&amp;"!A:A"),'Daily Hours'!$A9,INDIRECT(F$1&amp;"!W:W"))</f>
        <v>0</v>
      </c>
      <c r="G9" s="237">
        <f ca="1">SUMIF(INDIRECT(G$1&amp;"!A:A"),'Daily Hours'!$A9,INDIRECT(G$1&amp;"!W:W"))</f>
        <v>0</v>
      </c>
      <c r="H9" s="237">
        <f ca="1">SUMIF(INDIRECT(H$1&amp;"!A:A"),'Daily Hours'!$A9,INDIRECT(H$1&amp;"!W:W"))</f>
        <v>0</v>
      </c>
      <c r="I9" s="255">
        <f ca="1">SUM(C9:H9)</f>
        <v>0</v>
      </c>
    </row>
    <row r="10" spans="1:9" x14ac:dyDescent="0.25">
      <c r="A10" s="238" t="s">
        <v>24</v>
      </c>
      <c r="B10" s="239">
        <f ca="1">SUMIF(INDIRECT(B$1&amp;"!A:A"),'Daily Hours'!$A10,INDIRECT(B$1&amp;"!W:W"))</f>
        <v>0</v>
      </c>
      <c r="C10" s="239">
        <f ca="1">SUMIF(INDIRECT(C$1&amp;"!A:A"),'Daily Hours'!$A10,INDIRECT(C$1&amp;"!W:W"))</f>
        <v>0</v>
      </c>
      <c r="D10" s="239">
        <f ca="1">SUMIF(INDIRECT(D$1&amp;"!A:A"),'Daily Hours'!$A10,INDIRECT(D$1&amp;"!W:W"))</f>
        <v>0</v>
      </c>
      <c r="E10" s="239">
        <f ca="1">SUMIF(INDIRECT(E$1&amp;"!A:A"),'Daily Hours'!$A10,INDIRECT(E$1&amp;"!W:W"))</f>
        <v>0</v>
      </c>
      <c r="F10" s="239">
        <f ca="1">SUMIF(INDIRECT(F$1&amp;"!A:A"),'Daily Hours'!$A10,INDIRECT(F$1&amp;"!W:W"))</f>
        <v>0</v>
      </c>
      <c r="G10" s="239">
        <f ca="1">SUMIF(INDIRECT(G$1&amp;"!A:A"),'Daily Hours'!$A10,INDIRECT(G$1&amp;"!W:W"))</f>
        <v>0</v>
      </c>
      <c r="H10" s="239">
        <f ca="1">SUMIF(INDIRECT(H$1&amp;"!A:A"),'Daily Hours'!$A10,INDIRECT(H$1&amp;"!W:W"))</f>
        <v>0</v>
      </c>
      <c r="I10" s="255">
        <f ca="1">SUM(C10:H10)</f>
        <v>0</v>
      </c>
    </row>
    <row r="11" spans="1:9" x14ac:dyDescent="0.25">
      <c r="A11" s="240" t="s">
        <v>25</v>
      </c>
      <c r="B11" s="241">
        <f ca="1">SUMIF(INDIRECT(B$1&amp;"!A:A"),'Daily Hours'!$A11,INDIRECT(B$1&amp;"!W:W"))</f>
        <v>0</v>
      </c>
      <c r="C11" s="241">
        <f ca="1">SUMIF(INDIRECT(C$1&amp;"!A:A"),'Daily Hours'!$A11,INDIRECT(C$1&amp;"!W:W"))</f>
        <v>0</v>
      </c>
      <c r="D11" s="241">
        <f ca="1">SUMIF(INDIRECT(D$1&amp;"!A:A"),'Daily Hours'!$A11,INDIRECT(D$1&amp;"!W:W"))</f>
        <v>0</v>
      </c>
      <c r="E11" s="241">
        <f ca="1">SUMIF(INDIRECT(E$1&amp;"!A:A"),'Daily Hours'!$A11,INDIRECT(E$1&amp;"!W:W"))</f>
        <v>0</v>
      </c>
      <c r="F11" s="241">
        <f ca="1">SUMIF(INDIRECT(F$1&amp;"!A:A"),'Daily Hours'!$A11,INDIRECT(F$1&amp;"!W:W"))</f>
        <v>0</v>
      </c>
      <c r="G11" s="241">
        <f ca="1">SUMIF(INDIRECT(G$1&amp;"!A:A"),'Daily Hours'!$A11,INDIRECT(G$1&amp;"!W:W"))</f>
        <v>0</v>
      </c>
      <c r="H11" s="241">
        <f ca="1">SUMIF(INDIRECT(H$1&amp;"!A:A"),'Daily Hours'!$A11,INDIRECT(H$1&amp;"!W:W"))</f>
        <v>0</v>
      </c>
      <c r="I11" s="255">
        <f ca="1">SUM(C11:H11)</f>
        <v>0</v>
      </c>
    </row>
    <row r="12" spans="1:9" x14ac:dyDescent="0.25">
      <c r="A12" s="242" t="s">
        <v>26</v>
      </c>
      <c r="B12" s="243">
        <f ca="1">SUMIF(INDIRECT(B$1&amp;"!A:A"),'Daily Hours'!$A12,INDIRECT(B$1&amp;"!W:W"))</f>
        <v>0</v>
      </c>
      <c r="C12" s="243">
        <f ca="1">SUMIF(INDIRECT(C$1&amp;"!A:A"),'Daily Hours'!$A12,INDIRECT(C$1&amp;"!W:W"))</f>
        <v>0</v>
      </c>
      <c r="D12" s="243">
        <f ca="1">SUMIF(INDIRECT(D$1&amp;"!A:A"),'Daily Hours'!$A12,INDIRECT(D$1&amp;"!W:W"))</f>
        <v>0</v>
      </c>
      <c r="E12" s="243">
        <f ca="1">SUMIF(INDIRECT(E$1&amp;"!A:A"),'Daily Hours'!$A12,INDIRECT(E$1&amp;"!W:W"))</f>
        <v>0</v>
      </c>
      <c r="F12" s="243">
        <f ca="1">SUMIF(INDIRECT(F$1&amp;"!A:A"),'Daily Hours'!$A12,INDIRECT(F$1&amp;"!W:W"))</f>
        <v>0</v>
      </c>
      <c r="G12" s="243">
        <f ca="1">SUMIF(INDIRECT(G$1&amp;"!A:A"),'Daily Hours'!$A12,INDIRECT(G$1&amp;"!W:W"))</f>
        <v>0</v>
      </c>
      <c r="H12" s="243">
        <f ca="1">SUMIF(INDIRECT(H$1&amp;"!A:A"),'Daily Hours'!$A12,INDIRECT(H$1&amp;"!W:W"))</f>
        <v>0</v>
      </c>
      <c r="I12" s="255">
        <f ca="1">SUM(C12:H12)</f>
        <v>0</v>
      </c>
    </row>
    <row r="13" spans="1:9" x14ac:dyDescent="0.25">
      <c r="A13" s="244" t="s">
        <v>27</v>
      </c>
      <c r="B13" s="245">
        <f ca="1">SUMIF(INDIRECT(B$1&amp;"!A:A"),'Daily Hours'!$A13,INDIRECT(B$1&amp;"!W:W"))</f>
        <v>0</v>
      </c>
      <c r="C13" s="245">
        <f ca="1">SUMIF(INDIRECT(C$1&amp;"!A:A"),'Daily Hours'!$A13,INDIRECT(C$1&amp;"!W:W"))</f>
        <v>0</v>
      </c>
      <c r="D13" s="245">
        <f ca="1">SUMIF(INDIRECT(D$1&amp;"!A:A"),'Daily Hours'!$A13,INDIRECT(D$1&amp;"!W:W"))</f>
        <v>0</v>
      </c>
      <c r="E13" s="245">
        <f ca="1">SUMIF(INDIRECT(E$1&amp;"!A:A"),'Daily Hours'!$A13,INDIRECT(E$1&amp;"!W:W"))</f>
        <v>0</v>
      </c>
      <c r="F13" s="245">
        <f ca="1">SUMIF(INDIRECT(F$1&amp;"!A:A"),'Daily Hours'!$A13,INDIRECT(F$1&amp;"!W:W"))</f>
        <v>0</v>
      </c>
      <c r="G13" s="245">
        <f ca="1">SUMIF(INDIRECT(G$1&amp;"!A:A"),'Daily Hours'!$A13,INDIRECT(G$1&amp;"!W:W"))</f>
        <v>0</v>
      </c>
      <c r="H13" s="245">
        <f ca="1">SUMIF(INDIRECT(H$1&amp;"!A:A"),'Daily Hours'!$A13,INDIRECT(H$1&amp;"!W:W"))</f>
        <v>0</v>
      </c>
      <c r="I13" s="255">
        <f ca="1">SUM(C13:H13)</f>
        <v>0</v>
      </c>
    </row>
    <row r="14" spans="1:9" x14ac:dyDescent="0.25">
      <c r="A14" s="246" t="s">
        <v>28</v>
      </c>
      <c r="B14" s="247">
        <f ca="1">SUMIF(INDIRECT(B$1&amp;"!A:A"),'Daily Hours'!$A14,INDIRECT(B$1&amp;"!W:W"))</f>
        <v>0</v>
      </c>
      <c r="C14" s="247">
        <f ca="1">SUMIF(INDIRECT(C$1&amp;"!A:A"),'Daily Hours'!$A14,INDIRECT(C$1&amp;"!W:W"))</f>
        <v>0</v>
      </c>
      <c r="D14" s="247">
        <f ca="1">SUMIF(INDIRECT(D$1&amp;"!A:A"),'Daily Hours'!$A14,INDIRECT(D$1&amp;"!W:W"))</f>
        <v>0</v>
      </c>
      <c r="E14" s="247">
        <f ca="1">SUMIF(INDIRECT(E$1&amp;"!A:A"),'Daily Hours'!$A14,INDIRECT(E$1&amp;"!W:W"))</f>
        <v>0</v>
      </c>
      <c r="F14" s="247">
        <f ca="1">SUMIF(INDIRECT(F$1&amp;"!A:A"),'Daily Hours'!$A14,INDIRECT(F$1&amp;"!W:W"))</f>
        <v>0</v>
      </c>
      <c r="G14" s="247">
        <f ca="1">SUMIF(INDIRECT(G$1&amp;"!A:A"),'Daily Hours'!$A14,INDIRECT(G$1&amp;"!W:W"))</f>
        <v>0</v>
      </c>
      <c r="H14" s="247">
        <f ca="1">SUMIF(INDIRECT(H$1&amp;"!A:A"),'Daily Hours'!$A14,INDIRECT(H$1&amp;"!W:W"))</f>
        <v>0</v>
      </c>
      <c r="I14" s="255">
        <f ca="1">SUM(C14:H14)</f>
        <v>0</v>
      </c>
    </row>
    <row r="15" spans="1:9" x14ac:dyDescent="0.25">
      <c r="A15" s="248" t="s">
        <v>29</v>
      </c>
      <c r="B15" s="249">
        <f ca="1">SUMIF(INDIRECT(B$1&amp;"!A:A"),'Daily Hours'!$A15,INDIRECT(B$1&amp;"!W:W"))</f>
        <v>0</v>
      </c>
      <c r="C15" s="249">
        <f ca="1">SUMIF(INDIRECT(C$1&amp;"!A:A"),'Daily Hours'!$A15,INDIRECT(C$1&amp;"!W:W"))</f>
        <v>0</v>
      </c>
      <c r="D15" s="249">
        <f ca="1">SUMIF(INDIRECT(D$1&amp;"!A:A"),'Daily Hours'!$A15,INDIRECT(D$1&amp;"!W:W"))</f>
        <v>0</v>
      </c>
      <c r="E15" s="249">
        <f ca="1">SUMIF(INDIRECT(E$1&amp;"!A:A"),'Daily Hours'!$A15,INDIRECT(E$1&amp;"!W:W"))</f>
        <v>0</v>
      </c>
      <c r="F15" s="249">
        <f ca="1">SUMIF(INDIRECT(F$1&amp;"!A:A"),'Daily Hours'!$A15,INDIRECT(F$1&amp;"!W:W"))</f>
        <v>0</v>
      </c>
      <c r="G15" s="249">
        <f ca="1">SUMIF(INDIRECT(G$1&amp;"!A:A"),'Daily Hours'!$A15,INDIRECT(G$1&amp;"!W:W"))</f>
        <v>0</v>
      </c>
      <c r="H15" s="249">
        <f ca="1">SUMIF(INDIRECT(H$1&amp;"!A:A"),'Daily Hours'!$A15,INDIRECT(H$1&amp;"!W:W"))</f>
        <v>0</v>
      </c>
      <c r="I15" s="255">
        <f ca="1">SUM(C15:H15)</f>
        <v>0</v>
      </c>
    </row>
    <row r="16" spans="1:9" x14ac:dyDescent="0.25">
      <c r="A16" s="250" t="s">
        <v>30</v>
      </c>
      <c r="B16" s="251">
        <f ca="1">SUMIF(INDIRECT(B$1&amp;"!A:A"),'Daily Hours'!$A16,INDIRECT(B$1&amp;"!W:W"))</f>
        <v>0</v>
      </c>
      <c r="C16" s="251">
        <f ca="1">SUMIF(INDIRECT(C$1&amp;"!A:A"),'Daily Hours'!$A16,INDIRECT(C$1&amp;"!W:W"))</f>
        <v>0</v>
      </c>
      <c r="D16" s="251">
        <f ca="1">SUMIF(INDIRECT(D$1&amp;"!A:A"),'Daily Hours'!$A16,INDIRECT(D$1&amp;"!W:W"))</f>
        <v>0</v>
      </c>
      <c r="E16" s="251">
        <f ca="1">SUMIF(INDIRECT(E$1&amp;"!A:A"),'Daily Hours'!$A16,INDIRECT(E$1&amp;"!W:W"))</f>
        <v>0</v>
      </c>
      <c r="F16" s="251">
        <f ca="1">SUMIF(INDIRECT(F$1&amp;"!A:A"),'Daily Hours'!$A16,INDIRECT(F$1&amp;"!W:W"))</f>
        <v>0</v>
      </c>
      <c r="G16" s="251">
        <f ca="1">SUMIF(INDIRECT(G$1&amp;"!A:A"),'Daily Hours'!$A16,INDIRECT(G$1&amp;"!W:W"))</f>
        <v>0</v>
      </c>
      <c r="H16" s="251">
        <f ca="1">SUMIF(INDIRECT(H$1&amp;"!A:A"),'Daily Hours'!$A16,INDIRECT(H$1&amp;"!W:W"))</f>
        <v>0</v>
      </c>
      <c r="I16" s="255">
        <f ca="1">SUM(C16:H16)</f>
        <v>0</v>
      </c>
    </row>
    <row r="17" spans="1:9" x14ac:dyDescent="0.25">
      <c r="A17" s="252" t="s">
        <v>31</v>
      </c>
      <c r="B17" s="253">
        <f ca="1">SUMIF(INDIRECT(B$1&amp;"!A:A"),'Daily Hours'!$A17,INDIRECT(B$1&amp;"!W:W"))</f>
        <v>0</v>
      </c>
      <c r="C17" s="253">
        <f ca="1">SUMIF(INDIRECT(C$1&amp;"!A:A"),'Daily Hours'!$A17,INDIRECT(C$1&amp;"!W:W"))</f>
        <v>0</v>
      </c>
      <c r="D17" s="253">
        <f ca="1">SUMIF(INDIRECT(D$1&amp;"!A:A"),'Daily Hours'!$A17,INDIRECT(D$1&amp;"!W:W"))</f>
        <v>0</v>
      </c>
      <c r="E17" s="253">
        <f ca="1">SUMIF(INDIRECT(E$1&amp;"!A:A"),'Daily Hours'!$A17,INDIRECT(E$1&amp;"!W:W"))</f>
        <v>0</v>
      </c>
      <c r="F17" s="253">
        <f ca="1">SUMIF(INDIRECT(F$1&amp;"!A:A"),'Daily Hours'!$A17,INDIRECT(F$1&amp;"!W:W"))</f>
        <v>0</v>
      </c>
      <c r="G17" s="253">
        <f ca="1">SUMIF(INDIRECT(G$1&amp;"!A:A"),'Daily Hours'!$A17,INDIRECT(G$1&amp;"!W:W"))</f>
        <v>0</v>
      </c>
      <c r="H17" s="253">
        <f ca="1">SUMIF(INDIRECT(H$1&amp;"!A:A"),'Daily Hours'!$A17,INDIRECT(H$1&amp;"!W:W"))</f>
        <v>0</v>
      </c>
      <c r="I17" s="255">
        <f ca="1">SUM(C17:H17)</f>
        <v>0</v>
      </c>
    </row>
  </sheetData>
  <mergeCells count="1">
    <mergeCell ref="I1:I2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anquishInput"/>
  <dimension ref="A1:A1617"/>
  <sheetViews>
    <sheetView workbookViewId="0">
      <selection sqref="A1:XFD1048576"/>
    </sheetView>
  </sheetViews>
  <sheetFormatPr defaultRowHeight="15" x14ac:dyDescent="0.25"/>
  <cols>
    <col min="1" max="1" width="4" customWidth="1"/>
    <col min="2" max="2" width="8.140625" customWidth="1"/>
    <col min="3" max="4" width="6.140625" customWidth="1"/>
    <col min="5" max="5" width="6" customWidth="1"/>
    <col min="6" max="6" width="6.140625" customWidth="1"/>
    <col min="7" max="8" width="6" customWidth="1"/>
    <col min="9" max="10" width="6.140625" customWidth="1"/>
    <col min="11" max="11" width="12.140625" customWidth="1"/>
    <col min="12" max="12" width="15.140625" customWidth="1"/>
    <col min="13" max="13" width="0" hidden="1" customWidth="1"/>
  </cols>
  <sheetData>
    <row r="1" spans="1:1" ht="20.100000000000001" customHeight="1" x14ac:dyDescent="0.25">
      <c r="A1" t="s">
        <v>72</v>
      </c>
    </row>
    <row r="2" spans="1:1" ht="20.65" customHeight="1" x14ac:dyDescent="0.25"/>
    <row r="3" spans="1:1" ht="13.7" customHeight="1" x14ac:dyDescent="0.25"/>
    <row r="4" spans="1:1" ht="13.7" customHeight="1" x14ac:dyDescent="0.25"/>
    <row r="5" spans="1:1" ht="6.95" customHeight="1" x14ac:dyDescent="0.25"/>
    <row r="6" spans="1:1" ht="13.7" customHeight="1" x14ac:dyDescent="0.25"/>
    <row r="7" spans="1:1" ht="13.7" customHeight="1" x14ac:dyDescent="0.25"/>
    <row r="8" spans="1:1" ht="6.95" customHeight="1" x14ac:dyDescent="0.25"/>
    <row r="9" spans="1:1" ht="13.7" customHeight="1" x14ac:dyDescent="0.25"/>
    <row r="10" spans="1:1" ht="13.7" customHeight="1" x14ac:dyDescent="0.25"/>
    <row r="11" spans="1:1" ht="13.7" customHeight="1" x14ac:dyDescent="0.25"/>
    <row r="12" spans="1:1" ht="13.7" customHeight="1" x14ac:dyDescent="0.25"/>
    <row r="13" spans="1:1" ht="13.7" customHeight="1" x14ac:dyDescent="0.25"/>
    <row r="14" spans="1:1" ht="13.7" customHeight="1" x14ac:dyDescent="0.25"/>
    <row r="15" spans="1:1" ht="13.7" customHeight="1" x14ac:dyDescent="0.25"/>
    <row r="16" spans="1:1" ht="13.7" customHeight="1" x14ac:dyDescent="0.25"/>
    <row r="17" ht="6.95" customHeight="1" x14ac:dyDescent="0.25"/>
    <row r="18" ht="11.85" customHeight="1" x14ac:dyDescent="0.25"/>
    <row r="19" ht="11.85" customHeight="1" x14ac:dyDescent="0.25"/>
    <row r="20" ht="7.15" customHeight="1" x14ac:dyDescent="0.25"/>
    <row r="21" ht="0.75" customHeight="1" x14ac:dyDescent="0.25"/>
    <row r="22" ht="6.2" customHeight="1" x14ac:dyDescent="0.25"/>
    <row r="23" ht="13.7" customHeight="1" x14ac:dyDescent="0.25"/>
    <row r="24" ht="13.7" customHeight="1" x14ac:dyDescent="0.25"/>
    <row r="25" ht="6.95" customHeight="1" x14ac:dyDescent="0.25"/>
    <row r="26" ht="13.7" customHeight="1" x14ac:dyDescent="0.25"/>
    <row r="27" ht="13.7" customHeight="1" x14ac:dyDescent="0.25"/>
    <row r="28" ht="13.7" customHeight="1" x14ac:dyDescent="0.25"/>
    <row r="29" ht="13.7" customHeight="1" x14ac:dyDescent="0.25"/>
    <row r="30" ht="13.7" customHeight="1" x14ac:dyDescent="0.25"/>
    <row r="31" ht="13.7" customHeight="1" x14ac:dyDescent="0.25"/>
    <row r="32" ht="13.7" customHeight="1" x14ac:dyDescent="0.25"/>
    <row r="33" ht="13.7" customHeight="1" x14ac:dyDescent="0.25"/>
    <row r="34" ht="6.95" customHeight="1" x14ac:dyDescent="0.25"/>
    <row r="35" ht="11.85" customHeight="1" x14ac:dyDescent="0.25"/>
    <row r="36" ht="11.85" customHeight="1" x14ac:dyDescent="0.25"/>
    <row r="37" ht="7.15" customHeight="1" x14ac:dyDescent="0.25"/>
    <row r="38" ht="0.75" customHeight="1" x14ac:dyDescent="0.25"/>
    <row r="39" ht="6.2" customHeight="1" x14ac:dyDescent="0.25"/>
    <row r="40" ht="13.7" customHeight="1" x14ac:dyDescent="0.25"/>
    <row r="41" ht="13.7" customHeight="1" x14ac:dyDescent="0.25"/>
    <row r="42" ht="6.95" customHeight="1" x14ac:dyDescent="0.25"/>
    <row r="43" ht="13.7" customHeight="1" x14ac:dyDescent="0.25"/>
    <row r="44" ht="13.7" customHeight="1" x14ac:dyDescent="0.25"/>
    <row r="45" ht="13.7" customHeight="1" x14ac:dyDescent="0.25"/>
    <row r="46" ht="13.7" customHeight="1" x14ac:dyDescent="0.25"/>
    <row r="47" ht="13.7" customHeight="1" x14ac:dyDescent="0.25"/>
    <row r="48" ht="13.7" customHeight="1" x14ac:dyDescent="0.25"/>
    <row r="49" ht="13.7" customHeight="1" x14ac:dyDescent="0.25"/>
    <row r="50" ht="13.7" customHeight="1" x14ac:dyDescent="0.25"/>
    <row r="51" ht="6.95" customHeight="1" x14ac:dyDescent="0.25"/>
    <row r="52" ht="11.85" customHeight="1" x14ac:dyDescent="0.25"/>
    <row r="53" ht="11.85" customHeight="1" x14ac:dyDescent="0.25"/>
    <row r="54" ht="7.15" customHeight="1" x14ac:dyDescent="0.25"/>
    <row r="55" ht="0.75" customHeight="1" x14ac:dyDescent="0.25"/>
    <row r="56" ht="156.6" customHeight="1" x14ac:dyDescent="0.25"/>
    <row r="57" ht="13.7" customHeight="1" x14ac:dyDescent="0.25"/>
    <row r="58" ht="6.95" customHeight="1" x14ac:dyDescent="0.25"/>
    <row r="59" ht="20.65" customHeight="1" x14ac:dyDescent="0.25"/>
    <row r="60" ht="13.7" customHeight="1" x14ac:dyDescent="0.25"/>
    <row r="61" ht="13.7" customHeight="1" x14ac:dyDescent="0.25"/>
    <row r="62" ht="6.95" customHeight="1" x14ac:dyDescent="0.25"/>
    <row r="63" ht="13.7" customHeight="1" x14ac:dyDescent="0.25"/>
    <row r="64" ht="13.7" customHeight="1" x14ac:dyDescent="0.25"/>
    <row r="65" ht="6.95" customHeight="1" x14ac:dyDescent="0.25"/>
    <row r="66" ht="13.7" customHeight="1" x14ac:dyDescent="0.25"/>
    <row r="67" ht="13.7" customHeight="1" x14ac:dyDescent="0.25"/>
    <row r="68" ht="13.7" customHeight="1" x14ac:dyDescent="0.25"/>
    <row r="69" ht="13.7" customHeight="1" x14ac:dyDescent="0.25"/>
    <row r="70" ht="13.7" customHeight="1" x14ac:dyDescent="0.25"/>
    <row r="71" ht="13.7" customHeight="1" x14ac:dyDescent="0.25"/>
    <row r="72" ht="13.7" customHeight="1" x14ac:dyDescent="0.25"/>
    <row r="73" ht="13.7" customHeight="1" x14ac:dyDescent="0.25"/>
    <row r="74" ht="6.95" customHeight="1" x14ac:dyDescent="0.25"/>
    <row r="75" ht="11.85" customHeight="1" x14ac:dyDescent="0.25"/>
    <row r="76" ht="11.85" customHeight="1" x14ac:dyDescent="0.25"/>
    <row r="77" ht="7.15" customHeight="1" x14ac:dyDescent="0.25"/>
    <row r="78" ht="0.75" customHeight="1" x14ac:dyDescent="0.25"/>
    <row r="79" ht="6.2" customHeight="1" x14ac:dyDescent="0.25"/>
    <row r="80" ht="13.7" customHeight="1" x14ac:dyDescent="0.25"/>
    <row r="81" ht="13.7" customHeight="1" x14ac:dyDescent="0.25"/>
    <row r="82" ht="6.95" customHeight="1" x14ac:dyDescent="0.25"/>
    <row r="83" ht="13.7" customHeight="1" x14ac:dyDescent="0.25"/>
    <row r="84" ht="13.7" customHeight="1" x14ac:dyDescent="0.25"/>
    <row r="85" ht="13.7" customHeight="1" x14ac:dyDescent="0.25"/>
    <row r="86" ht="13.7" customHeight="1" x14ac:dyDescent="0.25"/>
    <row r="87" ht="13.7" customHeight="1" x14ac:dyDescent="0.25"/>
    <row r="88" ht="13.7" customHeight="1" x14ac:dyDescent="0.25"/>
    <row r="89" ht="13.7" customHeight="1" x14ac:dyDescent="0.25"/>
    <row r="90" ht="13.7" customHeight="1" x14ac:dyDescent="0.25"/>
    <row r="91" ht="6.95" customHeight="1" x14ac:dyDescent="0.25"/>
    <row r="92" ht="11.85" customHeight="1" x14ac:dyDescent="0.25"/>
    <row r="93" ht="11.85" customHeight="1" x14ac:dyDescent="0.25"/>
    <row r="94" ht="7.15" customHeight="1" x14ac:dyDescent="0.25"/>
    <row r="95" ht="0.75" customHeight="1" x14ac:dyDescent="0.25"/>
    <row r="96" ht="6.2" customHeight="1" x14ac:dyDescent="0.25"/>
    <row r="97" ht="13.7" customHeight="1" x14ac:dyDescent="0.25"/>
    <row r="98" ht="13.7" customHeight="1" x14ac:dyDescent="0.25"/>
    <row r="99" ht="6.95" customHeight="1" x14ac:dyDescent="0.25"/>
    <row r="100" ht="13.7" customHeight="1" x14ac:dyDescent="0.25"/>
    <row r="101" ht="13.7" customHeight="1" x14ac:dyDescent="0.25"/>
    <row r="102" ht="13.7" customHeight="1" x14ac:dyDescent="0.25"/>
    <row r="103" ht="13.7" customHeight="1" x14ac:dyDescent="0.25"/>
    <row r="104" ht="13.7" customHeight="1" x14ac:dyDescent="0.25"/>
    <row r="105" ht="13.7" customHeight="1" x14ac:dyDescent="0.25"/>
    <row r="106" ht="13.7" customHeight="1" x14ac:dyDescent="0.25"/>
    <row r="107" ht="13.7" customHeight="1" x14ac:dyDescent="0.25"/>
    <row r="108" ht="6.95" customHeight="1" x14ac:dyDescent="0.25"/>
    <row r="109" ht="11.85" customHeight="1" x14ac:dyDescent="0.25"/>
    <row r="110" ht="11.85" customHeight="1" x14ac:dyDescent="0.25"/>
    <row r="111" ht="7.15" customHeight="1" x14ac:dyDescent="0.25"/>
    <row r="112" ht="0.75" customHeight="1" x14ac:dyDescent="0.25"/>
    <row r="113" ht="156.6" customHeight="1" x14ac:dyDescent="0.25"/>
    <row r="114" ht="13.7" customHeight="1" x14ac:dyDescent="0.25"/>
    <row r="115" ht="6.95" customHeight="1" x14ac:dyDescent="0.25"/>
    <row r="116" ht="20.65" customHeight="1" x14ac:dyDescent="0.25"/>
    <row r="117" ht="13.7" customHeight="1" x14ac:dyDescent="0.25"/>
    <row r="118" ht="13.7" customHeight="1" x14ac:dyDescent="0.25"/>
    <row r="119" ht="6.95" customHeight="1" x14ac:dyDescent="0.25"/>
    <row r="120" ht="13.7" customHeight="1" x14ac:dyDescent="0.25"/>
    <row r="121" ht="13.7" customHeight="1" x14ac:dyDescent="0.25"/>
    <row r="122" ht="6.95" customHeight="1" x14ac:dyDescent="0.25"/>
    <row r="123" ht="13.7" customHeight="1" x14ac:dyDescent="0.25"/>
    <row r="124" ht="13.7" customHeight="1" x14ac:dyDescent="0.25"/>
    <row r="125" ht="13.7" customHeight="1" x14ac:dyDescent="0.25"/>
    <row r="126" ht="13.7" customHeight="1" x14ac:dyDescent="0.25"/>
    <row r="127" ht="13.7" customHeight="1" x14ac:dyDescent="0.25"/>
    <row r="128" ht="13.7" customHeight="1" x14ac:dyDescent="0.25"/>
    <row r="129" ht="13.7" customHeight="1" x14ac:dyDescent="0.25"/>
    <row r="130" ht="13.7" customHeight="1" x14ac:dyDescent="0.25"/>
    <row r="131" ht="6.95" customHeight="1" x14ac:dyDescent="0.25"/>
    <row r="132" ht="11.85" customHeight="1" x14ac:dyDescent="0.25"/>
    <row r="133" ht="11.85" customHeight="1" x14ac:dyDescent="0.25"/>
    <row r="134" ht="7.15" customHeight="1" x14ac:dyDescent="0.25"/>
    <row r="135" ht="0.75" customHeight="1" x14ac:dyDescent="0.25"/>
    <row r="136" ht="6.2" customHeight="1" x14ac:dyDescent="0.25"/>
    <row r="137" ht="13.7" customHeight="1" x14ac:dyDescent="0.25"/>
    <row r="138" ht="13.7" customHeight="1" x14ac:dyDescent="0.25"/>
    <row r="139" ht="6.95" customHeight="1" x14ac:dyDescent="0.25"/>
    <row r="140" ht="13.7" customHeight="1" x14ac:dyDescent="0.25"/>
    <row r="141" ht="13.7" customHeight="1" x14ac:dyDescent="0.25"/>
    <row r="142" ht="13.7" customHeight="1" x14ac:dyDescent="0.25"/>
    <row r="143" ht="13.7" customHeight="1" x14ac:dyDescent="0.25"/>
    <row r="144" ht="13.7" customHeight="1" x14ac:dyDescent="0.25"/>
    <row r="145" ht="13.7" customHeight="1" x14ac:dyDescent="0.25"/>
    <row r="146" ht="13.7" customHeight="1" x14ac:dyDescent="0.25"/>
    <row r="147" ht="13.7" customHeight="1" x14ac:dyDescent="0.25"/>
    <row r="148" ht="6.95" customHeight="1" x14ac:dyDescent="0.25"/>
    <row r="149" ht="11.85" customHeight="1" x14ac:dyDescent="0.25"/>
    <row r="150" ht="11.85" customHeight="1" x14ac:dyDescent="0.25"/>
    <row r="151" ht="7.15" customHeight="1" x14ac:dyDescent="0.25"/>
    <row r="152" ht="0.75" customHeight="1" x14ac:dyDescent="0.25"/>
    <row r="153" ht="6.2" customHeight="1" x14ac:dyDescent="0.25"/>
    <row r="154" ht="13.7" customHeight="1" x14ac:dyDescent="0.25"/>
    <row r="155" ht="13.7" customHeight="1" x14ac:dyDescent="0.25"/>
    <row r="156" ht="6.95" customHeight="1" x14ac:dyDescent="0.25"/>
    <row r="157" ht="13.7" customHeight="1" x14ac:dyDescent="0.25"/>
    <row r="158" ht="13.7" customHeight="1" x14ac:dyDescent="0.25"/>
    <row r="159" ht="13.7" customHeight="1" x14ac:dyDescent="0.25"/>
    <row r="160" ht="13.7" customHeight="1" x14ac:dyDescent="0.25"/>
    <row r="161" ht="13.7" customHeight="1" x14ac:dyDescent="0.25"/>
    <row r="162" ht="13.7" customHeight="1" x14ac:dyDescent="0.25"/>
    <row r="163" ht="13.7" customHeight="1" x14ac:dyDescent="0.25"/>
    <row r="164" ht="13.7" customHeight="1" x14ac:dyDescent="0.25"/>
    <row r="165" ht="6.95" customHeight="1" x14ac:dyDescent="0.25"/>
    <row r="166" ht="11.85" customHeight="1" x14ac:dyDescent="0.25"/>
    <row r="167" ht="11.85" customHeight="1" x14ac:dyDescent="0.25"/>
    <row r="168" ht="7.15" customHeight="1" x14ac:dyDescent="0.25"/>
    <row r="169" ht="0.75" customHeight="1" x14ac:dyDescent="0.25"/>
    <row r="170" ht="156.6" customHeight="1" x14ac:dyDescent="0.25"/>
    <row r="171" ht="13.7" customHeight="1" x14ac:dyDescent="0.25"/>
    <row r="172" ht="6.95" customHeight="1" x14ac:dyDescent="0.25"/>
    <row r="173" ht="20.65" customHeight="1" x14ac:dyDescent="0.25"/>
    <row r="174" ht="13.7" customHeight="1" x14ac:dyDescent="0.25"/>
    <row r="175" ht="13.7" customHeight="1" x14ac:dyDescent="0.25"/>
    <row r="176" ht="6.95" customHeight="1" x14ac:dyDescent="0.25"/>
    <row r="177" ht="13.7" customHeight="1" x14ac:dyDescent="0.25"/>
    <row r="178" ht="13.7" customHeight="1" x14ac:dyDescent="0.25"/>
    <row r="179" ht="6.95" customHeight="1" x14ac:dyDescent="0.25"/>
    <row r="180" ht="13.7" customHeight="1" x14ac:dyDescent="0.25"/>
    <row r="181" ht="13.7" customHeight="1" x14ac:dyDescent="0.25"/>
    <row r="182" ht="13.7" customHeight="1" x14ac:dyDescent="0.25"/>
    <row r="183" ht="13.7" customHeight="1" x14ac:dyDescent="0.25"/>
    <row r="184" ht="13.7" customHeight="1" x14ac:dyDescent="0.25"/>
    <row r="185" ht="13.7" customHeight="1" x14ac:dyDescent="0.25"/>
    <row r="186" ht="13.7" customHeight="1" x14ac:dyDescent="0.25"/>
    <row r="187" ht="13.7" customHeight="1" x14ac:dyDescent="0.25"/>
    <row r="188" ht="6.95" customHeight="1" x14ac:dyDescent="0.25"/>
    <row r="189" ht="11.85" customHeight="1" x14ac:dyDescent="0.25"/>
    <row r="190" ht="11.85" customHeight="1" x14ac:dyDescent="0.25"/>
    <row r="191" ht="7.15" customHeight="1" x14ac:dyDescent="0.25"/>
    <row r="192" ht="0.75" customHeight="1" x14ac:dyDescent="0.25"/>
    <row r="193" ht="6.2" customHeight="1" x14ac:dyDescent="0.25"/>
    <row r="194" ht="13.7" customHeight="1" x14ac:dyDescent="0.25"/>
    <row r="195" ht="13.7" customHeight="1" x14ac:dyDescent="0.25"/>
    <row r="196" ht="6.95" customHeight="1" x14ac:dyDescent="0.25"/>
    <row r="197" ht="13.7" customHeight="1" x14ac:dyDescent="0.25"/>
    <row r="198" ht="13.7" customHeight="1" x14ac:dyDescent="0.25"/>
    <row r="199" ht="13.7" customHeight="1" x14ac:dyDescent="0.25"/>
    <row r="200" ht="13.7" customHeight="1" x14ac:dyDescent="0.25"/>
    <row r="201" ht="13.7" customHeight="1" x14ac:dyDescent="0.25"/>
    <row r="202" ht="13.7" customHeight="1" x14ac:dyDescent="0.25"/>
    <row r="203" ht="13.7" customHeight="1" x14ac:dyDescent="0.25"/>
    <row r="204" ht="13.7" customHeight="1" x14ac:dyDescent="0.25"/>
    <row r="205" ht="6.95" customHeight="1" x14ac:dyDescent="0.25"/>
    <row r="206" ht="11.85" customHeight="1" x14ac:dyDescent="0.25"/>
    <row r="207" ht="11.85" customHeight="1" x14ac:dyDescent="0.25"/>
    <row r="208" ht="7.15" customHeight="1" x14ac:dyDescent="0.25"/>
    <row r="209" ht="0.75" customHeight="1" x14ac:dyDescent="0.25"/>
    <row r="210" ht="6.2" customHeight="1" x14ac:dyDescent="0.25"/>
    <row r="211" ht="13.7" customHeight="1" x14ac:dyDescent="0.25"/>
    <row r="212" ht="13.7" customHeight="1" x14ac:dyDescent="0.25"/>
    <row r="213" ht="6.95" customHeight="1" x14ac:dyDescent="0.25"/>
    <row r="214" ht="13.7" customHeight="1" x14ac:dyDescent="0.25"/>
    <row r="215" ht="13.7" customHeight="1" x14ac:dyDescent="0.25"/>
    <row r="216" ht="13.7" customHeight="1" x14ac:dyDescent="0.25"/>
    <row r="217" ht="13.7" customHeight="1" x14ac:dyDescent="0.25"/>
    <row r="218" ht="13.7" customHeight="1" x14ac:dyDescent="0.25"/>
    <row r="219" ht="13.7" customHeight="1" x14ac:dyDescent="0.25"/>
    <row r="220" ht="13.7" customHeight="1" x14ac:dyDescent="0.25"/>
    <row r="221" ht="13.7" customHeight="1" x14ac:dyDescent="0.25"/>
    <row r="222" ht="6.95" customHeight="1" x14ac:dyDescent="0.25"/>
    <row r="223" ht="11.85" customHeight="1" x14ac:dyDescent="0.25"/>
    <row r="224" ht="11.85" customHeight="1" x14ac:dyDescent="0.25"/>
    <row r="225" ht="7.15" customHeight="1" x14ac:dyDescent="0.25"/>
    <row r="226" ht="0.75" customHeight="1" x14ac:dyDescent="0.25"/>
    <row r="227" ht="156.6" customHeight="1" x14ac:dyDescent="0.25"/>
    <row r="228" ht="13.7" customHeight="1" x14ac:dyDescent="0.25"/>
    <row r="229" ht="6.95" customHeight="1" x14ac:dyDescent="0.25"/>
    <row r="230" ht="20.65" customHeight="1" x14ac:dyDescent="0.25"/>
    <row r="231" ht="13.7" customHeight="1" x14ac:dyDescent="0.25"/>
    <row r="232" ht="13.7" customHeight="1" x14ac:dyDescent="0.25"/>
    <row r="233" ht="6.95" customHeight="1" x14ac:dyDescent="0.25"/>
    <row r="234" ht="13.7" customHeight="1" x14ac:dyDescent="0.25"/>
    <row r="235" ht="13.7" customHeight="1" x14ac:dyDescent="0.25"/>
    <row r="236" ht="6.95" customHeight="1" x14ac:dyDescent="0.25"/>
    <row r="237" ht="13.7" customHeight="1" x14ac:dyDescent="0.25"/>
    <row r="238" ht="13.7" customHeight="1" x14ac:dyDescent="0.25"/>
    <row r="239" ht="13.7" customHeight="1" x14ac:dyDescent="0.25"/>
    <row r="240" ht="13.7" customHeight="1" x14ac:dyDescent="0.25"/>
    <row r="241" ht="13.7" customHeight="1" x14ac:dyDescent="0.25"/>
    <row r="242" ht="13.7" customHeight="1" x14ac:dyDescent="0.25"/>
    <row r="243" ht="13.7" customHeight="1" x14ac:dyDescent="0.25"/>
    <row r="244" ht="13.7" customHeight="1" x14ac:dyDescent="0.25"/>
    <row r="245" ht="6.95" customHeight="1" x14ac:dyDescent="0.25"/>
    <row r="246" ht="11.85" customHeight="1" x14ac:dyDescent="0.25"/>
    <row r="247" ht="11.85" customHeight="1" x14ac:dyDescent="0.25"/>
    <row r="248" ht="7.15" customHeight="1" x14ac:dyDescent="0.25"/>
    <row r="249" ht="0.75" customHeight="1" x14ac:dyDescent="0.25"/>
    <row r="250" ht="6.2" customHeight="1" x14ac:dyDescent="0.25"/>
    <row r="251" ht="13.7" customHeight="1" x14ac:dyDescent="0.25"/>
    <row r="252" ht="13.7" customHeight="1" x14ac:dyDescent="0.25"/>
    <row r="253" ht="6.95" customHeight="1" x14ac:dyDescent="0.25"/>
    <row r="254" ht="13.7" customHeight="1" x14ac:dyDescent="0.25"/>
    <row r="255" ht="13.7" customHeight="1" x14ac:dyDescent="0.25"/>
    <row r="256" ht="13.7" customHeight="1" x14ac:dyDescent="0.25"/>
    <row r="257" ht="13.7" customHeight="1" x14ac:dyDescent="0.25"/>
    <row r="258" ht="13.7" customHeight="1" x14ac:dyDescent="0.25"/>
    <row r="259" ht="13.7" customHeight="1" x14ac:dyDescent="0.25"/>
    <row r="260" ht="13.7" customHeight="1" x14ac:dyDescent="0.25"/>
    <row r="261" ht="13.7" customHeight="1" x14ac:dyDescent="0.25"/>
    <row r="262" ht="6.95" customHeight="1" x14ac:dyDescent="0.25"/>
    <row r="263" ht="11.85" customHeight="1" x14ac:dyDescent="0.25"/>
    <row r="264" ht="11.85" customHeight="1" x14ac:dyDescent="0.25"/>
    <row r="265" ht="7.15" customHeight="1" x14ac:dyDescent="0.25"/>
    <row r="266" ht="0.75" customHeight="1" x14ac:dyDescent="0.25"/>
    <row r="267" ht="6.2" customHeight="1" x14ac:dyDescent="0.25"/>
    <row r="268" ht="13.7" customHeight="1" x14ac:dyDescent="0.25"/>
    <row r="269" ht="13.7" customHeight="1" x14ac:dyDescent="0.25"/>
    <row r="270" ht="6.95" customHeight="1" x14ac:dyDescent="0.25"/>
    <row r="271" ht="13.7" customHeight="1" x14ac:dyDescent="0.25"/>
    <row r="272" ht="13.7" customHeight="1" x14ac:dyDescent="0.25"/>
    <row r="273" ht="13.7" customHeight="1" x14ac:dyDescent="0.25"/>
    <row r="274" ht="13.7" customHeight="1" x14ac:dyDescent="0.25"/>
    <row r="275" ht="13.7" customHeight="1" x14ac:dyDescent="0.25"/>
    <row r="276" ht="13.7" customHeight="1" x14ac:dyDescent="0.25"/>
    <row r="277" ht="13.7" customHeight="1" x14ac:dyDescent="0.25"/>
    <row r="278" ht="13.7" customHeight="1" x14ac:dyDescent="0.25"/>
    <row r="279" ht="6.95" customHeight="1" x14ac:dyDescent="0.25"/>
    <row r="280" ht="11.85" customHeight="1" x14ac:dyDescent="0.25"/>
    <row r="281" ht="11.85" customHeight="1" x14ac:dyDescent="0.25"/>
    <row r="282" ht="7.15" customHeight="1" x14ac:dyDescent="0.25"/>
    <row r="283" ht="0.75" customHeight="1" x14ac:dyDescent="0.25"/>
    <row r="284" ht="156.6" customHeight="1" x14ac:dyDescent="0.25"/>
    <row r="285" ht="13.7" customHeight="1" x14ac:dyDescent="0.25"/>
    <row r="286" ht="6.95" customHeight="1" x14ac:dyDescent="0.25"/>
    <row r="287" ht="20.65" customHeight="1" x14ac:dyDescent="0.25"/>
    <row r="288" ht="13.7" customHeight="1" x14ac:dyDescent="0.25"/>
    <row r="289" ht="13.7" customHeight="1" x14ac:dyDescent="0.25"/>
    <row r="290" ht="6.95" customHeight="1" x14ac:dyDescent="0.25"/>
    <row r="291" ht="13.7" customHeight="1" x14ac:dyDescent="0.25"/>
    <row r="292" ht="13.7" customHeight="1" x14ac:dyDescent="0.25"/>
    <row r="293" ht="6.95" customHeight="1" x14ac:dyDescent="0.25"/>
    <row r="294" ht="13.7" customHeight="1" x14ac:dyDescent="0.25"/>
    <row r="295" ht="13.7" customHeight="1" x14ac:dyDescent="0.25"/>
    <row r="296" ht="13.7" customHeight="1" x14ac:dyDescent="0.25"/>
    <row r="297" ht="13.7" customHeight="1" x14ac:dyDescent="0.25"/>
    <row r="298" ht="13.7" customHeight="1" x14ac:dyDescent="0.25"/>
    <row r="299" ht="13.7" customHeight="1" x14ac:dyDescent="0.25"/>
    <row r="300" ht="13.7" customHeight="1" x14ac:dyDescent="0.25"/>
    <row r="301" ht="13.7" customHeight="1" x14ac:dyDescent="0.25"/>
    <row r="302" ht="6.95" customHeight="1" x14ac:dyDescent="0.25"/>
    <row r="303" ht="11.85" customHeight="1" x14ac:dyDescent="0.25"/>
    <row r="304" ht="11.85" customHeight="1" x14ac:dyDescent="0.25"/>
    <row r="305" ht="7.15" customHeight="1" x14ac:dyDescent="0.25"/>
    <row r="306" ht="0.75" customHeight="1" x14ac:dyDescent="0.25"/>
    <row r="307" ht="6.2" customHeight="1" x14ac:dyDescent="0.25"/>
    <row r="308" ht="13.7" customHeight="1" x14ac:dyDescent="0.25"/>
    <row r="309" ht="13.7" customHeight="1" x14ac:dyDescent="0.25"/>
    <row r="310" ht="6.95" customHeight="1" x14ac:dyDescent="0.25"/>
    <row r="311" ht="13.7" customHeight="1" x14ac:dyDescent="0.25"/>
    <row r="312" ht="13.7" customHeight="1" x14ac:dyDescent="0.25"/>
    <row r="313" ht="13.7" customHeight="1" x14ac:dyDescent="0.25"/>
    <row r="314" ht="13.7" customHeight="1" x14ac:dyDescent="0.25"/>
    <row r="315" ht="13.7" customHeight="1" x14ac:dyDescent="0.25"/>
    <row r="316" ht="13.7" customHeight="1" x14ac:dyDescent="0.25"/>
    <row r="317" ht="13.7" customHeight="1" x14ac:dyDescent="0.25"/>
    <row r="318" ht="13.7" customHeight="1" x14ac:dyDescent="0.25"/>
    <row r="319" ht="6.95" customHeight="1" x14ac:dyDescent="0.25"/>
    <row r="320" ht="11.85" customHeight="1" x14ac:dyDescent="0.25"/>
    <row r="321" ht="11.85" customHeight="1" x14ac:dyDescent="0.25"/>
    <row r="322" ht="7.15" customHeight="1" x14ac:dyDescent="0.25"/>
    <row r="323" ht="0.75" customHeight="1" x14ac:dyDescent="0.25"/>
    <row r="324" ht="6.2" customHeight="1" x14ac:dyDescent="0.25"/>
    <row r="325" ht="13.7" customHeight="1" x14ac:dyDescent="0.25"/>
    <row r="326" ht="13.7" customHeight="1" x14ac:dyDescent="0.25"/>
    <row r="327" ht="6.95" customHeight="1" x14ac:dyDescent="0.25"/>
    <row r="328" ht="13.7" customHeight="1" x14ac:dyDescent="0.25"/>
    <row r="329" ht="13.7" customHeight="1" x14ac:dyDescent="0.25"/>
    <row r="330" ht="13.7" customHeight="1" x14ac:dyDescent="0.25"/>
    <row r="331" ht="13.7" customHeight="1" x14ac:dyDescent="0.25"/>
    <row r="332" ht="13.7" customHeight="1" x14ac:dyDescent="0.25"/>
    <row r="333" ht="13.7" customHeight="1" x14ac:dyDescent="0.25"/>
    <row r="334" ht="13.7" customHeight="1" x14ac:dyDescent="0.25"/>
    <row r="335" ht="13.7" customHeight="1" x14ac:dyDescent="0.25"/>
    <row r="336" ht="6.95" customHeight="1" x14ac:dyDescent="0.25"/>
    <row r="337" ht="11.85" customHeight="1" x14ac:dyDescent="0.25"/>
    <row r="338" ht="11.85" customHeight="1" x14ac:dyDescent="0.25"/>
    <row r="339" ht="7.15" customHeight="1" x14ac:dyDescent="0.25"/>
    <row r="340" ht="0.75" customHeight="1" x14ac:dyDescent="0.25"/>
    <row r="341" ht="156.6" customHeight="1" x14ac:dyDescent="0.25"/>
    <row r="342" ht="13.7" customHeight="1" x14ac:dyDescent="0.25"/>
    <row r="343" ht="6.95" customHeight="1" x14ac:dyDescent="0.25"/>
    <row r="344" ht="20.65" customHeight="1" x14ac:dyDescent="0.25"/>
    <row r="345" ht="13.7" customHeight="1" x14ac:dyDescent="0.25"/>
    <row r="346" ht="13.7" customHeight="1" x14ac:dyDescent="0.25"/>
    <row r="347" ht="6.95" customHeight="1" x14ac:dyDescent="0.25"/>
    <row r="348" ht="13.7" customHeight="1" x14ac:dyDescent="0.25"/>
    <row r="349" ht="13.7" customHeight="1" x14ac:dyDescent="0.25"/>
    <row r="350" ht="6.95" customHeight="1" x14ac:dyDescent="0.25"/>
    <row r="351" ht="13.7" customHeight="1" x14ac:dyDescent="0.25"/>
    <row r="352" ht="13.7" customHeight="1" x14ac:dyDescent="0.25"/>
    <row r="353" ht="13.7" customHeight="1" x14ac:dyDescent="0.25"/>
    <row r="354" ht="13.7" customHeight="1" x14ac:dyDescent="0.25"/>
    <row r="355" ht="13.7" customHeight="1" x14ac:dyDescent="0.25"/>
    <row r="356" ht="13.7" customHeight="1" x14ac:dyDescent="0.25"/>
    <row r="357" ht="13.7" customHeight="1" x14ac:dyDescent="0.25"/>
    <row r="358" ht="13.7" customHeight="1" x14ac:dyDescent="0.25"/>
    <row r="359" ht="6.95" customHeight="1" x14ac:dyDescent="0.25"/>
    <row r="360" ht="11.85" customHeight="1" x14ac:dyDescent="0.25"/>
    <row r="361" ht="11.85" customHeight="1" x14ac:dyDescent="0.25"/>
    <row r="362" ht="7.15" customHeight="1" x14ac:dyDescent="0.25"/>
    <row r="363" ht="0.75" customHeight="1" x14ac:dyDescent="0.25"/>
    <row r="364" ht="6.2" customHeight="1" x14ac:dyDescent="0.25"/>
    <row r="365" ht="13.7" customHeight="1" x14ac:dyDescent="0.25"/>
    <row r="366" ht="13.7" customHeight="1" x14ac:dyDescent="0.25"/>
    <row r="367" ht="6.95" customHeight="1" x14ac:dyDescent="0.25"/>
    <row r="368" ht="13.7" customHeight="1" x14ac:dyDescent="0.25"/>
    <row r="369" ht="13.7" customHeight="1" x14ac:dyDescent="0.25"/>
    <row r="370" ht="13.7" customHeight="1" x14ac:dyDescent="0.25"/>
    <row r="371" ht="13.7" customHeight="1" x14ac:dyDescent="0.25"/>
    <row r="372" ht="13.7" customHeight="1" x14ac:dyDescent="0.25"/>
    <row r="373" ht="13.7" customHeight="1" x14ac:dyDescent="0.25"/>
    <row r="374" ht="13.7" customHeight="1" x14ac:dyDescent="0.25"/>
    <row r="375" ht="13.7" customHeight="1" x14ac:dyDescent="0.25"/>
    <row r="376" ht="6.95" customHeight="1" x14ac:dyDescent="0.25"/>
    <row r="377" ht="11.85" customHeight="1" x14ac:dyDescent="0.25"/>
    <row r="378" ht="11.85" customHeight="1" x14ac:dyDescent="0.25"/>
    <row r="379" ht="7.15" customHeight="1" x14ac:dyDescent="0.25"/>
    <row r="380" ht="0.75" customHeight="1" x14ac:dyDescent="0.25"/>
    <row r="381" ht="6.2" customHeight="1" x14ac:dyDescent="0.25"/>
    <row r="382" ht="13.7" customHeight="1" x14ac:dyDescent="0.25"/>
    <row r="383" ht="13.7" customHeight="1" x14ac:dyDescent="0.25"/>
    <row r="384" ht="6.95" customHeight="1" x14ac:dyDescent="0.25"/>
    <row r="385" ht="13.7" customHeight="1" x14ac:dyDescent="0.25"/>
    <row r="386" ht="13.7" customHeight="1" x14ac:dyDescent="0.25"/>
    <row r="387" ht="13.7" customHeight="1" x14ac:dyDescent="0.25"/>
    <row r="388" ht="13.7" customHeight="1" x14ac:dyDescent="0.25"/>
    <row r="389" ht="13.7" customHeight="1" x14ac:dyDescent="0.25"/>
    <row r="390" ht="13.7" customHeight="1" x14ac:dyDescent="0.25"/>
    <row r="391" ht="13.7" customHeight="1" x14ac:dyDescent="0.25"/>
    <row r="392" ht="13.7" customHeight="1" x14ac:dyDescent="0.25"/>
    <row r="393" ht="6.95" customHeight="1" x14ac:dyDescent="0.25"/>
    <row r="394" ht="11.85" customHeight="1" x14ac:dyDescent="0.25"/>
    <row r="395" ht="11.85" customHeight="1" x14ac:dyDescent="0.25"/>
    <row r="396" ht="7.15" customHeight="1" x14ac:dyDescent="0.25"/>
    <row r="397" ht="0.75" customHeight="1" x14ac:dyDescent="0.25"/>
    <row r="398" ht="156.6" customHeight="1" x14ac:dyDescent="0.25"/>
    <row r="399" ht="13.7" customHeight="1" x14ac:dyDescent="0.25"/>
    <row r="400" ht="6.95" customHeight="1" x14ac:dyDescent="0.25"/>
    <row r="401" ht="20.65" customHeight="1" x14ac:dyDescent="0.25"/>
    <row r="402" ht="13.7" customHeight="1" x14ac:dyDescent="0.25"/>
    <row r="403" ht="13.7" customHeight="1" x14ac:dyDescent="0.25"/>
    <row r="404" ht="6.95" customHeight="1" x14ac:dyDescent="0.25"/>
    <row r="405" ht="13.7" customHeight="1" x14ac:dyDescent="0.25"/>
    <row r="406" ht="13.7" customHeight="1" x14ac:dyDescent="0.25"/>
    <row r="407" ht="6.95" customHeight="1" x14ac:dyDescent="0.25"/>
    <row r="408" ht="13.7" customHeight="1" x14ac:dyDescent="0.25"/>
    <row r="409" ht="13.7" customHeight="1" x14ac:dyDescent="0.25"/>
    <row r="410" ht="13.7" customHeight="1" x14ac:dyDescent="0.25"/>
    <row r="411" ht="13.7" customHeight="1" x14ac:dyDescent="0.25"/>
    <row r="412" ht="13.7" customHeight="1" x14ac:dyDescent="0.25"/>
    <row r="413" ht="13.7" customHeight="1" x14ac:dyDescent="0.25"/>
    <row r="414" ht="13.7" customHeight="1" x14ac:dyDescent="0.25"/>
    <row r="415" ht="13.7" customHeight="1" x14ac:dyDescent="0.25"/>
    <row r="416" ht="6.95" customHeight="1" x14ac:dyDescent="0.25"/>
    <row r="417" ht="11.85" customHeight="1" x14ac:dyDescent="0.25"/>
    <row r="418" ht="11.85" customHeight="1" x14ac:dyDescent="0.25"/>
    <row r="419" ht="7.15" customHeight="1" x14ac:dyDescent="0.25"/>
    <row r="420" ht="0.75" customHeight="1" x14ac:dyDescent="0.25"/>
    <row r="421" ht="6.2" customHeight="1" x14ac:dyDescent="0.25"/>
    <row r="422" ht="13.7" customHeight="1" x14ac:dyDescent="0.25"/>
    <row r="423" ht="13.7" customHeight="1" x14ac:dyDescent="0.25"/>
    <row r="424" ht="6.95" customHeight="1" x14ac:dyDescent="0.25"/>
    <row r="425" ht="13.7" customHeight="1" x14ac:dyDescent="0.25"/>
    <row r="426" ht="13.7" customHeight="1" x14ac:dyDescent="0.25"/>
    <row r="427" ht="13.7" customHeight="1" x14ac:dyDescent="0.25"/>
    <row r="428" ht="13.7" customHeight="1" x14ac:dyDescent="0.25"/>
    <row r="429" ht="13.7" customHeight="1" x14ac:dyDescent="0.25"/>
    <row r="430" ht="13.7" customHeight="1" x14ac:dyDescent="0.25"/>
    <row r="431" ht="13.7" customHeight="1" x14ac:dyDescent="0.25"/>
    <row r="432" ht="13.7" customHeight="1" x14ac:dyDescent="0.25"/>
    <row r="433" ht="6.95" customHeight="1" x14ac:dyDescent="0.25"/>
    <row r="434" ht="11.85" customHeight="1" x14ac:dyDescent="0.25"/>
    <row r="435" ht="11.85" customHeight="1" x14ac:dyDescent="0.25"/>
    <row r="436" ht="7.15" customHeight="1" x14ac:dyDescent="0.25"/>
    <row r="437" ht="0.75" customHeight="1" x14ac:dyDescent="0.25"/>
    <row r="438" ht="6.2" customHeight="1" x14ac:dyDescent="0.25"/>
    <row r="439" ht="13.7" customHeight="1" x14ac:dyDescent="0.25"/>
    <row r="440" ht="13.7" customHeight="1" x14ac:dyDescent="0.25"/>
    <row r="441" ht="6.95" customHeight="1" x14ac:dyDescent="0.25"/>
    <row r="442" ht="13.7" customHeight="1" x14ac:dyDescent="0.25"/>
    <row r="443" ht="13.7" customHeight="1" x14ac:dyDescent="0.25"/>
    <row r="444" ht="13.7" customHeight="1" x14ac:dyDescent="0.25"/>
    <row r="445" ht="13.7" customHeight="1" x14ac:dyDescent="0.25"/>
    <row r="446" ht="13.7" customHeight="1" x14ac:dyDescent="0.25"/>
    <row r="447" ht="13.7" customHeight="1" x14ac:dyDescent="0.25"/>
    <row r="448" ht="13.7" customHeight="1" x14ac:dyDescent="0.25"/>
    <row r="449" ht="13.7" customHeight="1" x14ac:dyDescent="0.25"/>
    <row r="450" ht="6.95" customHeight="1" x14ac:dyDescent="0.25"/>
    <row r="451" ht="11.85" customHeight="1" x14ac:dyDescent="0.25"/>
    <row r="452" ht="11.85" customHeight="1" x14ac:dyDescent="0.25"/>
    <row r="453" ht="7.15" customHeight="1" x14ac:dyDescent="0.25"/>
    <row r="454" ht="0.75" customHeight="1" x14ac:dyDescent="0.25"/>
    <row r="455" ht="156.6" customHeight="1" x14ac:dyDescent="0.25"/>
    <row r="456" ht="13.7" customHeight="1" x14ac:dyDescent="0.25"/>
    <row r="457" ht="6.95" customHeight="1" x14ac:dyDescent="0.25"/>
    <row r="458" ht="20.65" customHeight="1" x14ac:dyDescent="0.25"/>
    <row r="459" ht="13.7" customHeight="1" x14ac:dyDescent="0.25"/>
    <row r="460" ht="13.7" customHeight="1" x14ac:dyDescent="0.25"/>
    <row r="461" ht="6.95" customHeight="1" x14ac:dyDescent="0.25"/>
    <row r="462" ht="13.7" customHeight="1" x14ac:dyDescent="0.25"/>
    <row r="463" ht="13.7" customHeight="1" x14ac:dyDescent="0.25"/>
    <row r="464" ht="6.95" customHeight="1" x14ac:dyDescent="0.25"/>
    <row r="465" ht="13.7" customHeight="1" x14ac:dyDescent="0.25"/>
    <row r="466" ht="13.7" customHeight="1" x14ac:dyDescent="0.25"/>
    <row r="467" ht="13.7" customHeight="1" x14ac:dyDescent="0.25"/>
    <row r="468" ht="13.7" customHeight="1" x14ac:dyDescent="0.25"/>
    <row r="469" ht="13.7" customHeight="1" x14ac:dyDescent="0.25"/>
    <row r="470" ht="13.7" customHeight="1" x14ac:dyDescent="0.25"/>
    <row r="471" ht="13.7" customHeight="1" x14ac:dyDescent="0.25"/>
    <row r="472" ht="13.7" customHeight="1" x14ac:dyDescent="0.25"/>
    <row r="473" ht="6.95" customHeight="1" x14ac:dyDescent="0.25"/>
    <row r="474" ht="11.85" customHeight="1" x14ac:dyDescent="0.25"/>
    <row r="475" ht="11.85" customHeight="1" x14ac:dyDescent="0.25"/>
    <row r="476" ht="7.15" customHeight="1" x14ac:dyDescent="0.25"/>
    <row r="477" ht="0.75" customHeight="1" x14ac:dyDescent="0.25"/>
    <row r="478" ht="6.2" customHeight="1" x14ac:dyDescent="0.25"/>
    <row r="479" ht="13.7" customHeight="1" x14ac:dyDescent="0.25"/>
    <row r="480" ht="13.7" customHeight="1" x14ac:dyDescent="0.25"/>
    <row r="481" ht="6.95" customHeight="1" x14ac:dyDescent="0.25"/>
    <row r="482" ht="13.7" customHeight="1" x14ac:dyDescent="0.25"/>
    <row r="483" ht="13.7" customHeight="1" x14ac:dyDescent="0.25"/>
    <row r="484" ht="13.7" customHeight="1" x14ac:dyDescent="0.25"/>
    <row r="485" ht="13.7" customHeight="1" x14ac:dyDescent="0.25"/>
    <row r="486" ht="13.7" customHeight="1" x14ac:dyDescent="0.25"/>
    <row r="487" ht="13.7" customHeight="1" x14ac:dyDescent="0.25"/>
    <row r="488" ht="13.7" customHeight="1" x14ac:dyDescent="0.25"/>
    <row r="489" ht="13.7" customHeight="1" x14ac:dyDescent="0.25"/>
    <row r="490" ht="6.95" customHeight="1" x14ac:dyDescent="0.25"/>
    <row r="491" ht="11.85" customHeight="1" x14ac:dyDescent="0.25"/>
    <row r="492" ht="11.85" customHeight="1" x14ac:dyDescent="0.25"/>
    <row r="493" ht="7.15" customHeight="1" x14ac:dyDescent="0.25"/>
    <row r="494" ht="0.75" customHeight="1" x14ac:dyDescent="0.25"/>
    <row r="495" ht="6.2" customHeight="1" x14ac:dyDescent="0.25"/>
    <row r="496" ht="13.7" customHeight="1" x14ac:dyDescent="0.25"/>
    <row r="497" ht="13.7" customHeight="1" x14ac:dyDescent="0.25"/>
    <row r="498" ht="6.95" customHeight="1" x14ac:dyDescent="0.25"/>
    <row r="499" ht="13.7" customHeight="1" x14ac:dyDescent="0.25"/>
    <row r="500" ht="13.7" customHeight="1" x14ac:dyDescent="0.25"/>
    <row r="501" ht="13.7" customHeight="1" x14ac:dyDescent="0.25"/>
    <row r="502" ht="13.7" customHeight="1" x14ac:dyDescent="0.25"/>
    <row r="503" ht="13.7" customHeight="1" x14ac:dyDescent="0.25"/>
    <row r="504" ht="13.7" customHeight="1" x14ac:dyDescent="0.25"/>
    <row r="505" ht="13.7" customHeight="1" x14ac:dyDescent="0.25"/>
    <row r="506" ht="13.7" customHeight="1" x14ac:dyDescent="0.25"/>
    <row r="507" ht="6.95" customHeight="1" x14ac:dyDescent="0.25"/>
    <row r="508" ht="11.85" customHeight="1" x14ac:dyDescent="0.25"/>
    <row r="509" ht="11.85" customHeight="1" x14ac:dyDescent="0.25"/>
    <row r="510" ht="7.15" customHeight="1" x14ac:dyDescent="0.25"/>
    <row r="511" ht="0.75" customHeight="1" x14ac:dyDescent="0.25"/>
    <row r="512" ht="156.6" customHeight="1" x14ac:dyDescent="0.25"/>
    <row r="513" ht="13.7" customHeight="1" x14ac:dyDescent="0.25"/>
    <row r="514" ht="6.95" customHeight="1" x14ac:dyDescent="0.25"/>
    <row r="515" ht="20.65" customHeight="1" x14ac:dyDescent="0.25"/>
    <row r="516" ht="13.7" customHeight="1" x14ac:dyDescent="0.25"/>
    <row r="517" ht="13.7" customHeight="1" x14ac:dyDescent="0.25"/>
    <row r="518" ht="6.95" customHeight="1" x14ac:dyDescent="0.25"/>
    <row r="519" ht="13.7" customHeight="1" x14ac:dyDescent="0.25"/>
    <row r="520" ht="13.7" customHeight="1" x14ac:dyDescent="0.25"/>
    <row r="521" ht="6.95" customHeight="1" x14ac:dyDescent="0.25"/>
    <row r="522" ht="13.7" customHeight="1" x14ac:dyDescent="0.25"/>
    <row r="523" ht="13.7" customHeight="1" x14ac:dyDescent="0.25"/>
    <row r="524" ht="13.7" customHeight="1" x14ac:dyDescent="0.25"/>
    <row r="525" ht="13.7" customHeight="1" x14ac:dyDescent="0.25"/>
    <row r="526" ht="13.7" customHeight="1" x14ac:dyDescent="0.25"/>
    <row r="527" ht="13.7" customHeight="1" x14ac:dyDescent="0.25"/>
    <row r="528" ht="13.7" customHeight="1" x14ac:dyDescent="0.25"/>
    <row r="529" ht="13.7" customHeight="1" x14ac:dyDescent="0.25"/>
    <row r="530" ht="6.95" customHeight="1" x14ac:dyDescent="0.25"/>
    <row r="531" ht="11.85" customHeight="1" x14ac:dyDescent="0.25"/>
    <row r="532" ht="11.85" customHeight="1" x14ac:dyDescent="0.25"/>
    <row r="533" ht="7.15" customHeight="1" x14ac:dyDescent="0.25"/>
    <row r="534" ht="0.75" customHeight="1" x14ac:dyDescent="0.25"/>
    <row r="535" ht="6.2" customHeight="1" x14ac:dyDescent="0.25"/>
    <row r="536" ht="13.7" customHeight="1" x14ac:dyDescent="0.25"/>
    <row r="537" ht="13.7" customHeight="1" x14ac:dyDescent="0.25"/>
    <row r="538" ht="6.95" customHeight="1" x14ac:dyDescent="0.25"/>
    <row r="539" ht="13.7" customHeight="1" x14ac:dyDescent="0.25"/>
    <row r="540" ht="13.7" customHeight="1" x14ac:dyDescent="0.25"/>
    <row r="541" ht="13.7" customHeight="1" x14ac:dyDescent="0.25"/>
    <row r="542" ht="13.7" customHeight="1" x14ac:dyDescent="0.25"/>
    <row r="543" ht="13.7" customHeight="1" x14ac:dyDescent="0.25"/>
    <row r="544" ht="13.7" customHeight="1" x14ac:dyDescent="0.25"/>
    <row r="545" ht="13.7" customHeight="1" x14ac:dyDescent="0.25"/>
    <row r="546" ht="13.7" customHeight="1" x14ac:dyDescent="0.25"/>
    <row r="547" ht="6.95" customHeight="1" x14ac:dyDescent="0.25"/>
    <row r="548" ht="11.85" customHeight="1" x14ac:dyDescent="0.25"/>
    <row r="549" ht="11.85" customHeight="1" x14ac:dyDescent="0.25"/>
    <row r="550" ht="7.15" customHeight="1" x14ac:dyDescent="0.25"/>
    <row r="551" ht="0.75" customHeight="1" x14ac:dyDescent="0.25"/>
    <row r="552" ht="6.2" customHeight="1" x14ac:dyDescent="0.25"/>
    <row r="553" ht="13.7" customHeight="1" x14ac:dyDescent="0.25"/>
    <row r="554" ht="13.7" customHeight="1" x14ac:dyDescent="0.25"/>
    <row r="555" ht="6.95" customHeight="1" x14ac:dyDescent="0.25"/>
    <row r="556" ht="13.7" customHeight="1" x14ac:dyDescent="0.25"/>
    <row r="557" ht="13.7" customHeight="1" x14ac:dyDescent="0.25"/>
    <row r="558" ht="13.7" customHeight="1" x14ac:dyDescent="0.25"/>
    <row r="559" ht="13.7" customHeight="1" x14ac:dyDescent="0.25"/>
    <row r="560" ht="13.7" customHeight="1" x14ac:dyDescent="0.25"/>
    <row r="561" ht="13.7" customHeight="1" x14ac:dyDescent="0.25"/>
    <row r="562" ht="13.7" customHeight="1" x14ac:dyDescent="0.25"/>
    <row r="563" ht="13.7" customHeight="1" x14ac:dyDescent="0.25"/>
    <row r="564" ht="6.95" customHeight="1" x14ac:dyDescent="0.25"/>
    <row r="565" ht="11.85" customHeight="1" x14ac:dyDescent="0.25"/>
    <row r="566" ht="11.85" customHeight="1" x14ac:dyDescent="0.25"/>
    <row r="567" ht="7.15" customHeight="1" x14ac:dyDescent="0.25"/>
    <row r="568" ht="0.75" customHeight="1" x14ac:dyDescent="0.25"/>
    <row r="569" ht="156.6" customHeight="1" x14ac:dyDescent="0.25"/>
    <row r="570" ht="13.7" customHeight="1" x14ac:dyDescent="0.25"/>
    <row r="571" ht="6.95" customHeight="1" x14ac:dyDescent="0.25"/>
    <row r="572" ht="20.65" customHeight="1" x14ac:dyDescent="0.25"/>
    <row r="573" ht="13.7" customHeight="1" x14ac:dyDescent="0.25"/>
    <row r="574" ht="13.7" customHeight="1" x14ac:dyDescent="0.25"/>
    <row r="575" ht="6.95" customHeight="1" x14ac:dyDescent="0.25"/>
    <row r="576" ht="13.7" customHeight="1" x14ac:dyDescent="0.25"/>
    <row r="577" ht="13.7" customHeight="1" x14ac:dyDescent="0.25"/>
    <row r="578" ht="6.95" customHeight="1" x14ac:dyDescent="0.25"/>
    <row r="579" ht="13.7" customHeight="1" x14ac:dyDescent="0.25"/>
    <row r="580" ht="13.7" customHeight="1" x14ac:dyDescent="0.25"/>
    <row r="581" ht="13.7" customHeight="1" x14ac:dyDescent="0.25"/>
    <row r="582" ht="13.7" customHeight="1" x14ac:dyDescent="0.25"/>
    <row r="583" ht="13.7" customHeight="1" x14ac:dyDescent="0.25"/>
    <row r="584" ht="13.7" customHeight="1" x14ac:dyDescent="0.25"/>
    <row r="585" ht="13.7" customHeight="1" x14ac:dyDescent="0.25"/>
    <row r="586" ht="13.7" customHeight="1" x14ac:dyDescent="0.25"/>
    <row r="587" ht="6.95" customHeight="1" x14ac:dyDescent="0.25"/>
    <row r="588" ht="11.85" customHeight="1" x14ac:dyDescent="0.25"/>
    <row r="589" ht="11.85" customHeight="1" x14ac:dyDescent="0.25"/>
    <row r="590" ht="7.15" customHeight="1" x14ac:dyDescent="0.25"/>
    <row r="591" ht="0.75" customHeight="1" x14ac:dyDescent="0.25"/>
    <row r="592" ht="6.2" customHeight="1" x14ac:dyDescent="0.25"/>
    <row r="593" ht="13.7" customHeight="1" x14ac:dyDescent="0.25"/>
    <row r="594" ht="13.7" customHeight="1" x14ac:dyDescent="0.25"/>
    <row r="595" ht="6.95" customHeight="1" x14ac:dyDescent="0.25"/>
    <row r="596" ht="13.7" customHeight="1" x14ac:dyDescent="0.25"/>
    <row r="597" ht="13.7" customHeight="1" x14ac:dyDescent="0.25"/>
    <row r="598" ht="13.7" customHeight="1" x14ac:dyDescent="0.25"/>
    <row r="599" ht="13.7" customHeight="1" x14ac:dyDescent="0.25"/>
    <row r="600" ht="13.7" customHeight="1" x14ac:dyDescent="0.25"/>
    <row r="601" ht="13.7" customHeight="1" x14ac:dyDescent="0.25"/>
    <row r="602" ht="13.7" customHeight="1" x14ac:dyDescent="0.25"/>
    <row r="603" ht="13.7" customHeight="1" x14ac:dyDescent="0.25"/>
    <row r="604" ht="6.95" customHeight="1" x14ac:dyDescent="0.25"/>
    <row r="605" ht="11.85" customHeight="1" x14ac:dyDescent="0.25"/>
    <row r="606" ht="11.85" customHeight="1" x14ac:dyDescent="0.25"/>
    <row r="607" ht="7.15" customHeight="1" x14ac:dyDescent="0.25"/>
    <row r="608" ht="0.75" customHeight="1" x14ac:dyDescent="0.25"/>
    <row r="609" ht="6.2" customHeight="1" x14ac:dyDescent="0.25"/>
    <row r="610" ht="13.7" customHeight="1" x14ac:dyDescent="0.25"/>
    <row r="611" ht="13.7" customHeight="1" x14ac:dyDescent="0.25"/>
    <row r="612" ht="6.95" customHeight="1" x14ac:dyDescent="0.25"/>
    <row r="613" ht="13.7" customHeight="1" x14ac:dyDescent="0.25"/>
    <row r="614" ht="13.7" customHeight="1" x14ac:dyDescent="0.25"/>
    <row r="615" ht="13.7" customHeight="1" x14ac:dyDescent="0.25"/>
    <row r="616" ht="13.7" customHeight="1" x14ac:dyDescent="0.25"/>
    <row r="617" ht="13.7" customHeight="1" x14ac:dyDescent="0.25"/>
    <row r="618" ht="13.7" customHeight="1" x14ac:dyDescent="0.25"/>
    <row r="619" ht="13.7" customHeight="1" x14ac:dyDescent="0.25"/>
    <row r="620" ht="13.7" customHeight="1" x14ac:dyDescent="0.25"/>
    <row r="621" ht="6.95" customHeight="1" x14ac:dyDescent="0.25"/>
    <row r="622" ht="11.85" customHeight="1" x14ac:dyDescent="0.25"/>
    <row r="623" ht="11.85" customHeight="1" x14ac:dyDescent="0.25"/>
    <row r="624" ht="7.15" customHeight="1" x14ac:dyDescent="0.25"/>
    <row r="625" ht="0.75" customHeight="1" x14ac:dyDescent="0.25"/>
    <row r="626" ht="156.6" customHeight="1" x14ac:dyDescent="0.25"/>
    <row r="627" ht="13.7" customHeight="1" x14ac:dyDescent="0.25"/>
    <row r="628" ht="6.95" customHeight="1" x14ac:dyDescent="0.25"/>
    <row r="629" ht="20.65" customHeight="1" x14ac:dyDescent="0.25"/>
    <row r="630" ht="13.7" customHeight="1" x14ac:dyDescent="0.25"/>
    <row r="631" ht="13.7" customHeight="1" x14ac:dyDescent="0.25"/>
    <row r="632" ht="6.95" customHeight="1" x14ac:dyDescent="0.25"/>
    <row r="633" ht="13.7" customHeight="1" x14ac:dyDescent="0.25"/>
    <row r="634" ht="13.7" customHeight="1" x14ac:dyDescent="0.25"/>
    <row r="635" ht="6.95" customHeight="1" x14ac:dyDescent="0.25"/>
    <row r="636" ht="13.7" customHeight="1" x14ac:dyDescent="0.25"/>
    <row r="637" ht="13.7" customHeight="1" x14ac:dyDescent="0.25"/>
    <row r="638" ht="13.7" customHeight="1" x14ac:dyDescent="0.25"/>
    <row r="639" ht="13.7" customHeight="1" x14ac:dyDescent="0.25"/>
    <row r="640" ht="13.7" customHeight="1" x14ac:dyDescent="0.25"/>
    <row r="641" ht="13.7" customHeight="1" x14ac:dyDescent="0.25"/>
    <row r="642" ht="13.7" customHeight="1" x14ac:dyDescent="0.25"/>
    <row r="643" ht="13.7" customHeight="1" x14ac:dyDescent="0.25"/>
    <row r="644" ht="6.95" customHeight="1" x14ac:dyDescent="0.25"/>
    <row r="645" ht="11.85" customHeight="1" x14ac:dyDescent="0.25"/>
    <row r="646" ht="11.85" customHeight="1" x14ac:dyDescent="0.25"/>
    <row r="647" ht="7.15" customHeight="1" x14ac:dyDescent="0.25"/>
    <row r="648" ht="0.75" customHeight="1" x14ac:dyDescent="0.25"/>
    <row r="649" ht="6.2" customHeight="1" x14ac:dyDescent="0.25"/>
    <row r="650" ht="13.7" customHeight="1" x14ac:dyDescent="0.25"/>
    <row r="651" ht="13.7" customHeight="1" x14ac:dyDescent="0.25"/>
    <row r="652" ht="6.95" customHeight="1" x14ac:dyDescent="0.25"/>
    <row r="653" ht="13.7" customHeight="1" x14ac:dyDescent="0.25"/>
    <row r="654" ht="13.7" customHeight="1" x14ac:dyDescent="0.25"/>
    <row r="655" ht="13.7" customHeight="1" x14ac:dyDescent="0.25"/>
    <row r="656" ht="13.7" customHeight="1" x14ac:dyDescent="0.25"/>
    <row r="657" ht="13.7" customHeight="1" x14ac:dyDescent="0.25"/>
    <row r="658" ht="13.7" customHeight="1" x14ac:dyDescent="0.25"/>
    <row r="659" ht="13.7" customHeight="1" x14ac:dyDescent="0.25"/>
    <row r="660" ht="13.7" customHeight="1" x14ac:dyDescent="0.25"/>
    <row r="661" ht="6.95" customHeight="1" x14ac:dyDescent="0.25"/>
    <row r="662" ht="11.85" customHeight="1" x14ac:dyDescent="0.25"/>
    <row r="663" ht="11.85" customHeight="1" x14ac:dyDescent="0.25"/>
    <row r="664" ht="7.15" customHeight="1" x14ac:dyDescent="0.25"/>
    <row r="665" ht="0.75" customHeight="1" x14ac:dyDescent="0.25"/>
    <row r="666" ht="6.2" customHeight="1" x14ac:dyDescent="0.25"/>
    <row r="667" ht="13.7" customHeight="1" x14ac:dyDescent="0.25"/>
    <row r="668" ht="13.7" customHeight="1" x14ac:dyDescent="0.25"/>
    <row r="669" ht="6.95" customHeight="1" x14ac:dyDescent="0.25"/>
    <row r="670" ht="13.7" customHeight="1" x14ac:dyDescent="0.25"/>
    <row r="671" ht="13.7" customHeight="1" x14ac:dyDescent="0.25"/>
    <row r="672" ht="13.7" customHeight="1" x14ac:dyDescent="0.25"/>
    <row r="673" ht="13.7" customHeight="1" x14ac:dyDescent="0.25"/>
    <row r="674" ht="13.7" customHeight="1" x14ac:dyDescent="0.25"/>
    <row r="675" ht="13.7" customHeight="1" x14ac:dyDescent="0.25"/>
    <row r="676" ht="13.7" customHeight="1" x14ac:dyDescent="0.25"/>
    <row r="677" ht="13.7" customHeight="1" x14ac:dyDescent="0.25"/>
    <row r="678" ht="6.95" customHeight="1" x14ac:dyDescent="0.25"/>
    <row r="679" ht="11.85" customHeight="1" x14ac:dyDescent="0.25"/>
    <row r="680" ht="11.85" customHeight="1" x14ac:dyDescent="0.25"/>
    <row r="681" ht="7.15" customHeight="1" x14ac:dyDescent="0.25"/>
    <row r="682" ht="0.75" customHeight="1" x14ac:dyDescent="0.25"/>
    <row r="683" ht="156.6" customHeight="1" x14ac:dyDescent="0.25"/>
    <row r="684" ht="13.7" customHeight="1" x14ac:dyDescent="0.25"/>
    <row r="685" ht="6.95" customHeight="1" x14ac:dyDescent="0.25"/>
    <row r="686" ht="20.65" customHeight="1" x14ac:dyDescent="0.25"/>
    <row r="687" ht="13.7" customHeight="1" x14ac:dyDescent="0.25"/>
    <row r="688" ht="13.7" customHeight="1" x14ac:dyDescent="0.25"/>
    <row r="689" ht="6.95" customHeight="1" x14ac:dyDescent="0.25"/>
    <row r="690" ht="13.7" customHeight="1" x14ac:dyDescent="0.25"/>
    <row r="691" ht="13.7" customHeight="1" x14ac:dyDescent="0.25"/>
    <row r="692" ht="6.95" customHeight="1" x14ac:dyDescent="0.25"/>
    <row r="693" ht="13.7" customHeight="1" x14ac:dyDescent="0.25"/>
    <row r="694" ht="13.7" customHeight="1" x14ac:dyDescent="0.25"/>
    <row r="695" ht="13.7" customHeight="1" x14ac:dyDescent="0.25"/>
    <row r="696" ht="13.7" customHeight="1" x14ac:dyDescent="0.25"/>
    <row r="697" ht="13.7" customHeight="1" x14ac:dyDescent="0.25"/>
    <row r="698" ht="13.7" customHeight="1" x14ac:dyDescent="0.25"/>
    <row r="699" ht="13.7" customHeight="1" x14ac:dyDescent="0.25"/>
    <row r="700" ht="13.7" customHeight="1" x14ac:dyDescent="0.25"/>
    <row r="701" ht="6.95" customHeight="1" x14ac:dyDescent="0.25"/>
    <row r="702" ht="11.85" customHeight="1" x14ac:dyDescent="0.25"/>
    <row r="703" ht="11.85" customHeight="1" x14ac:dyDescent="0.25"/>
    <row r="704" ht="7.15" customHeight="1" x14ac:dyDescent="0.25"/>
    <row r="705" ht="0.75" customHeight="1" x14ac:dyDescent="0.25"/>
    <row r="706" ht="6.2" customHeight="1" x14ac:dyDescent="0.25"/>
    <row r="707" ht="13.7" customHeight="1" x14ac:dyDescent="0.25"/>
    <row r="708" ht="13.7" customHeight="1" x14ac:dyDescent="0.25"/>
    <row r="709" ht="6.95" customHeight="1" x14ac:dyDescent="0.25"/>
    <row r="710" ht="13.7" customHeight="1" x14ac:dyDescent="0.25"/>
    <row r="711" ht="13.7" customHeight="1" x14ac:dyDescent="0.25"/>
    <row r="712" ht="13.7" customHeight="1" x14ac:dyDescent="0.25"/>
    <row r="713" ht="13.7" customHeight="1" x14ac:dyDescent="0.25"/>
    <row r="714" ht="13.7" customHeight="1" x14ac:dyDescent="0.25"/>
    <row r="715" ht="13.7" customHeight="1" x14ac:dyDescent="0.25"/>
    <row r="716" ht="13.7" customHeight="1" x14ac:dyDescent="0.25"/>
    <row r="717" ht="13.7" customHeight="1" x14ac:dyDescent="0.25"/>
    <row r="718" ht="6.95" customHeight="1" x14ac:dyDescent="0.25"/>
    <row r="719" ht="11.85" customHeight="1" x14ac:dyDescent="0.25"/>
    <row r="720" ht="11.85" customHeight="1" x14ac:dyDescent="0.25"/>
    <row r="721" ht="7.15" customHeight="1" x14ac:dyDescent="0.25"/>
    <row r="722" ht="0.75" customHeight="1" x14ac:dyDescent="0.25"/>
    <row r="723" ht="6.2" customHeight="1" x14ac:dyDescent="0.25"/>
    <row r="724" ht="13.7" customHeight="1" x14ac:dyDescent="0.25"/>
    <row r="725" ht="13.7" customHeight="1" x14ac:dyDescent="0.25"/>
    <row r="726" ht="6.95" customHeight="1" x14ac:dyDescent="0.25"/>
    <row r="727" ht="13.7" customHeight="1" x14ac:dyDescent="0.25"/>
    <row r="728" ht="13.7" customHeight="1" x14ac:dyDescent="0.25"/>
    <row r="729" ht="13.7" customHeight="1" x14ac:dyDescent="0.25"/>
    <row r="730" ht="13.7" customHeight="1" x14ac:dyDescent="0.25"/>
    <row r="731" ht="13.7" customHeight="1" x14ac:dyDescent="0.25"/>
    <row r="732" ht="13.7" customHeight="1" x14ac:dyDescent="0.25"/>
    <row r="733" ht="13.7" customHeight="1" x14ac:dyDescent="0.25"/>
    <row r="734" ht="13.7" customHeight="1" x14ac:dyDescent="0.25"/>
    <row r="735" ht="6.95" customHeight="1" x14ac:dyDescent="0.25"/>
    <row r="736" ht="11.85" customHeight="1" x14ac:dyDescent="0.25"/>
    <row r="737" ht="11.85" customHeight="1" x14ac:dyDescent="0.25"/>
    <row r="738" ht="7.15" customHeight="1" x14ac:dyDescent="0.25"/>
    <row r="739" ht="0.75" customHeight="1" x14ac:dyDescent="0.25"/>
    <row r="740" ht="156.6" customHeight="1" x14ac:dyDescent="0.25"/>
    <row r="741" ht="13.7" customHeight="1" x14ac:dyDescent="0.25"/>
    <row r="742" ht="6.95" customHeight="1" x14ac:dyDescent="0.25"/>
    <row r="743" ht="20.65" customHeight="1" x14ac:dyDescent="0.25"/>
    <row r="744" ht="13.7" customHeight="1" x14ac:dyDescent="0.25"/>
    <row r="745" ht="13.7" customHeight="1" x14ac:dyDescent="0.25"/>
    <row r="746" ht="6.95" customHeight="1" x14ac:dyDescent="0.25"/>
    <row r="747" ht="13.7" customHeight="1" x14ac:dyDescent="0.25"/>
    <row r="748" ht="13.7" customHeight="1" x14ac:dyDescent="0.25"/>
    <row r="749" ht="6.95" customHeight="1" x14ac:dyDescent="0.25"/>
    <row r="750" ht="13.7" customHeight="1" x14ac:dyDescent="0.25"/>
    <row r="751" ht="13.7" customHeight="1" x14ac:dyDescent="0.25"/>
    <row r="752" ht="13.7" customHeight="1" x14ac:dyDescent="0.25"/>
    <row r="753" ht="13.7" customHeight="1" x14ac:dyDescent="0.25"/>
    <row r="754" ht="13.7" customHeight="1" x14ac:dyDescent="0.25"/>
    <row r="755" ht="13.7" customHeight="1" x14ac:dyDescent="0.25"/>
    <row r="756" ht="13.7" customHeight="1" x14ac:dyDescent="0.25"/>
    <row r="757" ht="13.7" customHeight="1" x14ac:dyDescent="0.25"/>
    <row r="758" ht="6.95" customHeight="1" x14ac:dyDescent="0.25"/>
    <row r="759" ht="11.85" customHeight="1" x14ac:dyDescent="0.25"/>
    <row r="760" ht="11.85" customHeight="1" x14ac:dyDescent="0.25"/>
    <row r="761" ht="7.15" customHeight="1" x14ac:dyDescent="0.25"/>
    <row r="762" ht="0.75" customHeight="1" x14ac:dyDescent="0.25"/>
    <row r="763" ht="6.2" customHeight="1" x14ac:dyDescent="0.25"/>
    <row r="764" ht="13.7" customHeight="1" x14ac:dyDescent="0.25"/>
    <row r="765" ht="13.7" customHeight="1" x14ac:dyDescent="0.25"/>
    <row r="766" ht="6.95" customHeight="1" x14ac:dyDescent="0.25"/>
    <row r="767" ht="13.7" customHeight="1" x14ac:dyDescent="0.25"/>
    <row r="768" ht="13.7" customHeight="1" x14ac:dyDescent="0.25"/>
    <row r="769" ht="13.7" customHeight="1" x14ac:dyDescent="0.25"/>
    <row r="770" ht="13.7" customHeight="1" x14ac:dyDescent="0.25"/>
    <row r="771" ht="13.7" customHeight="1" x14ac:dyDescent="0.25"/>
    <row r="772" ht="13.7" customHeight="1" x14ac:dyDescent="0.25"/>
    <row r="773" ht="13.7" customHeight="1" x14ac:dyDescent="0.25"/>
    <row r="774" ht="13.7" customHeight="1" x14ac:dyDescent="0.25"/>
    <row r="775" ht="6.95" customHeight="1" x14ac:dyDescent="0.25"/>
    <row r="776" ht="11.85" customHeight="1" x14ac:dyDescent="0.25"/>
    <row r="777" ht="11.85" customHeight="1" x14ac:dyDescent="0.25"/>
    <row r="778" ht="7.15" customHeight="1" x14ac:dyDescent="0.25"/>
    <row r="779" ht="0.75" customHeight="1" x14ac:dyDescent="0.25"/>
    <row r="780" ht="6.2" customHeight="1" x14ac:dyDescent="0.25"/>
    <row r="781" ht="13.7" customHeight="1" x14ac:dyDescent="0.25"/>
    <row r="782" ht="13.7" customHeight="1" x14ac:dyDescent="0.25"/>
    <row r="783" ht="6.95" customHeight="1" x14ac:dyDescent="0.25"/>
    <row r="784" ht="13.7" customHeight="1" x14ac:dyDescent="0.25"/>
    <row r="785" ht="13.7" customHeight="1" x14ac:dyDescent="0.25"/>
    <row r="786" ht="13.7" customHeight="1" x14ac:dyDescent="0.25"/>
    <row r="787" ht="13.7" customHeight="1" x14ac:dyDescent="0.25"/>
    <row r="788" ht="13.7" customHeight="1" x14ac:dyDescent="0.25"/>
    <row r="789" ht="13.7" customHeight="1" x14ac:dyDescent="0.25"/>
    <row r="790" ht="13.7" customHeight="1" x14ac:dyDescent="0.25"/>
    <row r="791" ht="13.7" customHeight="1" x14ac:dyDescent="0.25"/>
    <row r="792" ht="6.95" customHeight="1" x14ac:dyDescent="0.25"/>
    <row r="793" ht="11.85" customHeight="1" x14ac:dyDescent="0.25"/>
    <row r="794" ht="11.85" customHeight="1" x14ac:dyDescent="0.25"/>
    <row r="795" ht="7.15" customHeight="1" x14ac:dyDescent="0.25"/>
    <row r="796" ht="0.75" customHeight="1" x14ac:dyDescent="0.25"/>
    <row r="797" ht="156.6" customHeight="1" x14ac:dyDescent="0.25"/>
    <row r="798" ht="13.7" customHeight="1" x14ac:dyDescent="0.25"/>
    <row r="799" ht="6.95" customHeight="1" x14ac:dyDescent="0.25"/>
    <row r="800" ht="20.65" customHeight="1" x14ac:dyDescent="0.25"/>
    <row r="801" ht="13.7" customHeight="1" x14ac:dyDescent="0.25"/>
    <row r="802" ht="13.7" customHeight="1" x14ac:dyDescent="0.25"/>
    <row r="803" ht="6.95" customHeight="1" x14ac:dyDescent="0.25"/>
    <row r="804" ht="13.7" customHeight="1" x14ac:dyDescent="0.25"/>
    <row r="805" ht="13.7" customHeight="1" x14ac:dyDescent="0.25"/>
    <row r="806" ht="6.95" customHeight="1" x14ac:dyDescent="0.25"/>
    <row r="807" ht="13.7" customHeight="1" x14ac:dyDescent="0.25"/>
    <row r="808" ht="13.7" customHeight="1" x14ac:dyDescent="0.25"/>
    <row r="809" ht="13.7" customHeight="1" x14ac:dyDescent="0.25"/>
    <row r="810" ht="13.7" customHeight="1" x14ac:dyDescent="0.25"/>
    <row r="811" ht="13.7" customHeight="1" x14ac:dyDescent="0.25"/>
    <row r="812" ht="13.7" customHeight="1" x14ac:dyDescent="0.25"/>
    <row r="813" ht="13.7" customHeight="1" x14ac:dyDescent="0.25"/>
    <row r="814" ht="13.7" customHeight="1" x14ac:dyDescent="0.25"/>
    <row r="815" ht="6.95" customHeight="1" x14ac:dyDescent="0.25"/>
    <row r="816" ht="11.85" customHeight="1" x14ac:dyDescent="0.25"/>
    <row r="817" ht="11.85" customHeight="1" x14ac:dyDescent="0.25"/>
    <row r="818" ht="7.15" customHeight="1" x14ac:dyDescent="0.25"/>
    <row r="819" ht="0.75" customHeight="1" x14ac:dyDescent="0.25"/>
    <row r="820" ht="6.2" customHeight="1" x14ac:dyDescent="0.25"/>
    <row r="821" ht="13.7" customHeight="1" x14ac:dyDescent="0.25"/>
    <row r="822" ht="13.7" customHeight="1" x14ac:dyDescent="0.25"/>
    <row r="823" ht="6.95" customHeight="1" x14ac:dyDescent="0.25"/>
    <row r="824" ht="13.7" customHeight="1" x14ac:dyDescent="0.25"/>
    <row r="825" ht="13.7" customHeight="1" x14ac:dyDescent="0.25"/>
    <row r="826" ht="13.7" customHeight="1" x14ac:dyDescent="0.25"/>
    <row r="827" ht="13.7" customHeight="1" x14ac:dyDescent="0.25"/>
    <row r="828" ht="13.7" customHeight="1" x14ac:dyDescent="0.25"/>
    <row r="829" ht="13.7" customHeight="1" x14ac:dyDescent="0.25"/>
    <row r="830" ht="13.7" customHeight="1" x14ac:dyDescent="0.25"/>
    <row r="831" ht="13.7" customHeight="1" x14ac:dyDescent="0.25"/>
    <row r="832" ht="6.95" customHeight="1" x14ac:dyDescent="0.25"/>
    <row r="833" ht="11.85" customHeight="1" x14ac:dyDescent="0.25"/>
    <row r="834" ht="11.85" customHeight="1" x14ac:dyDescent="0.25"/>
    <row r="835" ht="7.15" customHeight="1" x14ac:dyDescent="0.25"/>
    <row r="836" ht="0.75" customHeight="1" x14ac:dyDescent="0.25"/>
    <row r="837" ht="6.2" customHeight="1" x14ac:dyDescent="0.25"/>
    <row r="838" ht="13.7" customHeight="1" x14ac:dyDescent="0.25"/>
    <row r="839" ht="13.7" customHeight="1" x14ac:dyDescent="0.25"/>
    <row r="840" ht="6.95" customHeight="1" x14ac:dyDescent="0.25"/>
    <row r="841" ht="13.7" customHeight="1" x14ac:dyDescent="0.25"/>
    <row r="842" ht="13.7" customHeight="1" x14ac:dyDescent="0.25"/>
    <row r="843" ht="13.7" customHeight="1" x14ac:dyDescent="0.25"/>
    <row r="844" ht="13.7" customHeight="1" x14ac:dyDescent="0.25"/>
    <row r="845" ht="13.7" customHeight="1" x14ac:dyDescent="0.25"/>
    <row r="846" ht="13.7" customHeight="1" x14ac:dyDescent="0.25"/>
    <row r="847" ht="13.7" customHeight="1" x14ac:dyDescent="0.25"/>
    <row r="848" ht="13.7" customHeight="1" x14ac:dyDescent="0.25"/>
    <row r="849" ht="6.95" customHeight="1" x14ac:dyDescent="0.25"/>
    <row r="850" ht="11.85" customHeight="1" x14ac:dyDescent="0.25"/>
    <row r="851" ht="11.85" customHeight="1" x14ac:dyDescent="0.25"/>
    <row r="852" ht="7.15" customHeight="1" x14ac:dyDescent="0.25"/>
    <row r="853" ht="0.75" customHeight="1" x14ac:dyDescent="0.25"/>
    <row r="854" ht="156.6" customHeight="1" x14ac:dyDescent="0.25"/>
    <row r="855" ht="13.7" customHeight="1" x14ac:dyDescent="0.25"/>
    <row r="856" ht="6.95" customHeight="1" x14ac:dyDescent="0.25"/>
    <row r="857" ht="20.65" customHeight="1" x14ac:dyDescent="0.25"/>
    <row r="858" ht="13.7" customHeight="1" x14ac:dyDescent="0.25"/>
    <row r="859" ht="13.7" customHeight="1" x14ac:dyDescent="0.25"/>
    <row r="860" ht="6.95" customHeight="1" x14ac:dyDescent="0.25"/>
    <row r="861" ht="13.7" customHeight="1" x14ac:dyDescent="0.25"/>
    <row r="862" ht="13.7" customHeight="1" x14ac:dyDescent="0.25"/>
    <row r="863" ht="6.95" customHeight="1" x14ac:dyDescent="0.25"/>
    <row r="864" ht="13.7" customHeight="1" x14ac:dyDescent="0.25"/>
    <row r="865" ht="13.7" customHeight="1" x14ac:dyDescent="0.25"/>
    <row r="866" ht="13.7" customHeight="1" x14ac:dyDescent="0.25"/>
    <row r="867" ht="13.7" customHeight="1" x14ac:dyDescent="0.25"/>
    <row r="868" ht="13.7" customHeight="1" x14ac:dyDescent="0.25"/>
    <row r="869" ht="13.7" customHeight="1" x14ac:dyDescent="0.25"/>
    <row r="870" ht="13.7" customHeight="1" x14ac:dyDescent="0.25"/>
    <row r="871" ht="13.7" customHeight="1" x14ac:dyDescent="0.25"/>
    <row r="872" ht="6.95" customHeight="1" x14ac:dyDescent="0.25"/>
    <row r="873" ht="11.85" customHeight="1" x14ac:dyDescent="0.25"/>
    <row r="874" ht="11.85" customHeight="1" x14ac:dyDescent="0.25"/>
    <row r="875" ht="7.15" customHeight="1" x14ac:dyDescent="0.25"/>
    <row r="876" ht="0.75" customHeight="1" x14ac:dyDescent="0.25"/>
    <row r="877" ht="6.2" customHeight="1" x14ac:dyDescent="0.25"/>
    <row r="878" ht="13.7" customHeight="1" x14ac:dyDescent="0.25"/>
    <row r="879" ht="13.7" customHeight="1" x14ac:dyDescent="0.25"/>
    <row r="880" ht="6.95" customHeight="1" x14ac:dyDescent="0.25"/>
    <row r="881" ht="13.7" customHeight="1" x14ac:dyDescent="0.25"/>
    <row r="882" ht="13.7" customHeight="1" x14ac:dyDescent="0.25"/>
    <row r="883" ht="13.7" customHeight="1" x14ac:dyDescent="0.25"/>
    <row r="884" ht="13.7" customHeight="1" x14ac:dyDescent="0.25"/>
    <row r="885" ht="13.7" customHeight="1" x14ac:dyDescent="0.25"/>
    <row r="886" ht="13.7" customHeight="1" x14ac:dyDescent="0.25"/>
    <row r="887" ht="13.7" customHeight="1" x14ac:dyDescent="0.25"/>
    <row r="888" ht="13.7" customHeight="1" x14ac:dyDescent="0.25"/>
    <row r="889" ht="6.95" customHeight="1" x14ac:dyDescent="0.25"/>
    <row r="890" ht="11.85" customHeight="1" x14ac:dyDescent="0.25"/>
    <row r="891" ht="11.85" customHeight="1" x14ac:dyDescent="0.25"/>
    <row r="892" ht="7.15" customHeight="1" x14ac:dyDescent="0.25"/>
    <row r="893" ht="0.75" customHeight="1" x14ac:dyDescent="0.25"/>
    <row r="894" ht="6.2" customHeight="1" x14ac:dyDescent="0.25"/>
    <row r="895" ht="13.7" customHeight="1" x14ac:dyDescent="0.25"/>
    <row r="896" ht="13.7" customHeight="1" x14ac:dyDescent="0.25"/>
    <row r="897" ht="6.95" customHeight="1" x14ac:dyDescent="0.25"/>
    <row r="898" ht="13.7" customHeight="1" x14ac:dyDescent="0.25"/>
    <row r="899" ht="13.7" customHeight="1" x14ac:dyDescent="0.25"/>
    <row r="900" ht="13.7" customHeight="1" x14ac:dyDescent="0.25"/>
    <row r="901" ht="13.7" customHeight="1" x14ac:dyDescent="0.25"/>
    <row r="902" ht="13.7" customHeight="1" x14ac:dyDescent="0.25"/>
    <row r="903" ht="13.7" customHeight="1" x14ac:dyDescent="0.25"/>
    <row r="904" ht="13.7" customHeight="1" x14ac:dyDescent="0.25"/>
    <row r="905" ht="13.7" customHeight="1" x14ac:dyDescent="0.25"/>
    <row r="906" ht="6.95" customHeight="1" x14ac:dyDescent="0.25"/>
    <row r="907" ht="11.85" customHeight="1" x14ac:dyDescent="0.25"/>
    <row r="908" ht="11.85" customHeight="1" x14ac:dyDescent="0.25"/>
    <row r="909" ht="7.15" customHeight="1" x14ac:dyDescent="0.25"/>
    <row r="910" ht="0.75" customHeight="1" x14ac:dyDescent="0.25"/>
    <row r="911" ht="156.6" customHeight="1" x14ac:dyDescent="0.25"/>
    <row r="912" ht="13.7" customHeight="1" x14ac:dyDescent="0.25"/>
    <row r="913" ht="6.95" customHeight="1" x14ac:dyDescent="0.25"/>
    <row r="914" ht="20.65" customHeight="1" x14ac:dyDescent="0.25"/>
    <row r="915" ht="13.7" customHeight="1" x14ac:dyDescent="0.25"/>
    <row r="916" ht="13.7" customHeight="1" x14ac:dyDescent="0.25"/>
    <row r="917" ht="6.95" customHeight="1" x14ac:dyDescent="0.25"/>
    <row r="918" ht="13.7" customHeight="1" x14ac:dyDescent="0.25"/>
    <row r="919" ht="13.7" customHeight="1" x14ac:dyDescent="0.25"/>
    <row r="920" ht="6.95" customHeight="1" x14ac:dyDescent="0.25"/>
    <row r="921" ht="13.7" customHeight="1" x14ac:dyDescent="0.25"/>
    <row r="922" ht="13.7" customHeight="1" x14ac:dyDescent="0.25"/>
    <row r="923" ht="13.7" customHeight="1" x14ac:dyDescent="0.25"/>
    <row r="924" ht="13.7" customHeight="1" x14ac:dyDescent="0.25"/>
    <row r="925" ht="13.7" customHeight="1" x14ac:dyDescent="0.25"/>
    <row r="926" ht="13.7" customHeight="1" x14ac:dyDescent="0.25"/>
    <row r="927" ht="13.7" customHeight="1" x14ac:dyDescent="0.25"/>
    <row r="928" ht="13.7" customHeight="1" x14ac:dyDescent="0.25"/>
    <row r="929" ht="6.95" customHeight="1" x14ac:dyDescent="0.25"/>
    <row r="930" ht="11.85" customHeight="1" x14ac:dyDescent="0.25"/>
    <row r="931" ht="11.85" customHeight="1" x14ac:dyDescent="0.25"/>
    <row r="932" ht="7.15" customHeight="1" x14ac:dyDescent="0.25"/>
    <row r="933" ht="0.75" customHeight="1" x14ac:dyDescent="0.25"/>
    <row r="934" ht="6.2" customHeight="1" x14ac:dyDescent="0.25"/>
    <row r="935" ht="13.7" customHeight="1" x14ac:dyDescent="0.25"/>
    <row r="936" ht="13.7" customHeight="1" x14ac:dyDescent="0.25"/>
    <row r="937" ht="6.95" customHeight="1" x14ac:dyDescent="0.25"/>
    <row r="938" ht="13.7" customHeight="1" x14ac:dyDescent="0.25"/>
    <row r="939" ht="13.7" customHeight="1" x14ac:dyDescent="0.25"/>
    <row r="940" ht="13.7" customHeight="1" x14ac:dyDescent="0.25"/>
    <row r="941" ht="13.7" customHeight="1" x14ac:dyDescent="0.25"/>
    <row r="942" ht="13.7" customHeight="1" x14ac:dyDescent="0.25"/>
    <row r="943" ht="13.7" customHeight="1" x14ac:dyDescent="0.25"/>
    <row r="944" ht="13.7" customHeight="1" x14ac:dyDescent="0.25"/>
    <row r="945" ht="13.7" customHeight="1" x14ac:dyDescent="0.25"/>
    <row r="946" ht="6.95" customHeight="1" x14ac:dyDescent="0.25"/>
    <row r="947" ht="11.85" customHeight="1" x14ac:dyDescent="0.25"/>
    <row r="948" ht="11.85" customHeight="1" x14ac:dyDescent="0.25"/>
    <row r="949" ht="7.15" customHeight="1" x14ac:dyDescent="0.25"/>
    <row r="950" ht="0.75" customHeight="1" x14ac:dyDescent="0.25"/>
    <row r="951" ht="6.2" customHeight="1" x14ac:dyDescent="0.25"/>
    <row r="952" ht="13.7" customHeight="1" x14ac:dyDescent="0.25"/>
    <row r="953" ht="13.7" customHeight="1" x14ac:dyDescent="0.25"/>
    <row r="954" ht="6.95" customHeight="1" x14ac:dyDescent="0.25"/>
    <row r="955" ht="13.7" customHeight="1" x14ac:dyDescent="0.25"/>
    <row r="956" ht="13.7" customHeight="1" x14ac:dyDescent="0.25"/>
    <row r="957" ht="13.7" customHeight="1" x14ac:dyDescent="0.25"/>
    <row r="958" ht="13.7" customHeight="1" x14ac:dyDescent="0.25"/>
    <row r="959" ht="13.7" customHeight="1" x14ac:dyDescent="0.25"/>
    <row r="960" ht="13.7" customHeight="1" x14ac:dyDescent="0.25"/>
    <row r="961" ht="13.7" customHeight="1" x14ac:dyDescent="0.25"/>
    <row r="962" ht="13.7" customHeight="1" x14ac:dyDescent="0.25"/>
    <row r="963" ht="6.95" customHeight="1" x14ac:dyDescent="0.25"/>
    <row r="964" ht="11.85" customHeight="1" x14ac:dyDescent="0.25"/>
    <row r="965" ht="11.85" customHeight="1" x14ac:dyDescent="0.25"/>
    <row r="966" ht="7.15" customHeight="1" x14ac:dyDescent="0.25"/>
    <row r="967" ht="0.75" customHeight="1" x14ac:dyDescent="0.25"/>
    <row r="968" ht="156.6" customHeight="1" x14ac:dyDescent="0.25"/>
    <row r="969" ht="13.7" customHeight="1" x14ac:dyDescent="0.25"/>
    <row r="970" ht="6.95" customHeight="1" x14ac:dyDescent="0.25"/>
    <row r="971" ht="20.65" customHeight="1" x14ac:dyDescent="0.25"/>
    <row r="972" ht="13.7" customHeight="1" x14ac:dyDescent="0.25"/>
    <row r="973" ht="13.7" customHeight="1" x14ac:dyDescent="0.25"/>
    <row r="974" ht="6.95" customHeight="1" x14ac:dyDescent="0.25"/>
    <row r="975" ht="13.7" customHeight="1" x14ac:dyDescent="0.25"/>
    <row r="976" ht="13.7" customHeight="1" x14ac:dyDescent="0.25"/>
    <row r="977" ht="6.95" customHeight="1" x14ac:dyDescent="0.25"/>
    <row r="978" ht="13.7" customHeight="1" x14ac:dyDescent="0.25"/>
    <row r="979" ht="13.7" customHeight="1" x14ac:dyDescent="0.25"/>
    <row r="980" ht="13.7" customHeight="1" x14ac:dyDescent="0.25"/>
    <row r="981" ht="13.7" customHeight="1" x14ac:dyDescent="0.25"/>
    <row r="982" ht="13.7" customHeight="1" x14ac:dyDescent="0.25"/>
    <row r="983" ht="13.7" customHeight="1" x14ac:dyDescent="0.25"/>
    <row r="984" ht="13.7" customHeight="1" x14ac:dyDescent="0.25"/>
    <row r="985" ht="13.7" customHeight="1" x14ac:dyDescent="0.25"/>
    <row r="986" ht="6.95" customHeight="1" x14ac:dyDescent="0.25"/>
    <row r="987" ht="11.85" customHeight="1" x14ac:dyDescent="0.25"/>
    <row r="988" ht="11.85" customHeight="1" x14ac:dyDescent="0.25"/>
    <row r="989" ht="7.15" customHeight="1" x14ac:dyDescent="0.25"/>
    <row r="990" ht="0.75" customHeight="1" x14ac:dyDescent="0.25"/>
    <row r="991" ht="6.2" customHeight="1" x14ac:dyDescent="0.25"/>
    <row r="992" ht="13.7" customHeight="1" x14ac:dyDescent="0.25"/>
    <row r="993" ht="13.7" customHeight="1" x14ac:dyDescent="0.25"/>
    <row r="994" ht="6.95" customHeight="1" x14ac:dyDescent="0.25"/>
    <row r="995" ht="13.7" customHeight="1" x14ac:dyDescent="0.25"/>
    <row r="996" ht="13.7" customHeight="1" x14ac:dyDescent="0.25"/>
    <row r="997" ht="13.7" customHeight="1" x14ac:dyDescent="0.25"/>
    <row r="998" ht="13.7" customHeight="1" x14ac:dyDescent="0.25"/>
    <row r="999" ht="13.7" customHeight="1" x14ac:dyDescent="0.25"/>
    <row r="1000" ht="13.7" customHeight="1" x14ac:dyDescent="0.25"/>
    <row r="1001" ht="13.7" customHeight="1" x14ac:dyDescent="0.25"/>
    <row r="1002" ht="13.7" customHeight="1" x14ac:dyDescent="0.25"/>
    <row r="1003" ht="6.95" customHeight="1" x14ac:dyDescent="0.25"/>
    <row r="1004" ht="11.85" customHeight="1" x14ac:dyDescent="0.25"/>
    <row r="1005" ht="11.85" customHeight="1" x14ac:dyDescent="0.25"/>
    <row r="1006" ht="7.15" customHeight="1" x14ac:dyDescent="0.25"/>
    <row r="1007" ht="0.75" customHeight="1" x14ac:dyDescent="0.25"/>
    <row r="1008" ht="6.2" customHeight="1" x14ac:dyDescent="0.25"/>
    <row r="1009" ht="13.7" customHeight="1" x14ac:dyDescent="0.25"/>
    <row r="1010" ht="13.7" customHeight="1" x14ac:dyDescent="0.25"/>
    <row r="1011" ht="6.95" customHeight="1" x14ac:dyDescent="0.25"/>
    <row r="1012" ht="13.7" customHeight="1" x14ac:dyDescent="0.25"/>
    <row r="1013" ht="13.7" customHeight="1" x14ac:dyDescent="0.25"/>
    <row r="1014" ht="13.7" customHeight="1" x14ac:dyDescent="0.25"/>
    <row r="1015" ht="13.7" customHeight="1" x14ac:dyDescent="0.25"/>
    <row r="1016" ht="13.7" customHeight="1" x14ac:dyDescent="0.25"/>
    <row r="1017" ht="13.7" customHeight="1" x14ac:dyDescent="0.25"/>
    <row r="1018" ht="13.7" customHeight="1" x14ac:dyDescent="0.25"/>
    <row r="1019" ht="6.95" customHeight="1" x14ac:dyDescent="0.25"/>
    <row r="1020" ht="11.85" customHeight="1" x14ac:dyDescent="0.25"/>
    <row r="1021" ht="11.85" customHeight="1" x14ac:dyDescent="0.25"/>
    <row r="1022" ht="7.15" customHeight="1" x14ac:dyDescent="0.25"/>
    <row r="1023" ht="0.75" customHeight="1" x14ac:dyDescent="0.25"/>
    <row r="1024" ht="170.25" customHeight="1" x14ac:dyDescent="0.25"/>
    <row r="1025" ht="13.7" customHeight="1" x14ac:dyDescent="0.25"/>
    <row r="1026" ht="6.95" customHeight="1" x14ac:dyDescent="0.25"/>
    <row r="1027" ht="20.65" customHeight="1" x14ac:dyDescent="0.25"/>
    <row r="1028" ht="13.7" customHeight="1" x14ac:dyDescent="0.25"/>
    <row r="1029" ht="13.7" customHeight="1" x14ac:dyDescent="0.25"/>
    <row r="1030" ht="6.95" customHeight="1" x14ac:dyDescent="0.25"/>
    <row r="1031" ht="13.7" customHeight="1" x14ac:dyDescent="0.25"/>
    <row r="1032" ht="13.7" customHeight="1" x14ac:dyDescent="0.25"/>
    <row r="1033" ht="6.95" customHeight="1" x14ac:dyDescent="0.25"/>
    <row r="1034" ht="13.7" customHeight="1" x14ac:dyDescent="0.25"/>
    <row r="1035" ht="13.7" customHeight="1" x14ac:dyDescent="0.25"/>
    <row r="1036" ht="13.7" customHeight="1" x14ac:dyDescent="0.25"/>
    <row r="1037" ht="13.7" customHeight="1" x14ac:dyDescent="0.25"/>
    <row r="1038" ht="13.7" customHeight="1" x14ac:dyDescent="0.25"/>
    <row r="1039" ht="13.7" customHeight="1" x14ac:dyDescent="0.25"/>
    <row r="1040" ht="13.7" customHeight="1" x14ac:dyDescent="0.25"/>
    <row r="1041" ht="13.7" customHeight="1" x14ac:dyDescent="0.25"/>
    <row r="1042" ht="6.95" customHeight="1" x14ac:dyDescent="0.25"/>
    <row r="1043" ht="11.85" customHeight="1" x14ac:dyDescent="0.25"/>
    <row r="1044" ht="11.85" customHeight="1" x14ac:dyDescent="0.25"/>
    <row r="1045" ht="7.15" customHeight="1" x14ac:dyDescent="0.25"/>
    <row r="1046" ht="0.75" customHeight="1" x14ac:dyDescent="0.25"/>
    <row r="1047" ht="6.2" customHeight="1" x14ac:dyDescent="0.25"/>
    <row r="1048" ht="13.7" customHeight="1" x14ac:dyDescent="0.25"/>
    <row r="1049" ht="13.7" customHeight="1" x14ac:dyDescent="0.25"/>
    <row r="1050" ht="6.95" customHeight="1" x14ac:dyDescent="0.25"/>
    <row r="1051" ht="13.7" customHeight="1" x14ac:dyDescent="0.25"/>
    <row r="1052" ht="13.7" customHeight="1" x14ac:dyDescent="0.25"/>
    <row r="1053" ht="13.7" customHeight="1" x14ac:dyDescent="0.25"/>
    <row r="1054" ht="13.7" customHeight="1" x14ac:dyDescent="0.25"/>
    <row r="1055" ht="13.7" customHeight="1" x14ac:dyDescent="0.25"/>
    <row r="1056" ht="13.7" customHeight="1" x14ac:dyDescent="0.25"/>
    <row r="1057" ht="13.7" customHeight="1" x14ac:dyDescent="0.25"/>
    <row r="1058" ht="13.7" customHeight="1" x14ac:dyDescent="0.25"/>
    <row r="1059" ht="6.95" customHeight="1" x14ac:dyDescent="0.25"/>
    <row r="1060" ht="11.85" customHeight="1" x14ac:dyDescent="0.25"/>
    <row r="1061" ht="11.85" customHeight="1" x14ac:dyDescent="0.25"/>
    <row r="1062" ht="7.15" customHeight="1" x14ac:dyDescent="0.25"/>
    <row r="1063" ht="0.75" customHeight="1" x14ac:dyDescent="0.25"/>
    <row r="1064" ht="6.2" customHeight="1" x14ac:dyDescent="0.25"/>
    <row r="1065" ht="13.7" customHeight="1" x14ac:dyDescent="0.25"/>
    <row r="1066" ht="13.7" customHeight="1" x14ac:dyDescent="0.25"/>
    <row r="1067" ht="6.95" customHeight="1" x14ac:dyDescent="0.25"/>
    <row r="1068" ht="13.7" customHeight="1" x14ac:dyDescent="0.25"/>
    <row r="1069" ht="13.7" customHeight="1" x14ac:dyDescent="0.25"/>
    <row r="1070" ht="13.7" customHeight="1" x14ac:dyDescent="0.25"/>
    <row r="1071" ht="13.7" customHeight="1" x14ac:dyDescent="0.25"/>
    <row r="1072" ht="13.7" customHeight="1" x14ac:dyDescent="0.25"/>
    <row r="1073" ht="13.7" customHeight="1" x14ac:dyDescent="0.25"/>
    <row r="1074" ht="6.95" customHeight="1" x14ac:dyDescent="0.25"/>
    <row r="1075" ht="11.85" customHeight="1" x14ac:dyDescent="0.25"/>
    <row r="1076" ht="11.85" customHeight="1" x14ac:dyDescent="0.25"/>
    <row r="1077" ht="7.15" customHeight="1" x14ac:dyDescent="0.25"/>
    <row r="1078" ht="0.75" customHeight="1" x14ac:dyDescent="0.25"/>
    <row r="1079" ht="183.95" customHeight="1" x14ac:dyDescent="0.25"/>
    <row r="1080" ht="13.7" customHeight="1" x14ac:dyDescent="0.25"/>
    <row r="1081" ht="6.95" customHeight="1" x14ac:dyDescent="0.25"/>
    <row r="1082" ht="20.65" customHeight="1" x14ac:dyDescent="0.25"/>
    <row r="1083" ht="13.7" customHeight="1" x14ac:dyDescent="0.25"/>
    <row r="1084" ht="13.7" customHeight="1" x14ac:dyDescent="0.25"/>
    <row r="1085" ht="6.95" customHeight="1" x14ac:dyDescent="0.25"/>
    <row r="1086" ht="13.7" customHeight="1" x14ac:dyDescent="0.25"/>
    <row r="1087" ht="13.7" customHeight="1" x14ac:dyDescent="0.25"/>
    <row r="1088" ht="6.95" customHeight="1" x14ac:dyDescent="0.25"/>
    <row r="1089" ht="13.7" customHeight="1" x14ac:dyDescent="0.25"/>
    <row r="1090" ht="13.7" customHeight="1" x14ac:dyDescent="0.25"/>
    <row r="1091" ht="13.7" customHeight="1" x14ac:dyDescent="0.25"/>
    <row r="1092" ht="13.7" customHeight="1" x14ac:dyDescent="0.25"/>
    <row r="1093" ht="13.7" customHeight="1" x14ac:dyDescent="0.25"/>
    <row r="1094" ht="13.7" customHeight="1" x14ac:dyDescent="0.25"/>
    <row r="1095" ht="13.7" customHeight="1" x14ac:dyDescent="0.25"/>
    <row r="1096" ht="13.7" customHeight="1" x14ac:dyDescent="0.25"/>
    <row r="1097" ht="6.95" customHeight="1" x14ac:dyDescent="0.25"/>
    <row r="1098" ht="11.85" customHeight="1" x14ac:dyDescent="0.25"/>
    <row r="1099" ht="11.85" customHeight="1" x14ac:dyDescent="0.25"/>
    <row r="1100" ht="7.15" customHeight="1" x14ac:dyDescent="0.25"/>
    <row r="1101" ht="0.75" customHeight="1" x14ac:dyDescent="0.25"/>
    <row r="1102" ht="6.2" customHeight="1" x14ac:dyDescent="0.25"/>
    <row r="1103" ht="13.7" customHeight="1" x14ac:dyDescent="0.25"/>
    <row r="1104" ht="13.7" customHeight="1" x14ac:dyDescent="0.25"/>
    <row r="1105" ht="6.95" customHeight="1" x14ac:dyDescent="0.25"/>
    <row r="1106" ht="13.7" customHeight="1" x14ac:dyDescent="0.25"/>
    <row r="1107" ht="13.7" customHeight="1" x14ac:dyDescent="0.25"/>
    <row r="1108" ht="13.7" customHeight="1" x14ac:dyDescent="0.25"/>
    <row r="1109" ht="13.7" customHeight="1" x14ac:dyDescent="0.25"/>
    <row r="1110" ht="13.7" customHeight="1" x14ac:dyDescent="0.25"/>
    <row r="1111" ht="13.7" customHeight="1" x14ac:dyDescent="0.25"/>
    <row r="1112" ht="13.7" customHeight="1" x14ac:dyDescent="0.25"/>
    <row r="1113" ht="13.7" customHeight="1" x14ac:dyDescent="0.25"/>
    <row r="1114" ht="6.95" customHeight="1" x14ac:dyDescent="0.25"/>
    <row r="1115" ht="11.85" customHeight="1" x14ac:dyDescent="0.25"/>
    <row r="1116" ht="11.85" customHeight="1" x14ac:dyDescent="0.25"/>
    <row r="1117" ht="7.15" customHeight="1" x14ac:dyDescent="0.25"/>
    <row r="1118" ht="0.75" customHeight="1" x14ac:dyDescent="0.25"/>
    <row r="1119" ht="6.2" customHeight="1" x14ac:dyDescent="0.25"/>
    <row r="1120" ht="13.7" customHeight="1" x14ac:dyDescent="0.25"/>
    <row r="1121" ht="13.7" customHeight="1" x14ac:dyDescent="0.25"/>
    <row r="1122" ht="6.95" customHeight="1" x14ac:dyDescent="0.25"/>
    <row r="1123" ht="13.7" customHeight="1" x14ac:dyDescent="0.25"/>
    <row r="1124" ht="13.7" customHeight="1" x14ac:dyDescent="0.25"/>
    <row r="1125" ht="13.7" customHeight="1" x14ac:dyDescent="0.25"/>
    <row r="1126" ht="13.7" customHeight="1" x14ac:dyDescent="0.25"/>
    <row r="1127" ht="13.7" customHeight="1" x14ac:dyDescent="0.25"/>
    <row r="1128" ht="13.7" customHeight="1" x14ac:dyDescent="0.25"/>
    <row r="1129" ht="13.7" customHeight="1" x14ac:dyDescent="0.25"/>
    <row r="1130" ht="13.7" customHeight="1" x14ac:dyDescent="0.25"/>
    <row r="1131" ht="6.95" customHeight="1" x14ac:dyDescent="0.25"/>
    <row r="1132" ht="11.85" customHeight="1" x14ac:dyDescent="0.25"/>
    <row r="1133" ht="11.85" customHeight="1" x14ac:dyDescent="0.25"/>
    <row r="1134" ht="7.15" customHeight="1" x14ac:dyDescent="0.25"/>
    <row r="1135" ht="0.75" customHeight="1" x14ac:dyDescent="0.25"/>
    <row r="1136" ht="156.6" customHeight="1" x14ac:dyDescent="0.25"/>
    <row r="1137" ht="13.7" customHeight="1" x14ac:dyDescent="0.25"/>
    <row r="1138" ht="6.95" customHeight="1" x14ac:dyDescent="0.25"/>
    <row r="1139" ht="20.65" customHeight="1" x14ac:dyDescent="0.25"/>
    <row r="1140" ht="13.7" customHeight="1" x14ac:dyDescent="0.25"/>
    <row r="1141" ht="13.7" customHeight="1" x14ac:dyDescent="0.25"/>
    <row r="1142" ht="6.95" customHeight="1" x14ac:dyDescent="0.25"/>
    <row r="1143" ht="13.7" customHeight="1" x14ac:dyDescent="0.25"/>
    <row r="1144" ht="13.7" customHeight="1" x14ac:dyDescent="0.25"/>
    <row r="1145" ht="6.95" customHeight="1" x14ac:dyDescent="0.25"/>
    <row r="1146" ht="13.7" customHeight="1" x14ac:dyDescent="0.25"/>
    <row r="1147" ht="13.7" customHeight="1" x14ac:dyDescent="0.25"/>
    <row r="1148" ht="13.7" customHeight="1" x14ac:dyDescent="0.25"/>
    <row r="1149" ht="13.7" customHeight="1" x14ac:dyDescent="0.25"/>
    <row r="1150" ht="13.7" customHeight="1" x14ac:dyDescent="0.25"/>
    <row r="1151" ht="13.7" customHeight="1" x14ac:dyDescent="0.25"/>
    <row r="1152" ht="13.7" customHeight="1" x14ac:dyDescent="0.25"/>
    <row r="1153" ht="13.7" customHeight="1" x14ac:dyDescent="0.25"/>
    <row r="1154" ht="6.95" customHeight="1" x14ac:dyDescent="0.25"/>
    <row r="1155" ht="11.85" customHeight="1" x14ac:dyDescent="0.25"/>
    <row r="1156" ht="11.85" customHeight="1" x14ac:dyDescent="0.25"/>
    <row r="1157" ht="7.15" customHeight="1" x14ac:dyDescent="0.25"/>
    <row r="1158" ht="0.75" customHeight="1" x14ac:dyDescent="0.25"/>
    <row r="1159" ht="6.2" customHeight="1" x14ac:dyDescent="0.25"/>
    <row r="1160" ht="13.7" customHeight="1" x14ac:dyDescent="0.25"/>
    <row r="1161" ht="13.7" customHeight="1" x14ac:dyDescent="0.25"/>
    <row r="1162" ht="6.95" customHeight="1" x14ac:dyDescent="0.25"/>
    <row r="1163" ht="13.7" customHeight="1" x14ac:dyDescent="0.25"/>
    <row r="1164" ht="13.7" customHeight="1" x14ac:dyDescent="0.25"/>
    <row r="1165" ht="13.7" customHeight="1" x14ac:dyDescent="0.25"/>
    <row r="1166" ht="13.7" customHeight="1" x14ac:dyDescent="0.25"/>
    <row r="1167" ht="13.7" customHeight="1" x14ac:dyDescent="0.25"/>
    <row r="1168" ht="13.7" customHeight="1" x14ac:dyDescent="0.25"/>
    <row r="1169" ht="13.7" customHeight="1" x14ac:dyDescent="0.25"/>
    <row r="1170" ht="13.7" customHeight="1" x14ac:dyDescent="0.25"/>
    <row r="1171" ht="6.95" customHeight="1" x14ac:dyDescent="0.25"/>
    <row r="1172" ht="11.85" customHeight="1" x14ac:dyDescent="0.25"/>
    <row r="1173" ht="11.85" customHeight="1" x14ac:dyDescent="0.25"/>
    <row r="1174" ht="7.15" customHeight="1" x14ac:dyDescent="0.25"/>
    <row r="1175" ht="0.75" customHeight="1" x14ac:dyDescent="0.25"/>
    <row r="1176" ht="6.2" customHeight="1" x14ac:dyDescent="0.25"/>
    <row r="1177" ht="13.7" customHeight="1" x14ac:dyDescent="0.25"/>
    <row r="1178" ht="13.7" customHeight="1" x14ac:dyDescent="0.25"/>
    <row r="1179" ht="6.95" customHeight="1" x14ac:dyDescent="0.25"/>
    <row r="1180" ht="13.7" customHeight="1" x14ac:dyDescent="0.25"/>
    <row r="1181" ht="13.7" customHeight="1" x14ac:dyDescent="0.25"/>
    <row r="1182" ht="13.7" customHeight="1" x14ac:dyDescent="0.25"/>
    <row r="1183" ht="13.7" customHeight="1" x14ac:dyDescent="0.25"/>
    <row r="1184" ht="13.7" customHeight="1" x14ac:dyDescent="0.25"/>
    <row r="1185" ht="13.7" customHeight="1" x14ac:dyDescent="0.25"/>
    <row r="1186" ht="13.7" customHeight="1" x14ac:dyDescent="0.25"/>
    <row r="1187" ht="13.7" customHeight="1" x14ac:dyDescent="0.25"/>
    <row r="1188" ht="6.95" customHeight="1" x14ac:dyDescent="0.25"/>
    <row r="1189" ht="11.85" customHeight="1" x14ac:dyDescent="0.25"/>
    <row r="1190" ht="11.85" customHeight="1" x14ac:dyDescent="0.25"/>
    <row r="1191" ht="7.15" customHeight="1" x14ac:dyDescent="0.25"/>
    <row r="1192" ht="0.75" customHeight="1" x14ac:dyDescent="0.25"/>
    <row r="1193" ht="156.6" customHeight="1" x14ac:dyDescent="0.25"/>
    <row r="1194" ht="13.7" customHeight="1" x14ac:dyDescent="0.25"/>
    <row r="1195" ht="6.95" customHeight="1" x14ac:dyDescent="0.25"/>
    <row r="1196" ht="20.65" customHeight="1" x14ac:dyDescent="0.25"/>
    <row r="1197" ht="13.7" customHeight="1" x14ac:dyDescent="0.25"/>
    <row r="1198" ht="13.7" customHeight="1" x14ac:dyDescent="0.25"/>
    <row r="1199" ht="6.95" customHeight="1" x14ac:dyDescent="0.25"/>
    <row r="1200" ht="13.7" customHeight="1" x14ac:dyDescent="0.25"/>
    <row r="1201" ht="13.7" customHeight="1" x14ac:dyDescent="0.25"/>
    <row r="1202" ht="6.95" customHeight="1" x14ac:dyDescent="0.25"/>
    <row r="1203" ht="13.7" customHeight="1" x14ac:dyDescent="0.25"/>
    <row r="1204" ht="13.7" customHeight="1" x14ac:dyDescent="0.25"/>
    <row r="1205" ht="13.7" customHeight="1" x14ac:dyDescent="0.25"/>
    <row r="1206" ht="13.7" customHeight="1" x14ac:dyDescent="0.25"/>
    <row r="1207" ht="13.7" customHeight="1" x14ac:dyDescent="0.25"/>
    <row r="1208" ht="13.7" customHeight="1" x14ac:dyDescent="0.25"/>
    <row r="1209" ht="13.7" customHeight="1" x14ac:dyDescent="0.25"/>
    <row r="1210" ht="13.7" customHeight="1" x14ac:dyDescent="0.25"/>
    <row r="1211" ht="6.95" customHeight="1" x14ac:dyDescent="0.25"/>
    <row r="1212" ht="11.85" customHeight="1" x14ac:dyDescent="0.25"/>
    <row r="1213" ht="11.85" customHeight="1" x14ac:dyDescent="0.25"/>
    <row r="1214" ht="7.15" customHeight="1" x14ac:dyDescent="0.25"/>
    <row r="1215" ht="0.75" customHeight="1" x14ac:dyDescent="0.25"/>
    <row r="1216" ht="6.2" customHeight="1" x14ac:dyDescent="0.25"/>
    <row r="1217" ht="13.7" customHeight="1" x14ac:dyDescent="0.25"/>
    <row r="1218" ht="13.7" customHeight="1" x14ac:dyDescent="0.25"/>
    <row r="1219" ht="6.95" customHeight="1" x14ac:dyDescent="0.25"/>
    <row r="1220" ht="13.7" customHeight="1" x14ac:dyDescent="0.25"/>
    <row r="1221" ht="13.7" customHeight="1" x14ac:dyDescent="0.25"/>
    <row r="1222" ht="13.7" customHeight="1" x14ac:dyDescent="0.25"/>
    <row r="1223" ht="13.7" customHeight="1" x14ac:dyDescent="0.25"/>
    <row r="1224" ht="13.7" customHeight="1" x14ac:dyDescent="0.25"/>
    <row r="1225" ht="13.7" customHeight="1" x14ac:dyDescent="0.25"/>
    <row r="1226" ht="13.7" customHeight="1" x14ac:dyDescent="0.25"/>
    <row r="1227" ht="13.7" customHeight="1" x14ac:dyDescent="0.25"/>
    <row r="1228" ht="6.95" customHeight="1" x14ac:dyDescent="0.25"/>
    <row r="1229" ht="11.85" customHeight="1" x14ac:dyDescent="0.25"/>
    <row r="1230" ht="11.85" customHeight="1" x14ac:dyDescent="0.25"/>
    <row r="1231" ht="7.15" customHeight="1" x14ac:dyDescent="0.25"/>
    <row r="1232" ht="0.75" customHeight="1" x14ac:dyDescent="0.25"/>
    <row r="1233" ht="6.2" customHeight="1" x14ac:dyDescent="0.25"/>
    <row r="1234" ht="13.7" customHeight="1" x14ac:dyDescent="0.25"/>
    <row r="1235" ht="13.7" customHeight="1" x14ac:dyDescent="0.25"/>
    <row r="1236" ht="6.95" customHeight="1" x14ac:dyDescent="0.25"/>
    <row r="1237" ht="13.7" customHeight="1" x14ac:dyDescent="0.25"/>
    <row r="1238" ht="13.7" customHeight="1" x14ac:dyDescent="0.25"/>
    <row r="1239" ht="13.7" customHeight="1" x14ac:dyDescent="0.25"/>
    <row r="1240" ht="13.7" customHeight="1" x14ac:dyDescent="0.25"/>
    <row r="1241" ht="13.7" customHeight="1" x14ac:dyDescent="0.25"/>
    <row r="1242" ht="13.7" customHeight="1" x14ac:dyDescent="0.25"/>
    <row r="1243" ht="13.7" customHeight="1" x14ac:dyDescent="0.25"/>
    <row r="1244" ht="13.7" customHeight="1" x14ac:dyDescent="0.25"/>
    <row r="1245" ht="6.95" customHeight="1" x14ac:dyDescent="0.25"/>
    <row r="1246" ht="11.85" customHeight="1" x14ac:dyDescent="0.25"/>
    <row r="1247" ht="11.85" customHeight="1" x14ac:dyDescent="0.25"/>
    <row r="1248" ht="7.15" customHeight="1" x14ac:dyDescent="0.25"/>
    <row r="1249" ht="0.75" customHeight="1" x14ac:dyDescent="0.25"/>
    <row r="1250" ht="156.6" customHeight="1" x14ac:dyDescent="0.25"/>
    <row r="1251" ht="13.7" customHeight="1" x14ac:dyDescent="0.25"/>
    <row r="1252" ht="6.95" customHeight="1" x14ac:dyDescent="0.25"/>
    <row r="1253" ht="20.65" customHeight="1" x14ac:dyDescent="0.25"/>
    <row r="1254" ht="13.7" customHeight="1" x14ac:dyDescent="0.25"/>
    <row r="1255" ht="13.7" customHeight="1" x14ac:dyDescent="0.25"/>
    <row r="1256" ht="6.95" customHeight="1" x14ac:dyDescent="0.25"/>
    <row r="1257" ht="13.7" customHeight="1" x14ac:dyDescent="0.25"/>
    <row r="1258" ht="13.7" customHeight="1" x14ac:dyDescent="0.25"/>
    <row r="1259" ht="6.95" customHeight="1" x14ac:dyDescent="0.25"/>
    <row r="1260" ht="13.7" customHeight="1" x14ac:dyDescent="0.25"/>
    <row r="1261" ht="13.7" customHeight="1" x14ac:dyDescent="0.25"/>
    <row r="1262" ht="13.7" customHeight="1" x14ac:dyDescent="0.25"/>
    <row r="1263" ht="13.7" customHeight="1" x14ac:dyDescent="0.25"/>
    <row r="1264" ht="13.7" customHeight="1" x14ac:dyDescent="0.25"/>
    <row r="1265" ht="13.7" customHeight="1" x14ac:dyDescent="0.25"/>
    <row r="1266" ht="13.7" customHeight="1" x14ac:dyDescent="0.25"/>
    <row r="1267" ht="13.7" customHeight="1" x14ac:dyDescent="0.25"/>
    <row r="1268" ht="6.95" customHeight="1" x14ac:dyDescent="0.25"/>
    <row r="1269" ht="11.85" customHeight="1" x14ac:dyDescent="0.25"/>
    <row r="1270" ht="11.85" customHeight="1" x14ac:dyDescent="0.25"/>
    <row r="1271" ht="7.15" customHeight="1" x14ac:dyDescent="0.25"/>
    <row r="1272" ht="0.75" customHeight="1" x14ac:dyDescent="0.25"/>
    <row r="1273" ht="6.2" customHeight="1" x14ac:dyDescent="0.25"/>
    <row r="1274" ht="13.7" customHeight="1" x14ac:dyDescent="0.25"/>
    <row r="1275" ht="13.7" customHeight="1" x14ac:dyDescent="0.25"/>
    <row r="1276" ht="6.95" customHeight="1" x14ac:dyDescent="0.25"/>
    <row r="1277" ht="13.7" customHeight="1" x14ac:dyDescent="0.25"/>
    <row r="1278" ht="13.7" customHeight="1" x14ac:dyDescent="0.25"/>
    <row r="1279" ht="13.7" customHeight="1" x14ac:dyDescent="0.25"/>
    <row r="1280" ht="13.7" customHeight="1" x14ac:dyDescent="0.25"/>
    <row r="1281" ht="13.7" customHeight="1" x14ac:dyDescent="0.25"/>
    <row r="1282" ht="13.7" customHeight="1" x14ac:dyDescent="0.25"/>
    <row r="1283" ht="13.7" customHeight="1" x14ac:dyDescent="0.25"/>
    <row r="1284" ht="13.7" customHeight="1" x14ac:dyDescent="0.25"/>
    <row r="1285" ht="6.95" customHeight="1" x14ac:dyDescent="0.25"/>
    <row r="1286" ht="11.85" customHeight="1" x14ac:dyDescent="0.25"/>
    <row r="1287" ht="11.85" customHeight="1" x14ac:dyDescent="0.25"/>
    <row r="1288" ht="7.15" customHeight="1" x14ac:dyDescent="0.25"/>
    <row r="1289" ht="0.75" customHeight="1" x14ac:dyDescent="0.25"/>
    <row r="1290" ht="6.2" customHeight="1" x14ac:dyDescent="0.25"/>
    <row r="1291" ht="13.7" customHeight="1" x14ac:dyDescent="0.25"/>
    <row r="1292" ht="13.7" customHeight="1" x14ac:dyDescent="0.25"/>
    <row r="1293" ht="6.95" customHeight="1" x14ac:dyDescent="0.25"/>
    <row r="1294" ht="13.7" customHeight="1" x14ac:dyDescent="0.25"/>
    <row r="1295" ht="13.7" customHeight="1" x14ac:dyDescent="0.25"/>
    <row r="1296" ht="13.7" customHeight="1" x14ac:dyDescent="0.25"/>
    <row r="1297" ht="13.7" customHeight="1" x14ac:dyDescent="0.25"/>
    <row r="1298" ht="13.7" customHeight="1" x14ac:dyDescent="0.25"/>
    <row r="1299" ht="13.7" customHeight="1" x14ac:dyDescent="0.25"/>
    <row r="1300" ht="13.7" customHeight="1" x14ac:dyDescent="0.25"/>
    <row r="1301" ht="13.7" customHeight="1" x14ac:dyDescent="0.25"/>
    <row r="1302" ht="6.95" customHeight="1" x14ac:dyDescent="0.25"/>
    <row r="1303" ht="11.85" customHeight="1" x14ac:dyDescent="0.25"/>
    <row r="1304" ht="11.85" customHeight="1" x14ac:dyDescent="0.25"/>
    <row r="1305" ht="7.15" customHeight="1" x14ac:dyDescent="0.25"/>
    <row r="1306" ht="0.75" customHeight="1" x14ac:dyDescent="0.25"/>
    <row r="1307" ht="156.6" customHeight="1" x14ac:dyDescent="0.25"/>
    <row r="1308" ht="13.7" customHeight="1" x14ac:dyDescent="0.25"/>
    <row r="1309" ht="6.95" customHeight="1" x14ac:dyDescent="0.25"/>
    <row r="1310" ht="20.65" customHeight="1" x14ac:dyDescent="0.25"/>
    <row r="1311" ht="13.7" customHeight="1" x14ac:dyDescent="0.25"/>
    <row r="1312" ht="13.7" customHeight="1" x14ac:dyDescent="0.25"/>
    <row r="1313" ht="6.95" customHeight="1" x14ac:dyDescent="0.25"/>
    <row r="1314" ht="13.7" customHeight="1" x14ac:dyDescent="0.25"/>
    <row r="1315" ht="13.7" customHeight="1" x14ac:dyDescent="0.25"/>
    <row r="1316" ht="6.95" customHeight="1" x14ac:dyDescent="0.25"/>
    <row r="1317" ht="13.7" customHeight="1" x14ac:dyDescent="0.25"/>
    <row r="1318" ht="13.7" customHeight="1" x14ac:dyDescent="0.25"/>
    <row r="1319" ht="13.7" customHeight="1" x14ac:dyDescent="0.25"/>
    <row r="1320" ht="13.7" customHeight="1" x14ac:dyDescent="0.25"/>
    <row r="1321" ht="13.7" customHeight="1" x14ac:dyDescent="0.25"/>
    <row r="1322" ht="13.7" customHeight="1" x14ac:dyDescent="0.25"/>
    <row r="1323" ht="13.7" customHeight="1" x14ac:dyDescent="0.25"/>
    <row r="1324" ht="13.7" customHeight="1" x14ac:dyDescent="0.25"/>
    <row r="1325" ht="6.95" customHeight="1" x14ac:dyDescent="0.25"/>
    <row r="1326" ht="11.85" customHeight="1" x14ac:dyDescent="0.25"/>
    <row r="1327" ht="11.85" customHeight="1" x14ac:dyDescent="0.25"/>
    <row r="1328" ht="7.15" customHeight="1" x14ac:dyDescent="0.25"/>
    <row r="1329" ht="0.75" customHeight="1" x14ac:dyDescent="0.25"/>
    <row r="1330" ht="6.2" customHeight="1" x14ac:dyDescent="0.25"/>
    <row r="1331" ht="13.7" customHeight="1" x14ac:dyDescent="0.25"/>
    <row r="1332" ht="13.7" customHeight="1" x14ac:dyDescent="0.25"/>
    <row r="1333" ht="6.95" customHeight="1" x14ac:dyDescent="0.25"/>
    <row r="1334" ht="13.7" customHeight="1" x14ac:dyDescent="0.25"/>
    <row r="1335" ht="13.7" customHeight="1" x14ac:dyDescent="0.25"/>
    <row r="1336" ht="13.7" customHeight="1" x14ac:dyDescent="0.25"/>
    <row r="1337" ht="13.7" customHeight="1" x14ac:dyDescent="0.25"/>
    <row r="1338" ht="13.7" customHeight="1" x14ac:dyDescent="0.25"/>
    <row r="1339" ht="13.7" customHeight="1" x14ac:dyDescent="0.25"/>
    <row r="1340" ht="13.7" customHeight="1" x14ac:dyDescent="0.25"/>
    <row r="1341" ht="13.7" customHeight="1" x14ac:dyDescent="0.25"/>
    <row r="1342" ht="6.95" customHeight="1" x14ac:dyDescent="0.25"/>
    <row r="1343" ht="11.85" customHeight="1" x14ac:dyDescent="0.25"/>
    <row r="1344" ht="11.85" customHeight="1" x14ac:dyDescent="0.25"/>
    <row r="1345" ht="7.15" customHeight="1" x14ac:dyDescent="0.25"/>
    <row r="1346" ht="0.75" customHeight="1" x14ac:dyDescent="0.25"/>
    <row r="1347" ht="6.2" customHeight="1" x14ac:dyDescent="0.25"/>
    <row r="1348" ht="13.7" customHeight="1" x14ac:dyDescent="0.25"/>
    <row r="1349" ht="13.7" customHeight="1" x14ac:dyDescent="0.25"/>
    <row r="1350" ht="6.95" customHeight="1" x14ac:dyDescent="0.25"/>
    <row r="1351" ht="13.7" customHeight="1" x14ac:dyDescent="0.25"/>
    <row r="1352" ht="13.7" customHeight="1" x14ac:dyDescent="0.25"/>
    <row r="1353" ht="13.7" customHeight="1" x14ac:dyDescent="0.25"/>
    <row r="1354" ht="13.7" customHeight="1" x14ac:dyDescent="0.25"/>
    <row r="1355" ht="13.7" customHeight="1" x14ac:dyDescent="0.25"/>
    <row r="1356" ht="13.7" customHeight="1" x14ac:dyDescent="0.25"/>
    <row r="1357" ht="13.7" customHeight="1" x14ac:dyDescent="0.25"/>
    <row r="1358" ht="13.7" customHeight="1" x14ac:dyDescent="0.25"/>
    <row r="1359" ht="6.95" customHeight="1" x14ac:dyDescent="0.25"/>
    <row r="1360" ht="11.85" customHeight="1" x14ac:dyDescent="0.25"/>
    <row r="1361" ht="11.85" customHeight="1" x14ac:dyDescent="0.25"/>
    <row r="1362" ht="7.15" customHeight="1" x14ac:dyDescent="0.25"/>
    <row r="1363" ht="0.75" customHeight="1" x14ac:dyDescent="0.25"/>
    <row r="1364" ht="156.6" customHeight="1" x14ac:dyDescent="0.25"/>
    <row r="1365" ht="13.7" customHeight="1" x14ac:dyDescent="0.25"/>
    <row r="1366" ht="6.95" customHeight="1" x14ac:dyDescent="0.25"/>
    <row r="1367" ht="20.65" customHeight="1" x14ac:dyDescent="0.25"/>
    <row r="1368" ht="13.7" customHeight="1" x14ac:dyDescent="0.25"/>
    <row r="1369" ht="13.7" customHeight="1" x14ac:dyDescent="0.25"/>
    <row r="1370" ht="6.95" customHeight="1" x14ac:dyDescent="0.25"/>
    <row r="1371" ht="13.7" customHeight="1" x14ac:dyDescent="0.25"/>
    <row r="1372" ht="13.7" customHeight="1" x14ac:dyDescent="0.25"/>
    <row r="1373" ht="6.95" customHeight="1" x14ac:dyDescent="0.25"/>
    <row r="1374" ht="13.7" customHeight="1" x14ac:dyDescent="0.25"/>
    <row r="1375" ht="13.7" customHeight="1" x14ac:dyDescent="0.25"/>
    <row r="1376" ht="13.7" customHeight="1" x14ac:dyDescent="0.25"/>
    <row r="1377" ht="13.7" customHeight="1" x14ac:dyDescent="0.25"/>
    <row r="1378" ht="13.7" customHeight="1" x14ac:dyDescent="0.25"/>
    <row r="1379" ht="13.7" customHeight="1" x14ac:dyDescent="0.25"/>
    <row r="1380" ht="13.7" customHeight="1" x14ac:dyDescent="0.25"/>
    <row r="1381" ht="13.7" customHeight="1" x14ac:dyDescent="0.25"/>
    <row r="1382" ht="6.95" customHeight="1" x14ac:dyDescent="0.25"/>
    <row r="1383" ht="11.85" customHeight="1" x14ac:dyDescent="0.25"/>
    <row r="1384" ht="11.85" customHeight="1" x14ac:dyDescent="0.25"/>
    <row r="1385" ht="7.15" customHeight="1" x14ac:dyDescent="0.25"/>
    <row r="1386" ht="0.75" customHeight="1" x14ac:dyDescent="0.25"/>
    <row r="1387" ht="6.2" customHeight="1" x14ac:dyDescent="0.25"/>
    <row r="1388" ht="13.7" customHeight="1" x14ac:dyDescent="0.25"/>
    <row r="1389" ht="13.7" customHeight="1" x14ac:dyDescent="0.25"/>
    <row r="1390" ht="6.95" customHeight="1" x14ac:dyDescent="0.25"/>
    <row r="1391" ht="13.7" customHeight="1" x14ac:dyDescent="0.25"/>
    <row r="1392" ht="13.7" customHeight="1" x14ac:dyDescent="0.25"/>
    <row r="1393" ht="13.7" customHeight="1" x14ac:dyDescent="0.25"/>
    <row r="1394" ht="13.7" customHeight="1" x14ac:dyDescent="0.25"/>
    <row r="1395" ht="13.7" customHeight="1" x14ac:dyDescent="0.25"/>
    <row r="1396" ht="13.7" customHeight="1" x14ac:dyDescent="0.25"/>
    <row r="1397" ht="13.7" customHeight="1" x14ac:dyDescent="0.25"/>
    <row r="1398" ht="13.7" customHeight="1" x14ac:dyDescent="0.25"/>
    <row r="1399" ht="6.95" customHeight="1" x14ac:dyDescent="0.25"/>
    <row r="1400" ht="11.85" customHeight="1" x14ac:dyDescent="0.25"/>
    <row r="1401" ht="11.85" customHeight="1" x14ac:dyDescent="0.25"/>
    <row r="1402" ht="7.15" customHeight="1" x14ac:dyDescent="0.25"/>
    <row r="1403" ht="0.75" customHeight="1" x14ac:dyDescent="0.25"/>
    <row r="1404" ht="6.2" customHeight="1" x14ac:dyDescent="0.25"/>
    <row r="1405" ht="13.7" customHeight="1" x14ac:dyDescent="0.25"/>
    <row r="1406" ht="13.7" customHeight="1" x14ac:dyDescent="0.25"/>
    <row r="1407" ht="6.95" customHeight="1" x14ac:dyDescent="0.25"/>
    <row r="1408" ht="13.7" customHeight="1" x14ac:dyDescent="0.25"/>
    <row r="1409" ht="13.7" customHeight="1" x14ac:dyDescent="0.25"/>
    <row r="1410" ht="13.7" customHeight="1" x14ac:dyDescent="0.25"/>
    <row r="1411" ht="13.7" customHeight="1" x14ac:dyDescent="0.25"/>
    <row r="1412" ht="13.7" customHeight="1" x14ac:dyDescent="0.25"/>
    <row r="1413" ht="13.7" customHeight="1" x14ac:dyDescent="0.25"/>
    <row r="1414" ht="13.7" customHeight="1" x14ac:dyDescent="0.25"/>
    <row r="1415" ht="13.7" customHeight="1" x14ac:dyDescent="0.25"/>
    <row r="1416" ht="6.95" customHeight="1" x14ac:dyDescent="0.25"/>
    <row r="1417" ht="11.85" customHeight="1" x14ac:dyDescent="0.25"/>
    <row r="1418" ht="11.85" customHeight="1" x14ac:dyDescent="0.25"/>
    <row r="1419" ht="7.15" customHeight="1" x14ac:dyDescent="0.25"/>
    <row r="1420" ht="0.75" customHeight="1" x14ac:dyDescent="0.25"/>
    <row r="1421" ht="156.6" customHeight="1" x14ac:dyDescent="0.25"/>
    <row r="1422" ht="13.7" customHeight="1" x14ac:dyDescent="0.25"/>
    <row r="1423" ht="6.95" customHeight="1" x14ac:dyDescent="0.25"/>
    <row r="1424" ht="20.65" customHeight="1" x14ac:dyDescent="0.25"/>
    <row r="1425" ht="13.7" customHeight="1" x14ac:dyDescent="0.25"/>
    <row r="1426" ht="13.7" customHeight="1" x14ac:dyDescent="0.25"/>
    <row r="1427" ht="6.95" customHeight="1" x14ac:dyDescent="0.25"/>
    <row r="1428" ht="13.7" customHeight="1" x14ac:dyDescent="0.25"/>
    <row r="1429" ht="13.7" customHeight="1" x14ac:dyDescent="0.25"/>
    <row r="1430" ht="6.95" customHeight="1" x14ac:dyDescent="0.25"/>
    <row r="1431" ht="13.7" customHeight="1" x14ac:dyDescent="0.25"/>
    <row r="1432" ht="13.7" customHeight="1" x14ac:dyDescent="0.25"/>
    <row r="1433" ht="13.7" customHeight="1" x14ac:dyDescent="0.25"/>
    <row r="1434" ht="13.7" customHeight="1" x14ac:dyDescent="0.25"/>
    <row r="1435" ht="13.7" customHeight="1" x14ac:dyDescent="0.25"/>
    <row r="1436" ht="13.7" customHeight="1" x14ac:dyDescent="0.25"/>
    <row r="1437" ht="13.7" customHeight="1" x14ac:dyDescent="0.25"/>
    <row r="1438" ht="13.7" customHeight="1" x14ac:dyDescent="0.25"/>
    <row r="1439" ht="6.95" customHeight="1" x14ac:dyDescent="0.25"/>
    <row r="1440" ht="11.85" customHeight="1" x14ac:dyDescent="0.25"/>
    <row r="1441" ht="11.85" customHeight="1" x14ac:dyDescent="0.25"/>
    <row r="1442" ht="7.15" customHeight="1" x14ac:dyDescent="0.25"/>
    <row r="1443" ht="0.75" customHeight="1" x14ac:dyDescent="0.25"/>
    <row r="1444" ht="6.2" customHeight="1" x14ac:dyDescent="0.25"/>
    <row r="1445" ht="13.7" customHeight="1" x14ac:dyDescent="0.25"/>
    <row r="1446" ht="13.7" customHeight="1" x14ac:dyDescent="0.25"/>
    <row r="1447" ht="6.95" customHeight="1" x14ac:dyDescent="0.25"/>
    <row r="1448" ht="13.7" customHeight="1" x14ac:dyDescent="0.25"/>
    <row r="1449" ht="13.7" customHeight="1" x14ac:dyDescent="0.25"/>
    <row r="1450" ht="13.7" customHeight="1" x14ac:dyDescent="0.25"/>
    <row r="1451" ht="13.7" customHeight="1" x14ac:dyDescent="0.25"/>
    <row r="1452" ht="13.7" customHeight="1" x14ac:dyDescent="0.25"/>
    <row r="1453" ht="13.7" customHeight="1" x14ac:dyDescent="0.25"/>
    <row r="1454" ht="13.7" customHeight="1" x14ac:dyDescent="0.25"/>
    <row r="1455" ht="13.7" customHeight="1" x14ac:dyDescent="0.25"/>
    <row r="1456" ht="6.95" customHeight="1" x14ac:dyDescent="0.25"/>
    <row r="1457" ht="11.85" customHeight="1" x14ac:dyDescent="0.25"/>
    <row r="1458" ht="11.85" customHeight="1" x14ac:dyDescent="0.25"/>
    <row r="1459" ht="7.15" customHeight="1" x14ac:dyDescent="0.25"/>
    <row r="1460" ht="0.75" customHeight="1" x14ac:dyDescent="0.25"/>
    <row r="1461" ht="6.2" customHeight="1" x14ac:dyDescent="0.25"/>
    <row r="1462" ht="13.7" customHeight="1" x14ac:dyDescent="0.25"/>
    <row r="1463" ht="13.7" customHeight="1" x14ac:dyDescent="0.25"/>
    <row r="1464" ht="6.95" customHeight="1" x14ac:dyDescent="0.25"/>
    <row r="1465" ht="13.7" customHeight="1" x14ac:dyDescent="0.25"/>
    <row r="1466" ht="13.7" customHeight="1" x14ac:dyDescent="0.25"/>
    <row r="1467" ht="13.7" customHeight="1" x14ac:dyDescent="0.25"/>
    <row r="1468" ht="13.7" customHeight="1" x14ac:dyDescent="0.25"/>
    <row r="1469" ht="13.7" customHeight="1" x14ac:dyDescent="0.25"/>
    <row r="1470" ht="13.7" customHeight="1" x14ac:dyDescent="0.25"/>
    <row r="1471" ht="13.7" customHeight="1" x14ac:dyDescent="0.25"/>
    <row r="1472" ht="13.7" customHeight="1" x14ac:dyDescent="0.25"/>
    <row r="1473" ht="6.95" customHeight="1" x14ac:dyDescent="0.25"/>
    <row r="1474" ht="11.85" customHeight="1" x14ac:dyDescent="0.25"/>
    <row r="1475" ht="11.85" customHeight="1" x14ac:dyDescent="0.25"/>
    <row r="1476" ht="7.15" customHeight="1" x14ac:dyDescent="0.25"/>
    <row r="1477" ht="0.75" customHeight="1" x14ac:dyDescent="0.25"/>
    <row r="1478" ht="156.6" customHeight="1" x14ac:dyDescent="0.25"/>
    <row r="1479" ht="13.7" customHeight="1" x14ac:dyDescent="0.25"/>
    <row r="1480" ht="6.95" customHeight="1" x14ac:dyDescent="0.25"/>
    <row r="1481" ht="20.65" customHeight="1" x14ac:dyDescent="0.25"/>
    <row r="1482" ht="13.7" customHeight="1" x14ac:dyDescent="0.25"/>
    <row r="1483" ht="13.7" customHeight="1" x14ac:dyDescent="0.25"/>
    <row r="1484" ht="6.95" customHeight="1" x14ac:dyDescent="0.25"/>
    <row r="1485" ht="13.7" customHeight="1" x14ac:dyDescent="0.25"/>
    <row r="1486" ht="13.7" customHeight="1" x14ac:dyDescent="0.25"/>
    <row r="1487" ht="6.95" customHeight="1" x14ac:dyDescent="0.25"/>
    <row r="1488" ht="13.7" customHeight="1" x14ac:dyDescent="0.25"/>
    <row r="1489" ht="13.7" customHeight="1" x14ac:dyDescent="0.25"/>
    <row r="1490" ht="13.7" customHeight="1" x14ac:dyDescent="0.25"/>
    <row r="1491" ht="13.7" customHeight="1" x14ac:dyDescent="0.25"/>
    <row r="1492" ht="13.7" customHeight="1" x14ac:dyDescent="0.25"/>
    <row r="1493" ht="13.7" customHeight="1" x14ac:dyDescent="0.25"/>
    <row r="1494" ht="13.7" customHeight="1" x14ac:dyDescent="0.25"/>
    <row r="1495" ht="13.7" customHeight="1" x14ac:dyDescent="0.25"/>
    <row r="1496" ht="6.95" customHeight="1" x14ac:dyDescent="0.25"/>
    <row r="1497" ht="11.85" customHeight="1" x14ac:dyDescent="0.25"/>
    <row r="1498" ht="11.85" customHeight="1" x14ac:dyDescent="0.25"/>
    <row r="1499" ht="7.15" customHeight="1" x14ac:dyDescent="0.25"/>
    <row r="1500" ht="0.75" customHeight="1" x14ac:dyDescent="0.25"/>
    <row r="1501" ht="6.2" customHeight="1" x14ac:dyDescent="0.25"/>
    <row r="1502" ht="13.7" customHeight="1" x14ac:dyDescent="0.25"/>
    <row r="1503" ht="13.7" customHeight="1" x14ac:dyDescent="0.25"/>
    <row r="1504" ht="6.95" customHeight="1" x14ac:dyDescent="0.25"/>
    <row r="1505" ht="13.7" customHeight="1" x14ac:dyDescent="0.25"/>
    <row r="1506" ht="13.7" customHeight="1" x14ac:dyDescent="0.25"/>
    <row r="1507" ht="13.7" customHeight="1" x14ac:dyDescent="0.25"/>
    <row r="1508" ht="13.7" customHeight="1" x14ac:dyDescent="0.25"/>
    <row r="1509" ht="13.7" customHeight="1" x14ac:dyDescent="0.25"/>
    <row r="1510" ht="13.7" customHeight="1" x14ac:dyDescent="0.25"/>
    <row r="1511" ht="13.7" customHeight="1" x14ac:dyDescent="0.25"/>
    <row r="1512" ht="13.7" customHeight="1" x14ac:dyDescent="0.25"/>
    <row r="1513" ht="6.95" customHeight="1" x14ac:dyDescent="0.25"/>
    <row r="1514" ht="11.85" customHeight="1" x14ac:dyDescent="0.25"/>
    <row r="1515" ht="11.85" customHeight="1" x14ac:dyDescent="0.25"/>
    <row r="1516" ht="7.15" customHeight="1" x14ac:dyDescent="0.25"/>
    <row r="1517" ht="0.75" customHeight="1" x14ac:dyDescent="0.25"/>
    <row r="1518" ht="6.2" customHeight="1" x14ac:dyDescent="0.25"/>
    <row r="1519" ht="13.7" customHeight="1" x14ac:dyDescent="0.25"/>
    <row r="1520" ht="13.7" customHeight="1" x14ac:dyDescent="0.25"/>
    <row r="1521" ht="6.95" customHeight="1" x14ac:dyDescent="0.25"/>
    <row r="1522" ht="13.7" customHeight="1" x14ac:dyDescent="0.25"/>
    <row r="1523" ht="13.7" customHeight="1" x14ac:dyDescent="0.25"/>
    <row r="1524" ht="13.7" customHeight="1" x14ac:dyDescent="0.25"/>
    <row r="1525" ht="13.7" customHeight="1" x14ac:dyDescent="0.25"/>
    <row r="1526" ht="13.7" customHeight="1" x14ac:dyDescent="0.25"/>
    <row r="1527" ht="13.7" customHeight="1" x14ac:dyDescent="0.25"/>
    <row r="1528" ht="13.7" customHeight="1" x14ac:dyDescent="0.25"/>
    <row r="1529" ht="13.7" customHeight="1" x14ac:dyDescent="0.25"/>
    <row r="1530" ht="6.95" customHeight="1" x14ac:dyDescent="0.25"/>
    <row r="1531" ht="11.85" customHeight="1" x14ac:dyDescent="0.25"/>
    <row r="1532" ht="11.85" customHeight="1" x14ac:dyDescent="0.25"/>
    <row r="1533" ht="7.15" customHeight="1" x14ac:dyDescent="0.25"/>
    <row r="1534" ht="0.75" customHeight="1" x14ac:dyDescent="0.25"/>
    <row r="1535" ht="156.6" customHeight="1" x14ac:dyDescent="0.25"/>
    <row r="1536" ht="13.7" customHeight="1" x14ac:dyDescent="0.25"/>
    <row r="1537" ht="6.95" customHeight="1" x14ac:dyDescent="0.25"/>
    <row r="1538" ht="20.65" customHeight="1" x14ac:dyDescent="0.25"/>
    <row r="1539" ht="13.7" customHeight="1" x14ac:dyDescent="0.25"/>
    <row r="1540" ht="13.7" customHeight="1" x14ac:dyDescent="0.25"/>
    <row r="1541" ht="6.95" customHeight="1" x14ac:dyDescent="0.25"/>
    <row r="1542" ht="13.7" customHeight="1" x14ac:dyDescent="0.25"/>
    <row r="1543" ht="13.7" customHeight="1" x14ac:dyDescent="0.25"/>
    <row r="1544" ht="6.95" customHeight="1" x14ac:dyDescent="0.25"/>
    <row r="1545" ht="13.7" customHeight="1" x14ac:dyDescent="0.25"/>
    <row r="1546" ht="13.7" customHeight="1" x14ac:dyDescent="0.25"/>
    <row r="1547" ht="13.7" customHeight="1" x14ac:dyDescent="0.25"/>
    <row r="1548" ht="13.7" customHeight="1" x14ac:dyDescent="0.25"/>
    <row r="1549" ht="13.7" customHeight="1" x14ac:dyDescent="0.25"/>
    <row r="1550" ht="13.7" customHeight="1" x14ac:dyDescent="0.25"/>
    <row r="1551" ht="13.7" customHeight="1" x14ac:dyDescent="0.25"/>
    <row r="1552" ht="13.7" customHeight="1" x14ac:dyDescent="0.25"/>
    <row r="1553" ht="6.95" customHeight="1" x14ac:dyDescent="0.25"/>
    <row r="1554" ht="11.85" customHeight="1" x14ac:dyDescent="0.25"/>
    <row r="1555" ht="11.85" customHeight="1" x14ac:dyDescent="0.25"/>
    <row r="1556" ht="7.15" customHeight="1" x14ac:dyDescent="0.25"/>
    <row r="1557" ht="0.75" customHeight="1" x14ac:dyDescent="0.25"/>
    <row r="1558" ht="6.2" customHeight="1" x14ac:dyDescent="0.25"/>
    <row r="1559" ht="13.7" customHeight="1" x14ac:dyDescent="0.25"/>
    <row r="1560" ht="13.7" customHeight="1" x14ac:dyDescent="0.25"/>
    <row r="1561" ht="6.95" customHeight="1" x14ac:dyDescent="0.25"/>
    <row r="1562" ht="13.7" customHeight="1" x14ac:dyDescent="0.25"/>
    <row r="1563" ht="13.7" customHeight="1" x14ac:dyDescent="0.25"/>
    <row r="1564" ht="13.7" customHeight="1" x14ac:dyDescent="0.25"/>
    <row r="1565" ht="13.7" customHeight="1" x14ac:dyDescent="0.25"/>
    <row r="1566" ht="13.7" customHeight="1" x14ac:dyDescent="0.25"/>
    <row r="1567" ht="13.7" customHeight="1" x14ac:dyDescent="0.25"/>
    <row r="1568" ht="13.7" customHeight="1" x14ac:dyDescent="0.25"/>
    <row r="1569" ht="13.7" customHeight="1" x14ac:dyDescent="0.25"/>
    <row r="1570" ht="6.95" customHeight="1" x14ac:dyDescent="0.25"/>
    <row r="1571" ht="11.85" customHeight="1" x14ac:dyDescent="0.25"/>
    <row r="1572" ht="11.85" customHeight="1" x14ac:dyDescent="0.25"/>
    <row r="1573" ht="7.15" customHeight="1" x14ac:dyDescent="0.25"/>
    <row r="1574" ht="0.75" customHeight="1" x14ac:dyDescent="0.25"/>
    <row r="1575" ht="6.2" customHeight="1" x14ac:dyDescent="0.25"/>
    <row r="1576" ht="13.7" customHeight="1" x14ac:dyDescent="0.25"/>
    <row r="1577" ht="13.7" customHeight="1" x14ac:dyDescent="0.25"/>
    <row r="1578" ht="6.95" customHeight="1" x14ac:dyDescent="0.25"/>
    <row r="1579" ht="13.7" customHeight="1" x14ac:dyDescent="0.25"/>
    <row r="1580" ht="13.7" customHeight="1" x14ac:dyDescent="0.25"/>
    <row r="1581" ht="13.7" customHeight="1" x14ac:dyDescent="0.25"/>
    <row r="1582" ht="13.7" customHeight="1" x14ac:dyDescent="0.25"/>
    <row r="1583" ht="13.7" customHeight="1" x14ac:dyDescent="0.25"/>
    <row r="1584" ht="13.7" customHeight="1" x14ac:dyDescent="0.25"/>
    <row r="1585" ht="13.7" customHeight="1" x14ac:dyDescent="0.25"/>
    <row r="1586" ht="13.7" customHeight="1" x14ac:dyDescent="0.25"/>
    <row r="1587" ht="6.95" customHeight="1" x14ac:dyDescent="0.25"/>
    <row r="1588" ht="11.85" customHeight="1" x14ac:dyDescent="0.25"/>
    <row r="1589" ht="11.85" customHeight="1" x14ac:dyDescent="0.25"/>
    <row r="1590" ht="7.15" customHeight="1" x14ac:dyDescent="0.25"/>
    <row r="1591" ht="0.75" customHeight="1" x14ac:dyDescent="0.25"/>
    <row r="1592" ht="156.6" customHeight="1" x14ac:dyDescent="0.25"/>
    <row r="1593" ht="13.7" customHeight="1" x14ac:dyDescent="0.25"/>
    <row r="1594" ht="6.95" customHeight="1" x14ac:dyDescent="0.25"/>
    <row r="1595" ht="20.65" customHeight="1" x14ac:dyDescent="0.25"/>
    <row r="1596" ht="13.7" customHeight="1" x14ac:dyDescent="0.25"/>
    <row r="1597" ht="13.7" customHeight="1" x14ac:dyDescent="0.25"/>
    <row r="1598" ht="6.95" customHeight="1" x14ac:dyDescent="0.25"/>
    <row r="1599" ht="13.7" customHeight="1" x14ac:dyDescent="0.25"/>
    <row r="1600" ht="13.7" customHeight="1" x14ac:dyDescent="0.25"/>
    <row r="1601" ht="6.95" customHeight="1" x14ac:dyDescent="0.25"/>
    <row r="1602" ht="13.7" customHeight="1" x14ac:dyDescent="0.25"/>
    <row r="1603" ht="13.7" customHeight="1" x14ac:dyDescent="0.25"/>
    <row r="1604" ht="13.7" customHeight="1" x14ac:dyDescent="0.25"/>
    <row r="1605" ht="13.7" customHeight="1" x14ac:dyDescent="0.25"/>
    <row r="1606" ht="13.7" customHeight="1" x14ac:dyDescent="0.25"/>
    <row r="1607" ht="13.7" customHeight="1" x14ac:dyDescent="0.25"/>
    <row r="1608" ht="13.7" customHeight="1" x14ac:dyDescent="0.25"/>
    <row r="1609" ht="13.7" customHeight="1" x14ac:dyDescent="0.25"/>
    <row r="1610" ht="6.95" customHeight="1" x14ac:dyDescent="0.25"/>
    <row r="1611" ht="11.85" customHeight="1" x14ac:dyDescent="0.25"/>
    <row r="1612" ht="11.85" customHeight="1" x14ac:dyDescent="0.25"/>
    <row r="1613" ht="7.15" customHeight="1" x14ac:dyDescent="0.25"/>
    <row r="1614" ht="0.75" customHeight="1" x14ac:dyDescent="0.25"/>
    <row r="1615" ht="409.15" customHeight="1" x14ac:dyDescent="0.25"/>
    <row r="1616" ht="124.9" customHeight="1" x14ac:dyDescent="0.25"/>
    <row r="1617" ht="13.7" customHeight="1" x14ac:dyDescent="0.25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anquishOutput">
    <tabColor theme="0" tint="-0.14999847407452621"/>
  </sheetPr>
  <dimension ref="A1:Q70"/>
  <sheetViews>
    <sheetView workbookViewId="0">
      <selection activeCell="F15" sqref="F15"/>
    </sheetView>
  </sheetViews>
  <sheetFormatPr defaultRowHeight="15" x14ac:dyDescent="0.25"/>
  <cols>
    <col min="1" max="1" width="16.5703125" bestFit="1" customWidth="1"/>
    <col min="2" max="2" width="14.85546875" bestFit="1" customWidth="1"/>
    <col min="3" max="3" width="22" bestFit="1" customWidth="1"/>
    <col min="4" max="4" width="10.7109375" style="19" bestFit="1" customWidth="1"/>
    <col min="5" max="5" width="8.140625" bestFit="1" customWidth="1"/>
    <col min="6" max="6" width="9.85546875" bestFit="1" customWidth="1"/>
    <col min="7" max="7" width="11.42578125" bestFit="1" customWidth="1"/>
    <col min="8" max="8" width="9.85546875" bestFit="1" customWidth="1"/>
    <col min="9" max="9" width="11.42578125" bestFit="1" customWidth="1"/>
    <col min="10" max="16" width="8.85546875" hidden="1" customWidth="1"/>
  </cols>
  <sheetData>
    <row r="1" spans="1:17" x14ac:dyDescent="0.25">
      <c r="A1" s="2" t="s">
        <v>53</v>
      </c>
      <c r="B1" s="2" t="s">
        <v>9</v>
      </c>
      <c r="C1" s="2" t="s">
        <v>10</v>
      </c>
      <c r="D1" s="165" t="s">
        <v>11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  <c r="J1" s="50" t="s">
        <v>74</v>
      </c>
      <c r="K1" s="50" t="s">
        <v>75</v>
      </c>
      <c r="L1" s="50" t="s">
        <v>76</v>
      </c>
      <c r="M1" s="50" t="s">
        <v>77</v>
      </c>
      <c r="N1" s="50" t="s">
        <v>78</v>
      </c>
      <c r="O1" s="50" t="s">
        <v>79</v>
      </c>
      <c r="P1" s="50" t="s">
        <v>80</v>
      </c>
      <c r="Q1" s="50" t="s">
        <v>81</v>
      </c>
    </row>
    <row r="2" spans="1:17" x14ac:dyDescent="0.25">
      <c r="A2" t="str">
        <f t="shared" ref="A2:A65" si="0">B2 &amp; "-"  &amp; D2</f>
        <v>-</v>
      </c>
      <c r="B2" s="1"/>
      <c r="C2" s="1"/>
      <c r="D2" s="49"/>
      <c r="E2" s="3"/>
      <c r="F2" s="3"/>
      <c r="G2" s="3"/>
      <c r="H2" s="3"/>
      <c r="I2" s="3"/>
      <c r="J2">
        <f>IF(ISERROR(VLOOKUP(A2,Sunday!AE:AE,1,0)),0,1)</f>
        <v>0</v>
      </c>
      <c r="K2">
        <f>IF(ISERROR(VLOOKUP(A2,Monday!AE:AE,1,0)),0,1)</f>
        <v>0</v>
      </c>
      <c r="L2">
        <f>IF(ISERROR(VLOOKUP(A2,Tuesday!AE:AE,1,0)),0,1)</f>
        <v>0</v>
      </c>
      <c r="M2">
        <f>IF(ISERROR(VLOOKUP(A2,Wednesday!AE:AE,1,0)),0,1)</f>
        <v>0</v>
      </c>
      <c r="N2">
        <f>IF(ISERROR(VLOOKUP(A2,Thursday!AE:AE,1,0)),0,1)</f>
        <v>0</v>
      </c>
      <c r="O2">
        <f>IF(ISERROR(VLOOKUP(A2,Friday!AE:AE,1,0)),0,1)</f>
        <v>0</v>
      </c>
      <c r="P2">
        <f>IF(ISERROR(VLOOKUP(A2,Saturday!AE:AE,1,0)),0,1)</f>
        <v>0</v>
      </c>
      <c r="Q2" t="b">
        <f t="shared" ref="Q2:Q62" si="1">IF(SUM(J2:P2)=1,TRUE,FALSE)</f>
        <v>0</v>
      </c>
    </row>
    <row r="3" spans="1:17" x14ac:dyDescent="0.25">
      <c r="A3" t="str">
        <f t="shared" si="0"/>
        <v>-</v>
      </c>
      <c r="B3" s="1"/>
      <c r="C3" s="1"/>
      <c r="D3" s="49"/>
      <c r="E3" s="3"/>
      <c r="F3" s="3"/>
      <c r="G3" s="3"/>
      <c r="H3" s="3"/>
      <c r="I3" s="3"/>
      <c r="J3">
        <f>IF(ISERROR(VLOOKUP(A3,Sunday!AE:AE,1,0)),0,1)</f>
        <v>0</v>
      </c>
      <c r="K3">
        <f>IF(ISERROR(VLOOKUP(A3,Monday!AE:AE,1,0)),0,1)</f>
        <v>0</v>
      </c>
      <c r="L3">
        <f>IF(ISERROR(VLOOKUP(A3,Tuesday!AE:AE,1,0)),0,1)</f>
        <v>0</v>
      </c>
      <c r="M3">
        <f>IF(ISERROR(VLOOKUP(A3,Wednesday!AE:AE,1,0)),0,1)</f>
        <v>0</v>
      </c>
      <c r="N3">
        <f>IF(ISERROR(VLOOKUP(A3,Thursday!AE:AE,1,0)),0,1)</f>
        <v>0</v>
      </c>
      <c r="O3">
        <f>IF(ISERROR(VLOOKUP(A3,Friday!AE:AE,1,0)),0,1)</f>
        <v>0</v>
      </c>
      <c r="P3">
        <f>IF(ISERROR(VLOOKUP(A3,Saturday!AE:AE,1,0)),0,1)</f>
        <v>0</v>
      </c>
      <c r="Q3" t="b">
        <f t="shared" si="1"/>
        <v>0</v>
      </c>
    </row>
    <row r="4" spans="1:17" x14ac:dyDescent="0.25">
      <c r="A4" t="str">
        <f t="shared" si="0"/>
        <v>-</v>
      </c>
      <c r="B4" s="1"/>
      <c r="C4" s="1"/>
      <c r="D4" s="49"/>
      <c r="E4" s="3"/>
      <c r="F4" s="3"/>
      <c r="G4" s="3"/>
      <c r="H4" s="3"/>
      <c r="I4" s="3"/>
      <c r="J4">
        <f>IF(ISERROR(VLOOKUP(A4,Sunday!AE:AE,1,0)),0,1)</f>
        <v>0</v>
      </c>
      <c r="K4">
        <f>IF(ISERROR(VLOOKUP(A4,Monday!AE:AE,1,0)),0,1)</f>
        <v>0</v>
      </c>
      <c r="L4">
        <f>IF(ISERROR(VLOOKUP(A4,Tuesday!AE:AE,1,0)),0,1)</f>
        <v>0</v>
      </c>
      <c r="M4">
        <f>IF(ISERROR(VLOOKUP(A4,Wednesday!AE:AE,1,0)),0,1)</f>
        <v>0</v>
      </c>
      <c r="N4">
        <f>IF(ISERROR(VLOOKUP(A4,Thursday!AE:AE,1,0)),0,1)</f>
        <v>0</v>
      </c>
      <c r="O4">
        <f>IF(ISERROR(VLOOKUP(A4,Friday!AE:AE,1,0)),0,1)</f>
        <v>0</v>
      </c>
      <c r="P4">
        <f>IF(ISERROR(VLOOKUP(A4,Saturday!AE:AE,1,0)),0,1)</f>
        <v>0</v>
      </c>
      <c r="Q4" t="b">
        <f t="shared" si="1"/>
        <v>0</v>
      </c>
    </row>
    <row r="5" spans="1:17" x14ac:dyDescent="0.25">
      <c r="A5" t="str">
        <f t="shared" si="0"/>
        <v>-</v>
      </c>
      <c r="B5" s="1"/>
      <c r="C5" s="1"/>
      <c r="D5" s="49"/>
      <c r="E5" s="3"/>
      <c r="F5" s="3"/>
      <c r="G5" s="3"/>
      <c r="H5" s="3"/>
      <c r="I5" s="3"/>
      <c r="J5">
        <f>IF(ISERROR(VLOOKUP(A5,Sunday!AE:AE,1,0)),0,1)</f>
        <v>0</v>
      </c>
      <c r="K5">
        <f>IF(ISERROR(VLOOKUP(A5,Monday!AE:AE,1,0)),0,1)</f>
        <v>0</v>
      </c>
      <c r="L5">
        <f>IF(ISERROR(VLOOKUP(A5,Tuesday!AE:AE,1,0)),0,1)</f>
        <v>0</v>
      </c>
      <c r="M5">
        <f>IF(ISERROR(VLOOKUP(A5,Wednesday!AE:AE,1,0)),0,1)</f>
        <v>0</v>
      </c>
      <c r="N5">
        <f>IF(ISERROR(VLOOKUP(A5,Thursday!AE:AE,1,0)),0,1)</f>
        <v>0</v>
      </c>
      <c r="O5">
        <f>IF(ISERROR(VLOOKUP(A5,Friday!AE:AE,1,0)),0,1)</f>
        <v>0</v>
      </c>
      <c r="P5">
        <f>IF(ISERROR(VLOOKUP(A5,Saturday!AE:AE,1,0)),0,1)</f>
        <v>0</v>
      </c>
      <c r="Q5" t="b">
        <f t="shared" si="1"/>
        <v>0</v>
      </c>
    </row>
    <row r="6" spans="1:17" x14ac:dyDescent="0.25">
      <c r="A6" t="str">
        <f t="shared" si="0"/>
        <v>-</v>
      </c>
      <c r="B6" s="1"/>
      <c r="C6" s="1"/>
      <c r="D6" s="49"/>
      <c r="E6" s="3"/>
      <c r="F6" s="3"/>
      <c r="G6" s="3"/>
      <c r="H6" s="3"/>
      <c r="I6" s="3"/>
      <c r="J6">
        <f>IF(ISERROR(VLOOKUP(A6,Sunday!AE:AE,1,0)),0,1)</f>
        <v>0</v>
      </c>
      <c r="K6">
        <f>IF(ISERROR(VLOOKUP(A6,Monday!AE:AE,1,0)),0,1)</f>
        <v>0</v>
      </c>
      <c r="L6">
        <f>IF(ISERROR(VLOOKUP(A6,Tuesday!AE:AE,1,0)),0,1)</f>
        <v>0</v>
      </c>
      <c r="M6">
        <f>IF(ISERROR(VLOOKUP(A6,Wednesday!AE:AE,1,0)),0,1)</f>
        <v>0</v>
      </c>
      <c r="N6">
        <f>IF(ISERROR(VLOOKUP(A6,Thursday!AE:AE,1,0)),0,1)</f>
        <v>0</v>
      </c>
      <c r="O6">
        <f>IF(ISERROR(VLOOKUP(A6,Friday!AE:AE,1,0)),0,1)</f>
        <v>0</v>
      </c>
      <c r="P6">
        <f>IF(ISERROR(VLOOKUP(A6,Saturday!AE:AE,1,0)),0,1)</f>
        <v>0</v>
      </c>
      <c r="Q6" t="b">
        <f t="shared" si="1"/>
        <v>0</v>
      </c>
    </row>
    <row r="7" spans="1:17" x14ac:dyDescent="0.25">
      <c r="A7" t="str">
        <f t="shared" si="0"/>
        <v>-</v>
      </c>
      <c r="B7" s="1"/>
      <c r="C7" s="1"/>
      <c r="D7" s="49"/>
      <c r="E7" s="3"/>
      <c r="F7" s="3"/>
      <c r="G7" s="3"/>
      <c r="H7" s="3"/>
      <c r="I7" s="3"/>
      <c r="J7">
        <f>IF(ISERROR(VLOOKUP(A7,Sunday!AE:AE,1,0)),0,1)</f>
        <v>0</v>
      </c>
      <c r="K7">
        <f>IF(ISERROR(VLOOKUP(A7,Monday!AE:AE,1,0)),0,1)</f>
        <v>0</v>
      </c>
      <c r="L7">
        <f>IF(ISERROR(VLOOKUP(A7,Tuesday!AE:AE,1,0)),0,1)</f>
        <v>0</v>
      </c>
      <c r="M7">
        <f>IF(ISERROR(VLOOKUP(A7,Wednesday!AE:AE,1,0)),0,1)</f>
        <v>0</v>
      </c>
      <c r="N7">
        <f>IF(ISERROR(VLOOKUP(A7,Thursday!AE:AE,1,0)),0,1)</f>
        <v>0</v>
      </c>
      <c r="O7">
        <f>IF(ISERROR(VLOOKUP(A7,Friday!AE:AE,1,0)),0,1)</f>
        <v>0</v>
      </c>
      <c r="P7">
        <f>IF(ISERROR(VLOOKUP(A7,Saturday!AE:AE,1,0)),0,1)</f>
        <v>0</v>
      </c>
      <c r="Q7" t="b">
        <f t="shared" si="1"/>
        <v>0</v>
      </c>
    </row>
    <row r="8" spans="1:17" x14ac:dyDescent="0.25">
      <c r="A8" t="str">
        <f t="shared" si="0"/>
        <v>-</v>
      </c>
      <c r="B8" s="1"/>
      <c r="C8" s="1"/>
      <c r="D8" s="49"/>
      <c r="E8" s="3"/>
      <c r="F8" s="3"/>
      <c r="G8" s="3"/>
      <c r="H8" s="3"/>
      <c r="I8" s="3"/>
      <c r="J8">
        <f>IF(ISERROR(VLOOKUP(A8,Sunday!AE:AE,1,0)),0,1)</f>
        <v>0</v>
      </c>
      <c r="K8">
        <f>IF(ISERROR(VLOOKUP(A8,Monday!AE:AE,1,0)),0,1)</f>
        <v>0</v>
      </c>
      <c r="L8">
        <f>IF(ISERROR(VLOOKUP(A8,Tuesday!AE:AE,1,0)),0,1)</f>
        <v>0</v>
      </c>
      <c r="M8">
        <f>IF(ISERROR(VLOOKUP(A8,Wednesday!AE:AE,1,0)),0,1)</f>
        <v>0</v>
      </c>
      <c r="N8">
        <f>IF(ISERROR(VLOOKUP(A8,Thursday!AE:AE,1,0)),0,1)</f>
        <v>0</v>
      </c>
      <c r="O8">
        <f>IF(ISERROR(VLOOKUP(A8,Friday!AE:AE,1,0)),0,1)</f>
        <v>0</v>
      </c>
      <c r="P8">
        <f>IF(ISERROR(VLOOKUP(A8,Saturday!AE:AE,1,0)),0,1)</f>
        <v>0</v>
      </c>
      <c r="Q8" t="b">
        <f t="shared" si="1"/>
        <v>0</v>
      </c>
    </row>
    <row r="9" spans="1:17" x14ac:dyDescent="0.25">
      <c r="A9" t="str">
        <f t="shared" si="0"/>
        <v>-</v>
      </c>
      <c r="B9" s="1"/>
      <c r="C9" s="1"/>
      <c r="D9" s="49"/>
      <c r="E9" s="3"/>
      <c r="F9" s="3"/>
      <c r="G9" s="3"/>
      <c r="H9" s="3"/>
      <c r="I9" s="3"/>
      <c r="J9">
        <f>IF(ISERROR(VLOOKUP(A9,Sunday!AE:AE,1,0)),0,1)</f>
        <v>0</v>
      </c>
      <c r="K9">
        <f>IF(ISERROR(VLOOKUP(A9,Monday!AE:AE,1,0)),0,1)</f>
        <v>0</v>
      </c>
      <c r="L9">
        <f>IF(ISERROR(VLOOKUP(A9,Tuesday!AE:AE,1,0)),0,1)</f>
        <v>0</v>
      </c>
      <c r="M9">
        <f>IF(ISERROR(VLOOKUP(A9,Wednesday!AE:AE,1,0)),0,1)</f>
        <v>0</v>
      </c>
      <c r="N9">
        <f>IF(ISERROR(VLOOKUP(A9,Thursday!AE:AE,1,0)),0,1)</f>
        <v>0</v>
      </c>
      <c r="O9">
        <f>IF(ISERROR(VLOOKUP(A9,Friday!AE:AE,1,0)),0,1)</f>
        <v>0</v>
      </c>
      <c r="P9">
        <f>IF(ISERROR(VLOOKUP(A9,Saturday!AE:AE,1,0)),0,1)</f>
        <v>0</v>
      </c>
      <c r="Q9" t="b">
        <f t="shared" si="1"/>
        <v>0</v>
      </c>
    </row>
    <row r="10" spans="1:17" x14ac:dyDescent="0.25">
      <c r="A10" t="str">
        <f t="shared" si="0"/>
        <v>-</v>
      </c>
      <c r="B10" s="1"/>
      <c r="C10" s="1"/>
      <c r="D10" s="49"/>
      <c r="E10" s="3"/>
      <c r="F10" s="3"/>
      <c r="G10" s="3"/>
      <c r="H10" s="3"/>
      <c r="I10" s="3"/>
      <c r="J10">
        <f>IF(ISERROR(VLOOKUP(A10,Sunday!AE:AE,1,0)),0,1)</f>
        <v>0</v>
      </c>
      <c r="K10">
        <f>IF(ISERROR(VLOOKUP(A10,Monday!AE:AE,1,0)),0,1)</f>
        <v>0</v>
      </c>
      <c r="L10">
        <f>IF(ISERROR(VLOOKUP(A10,Tuesday!AE:AE,1,0)),0,1)</f>
        <v>0</v>
      </c>
      <c r="M10">
        <f>IF(ISERROR(VLOOKUP(A10,Wednesday!AE:AE,1,0)),0,1)</f>
        <v>0</v>
      </c>
      <c r="N10">
        <f>IF(ISERROR(VLOOKUP(A10,Thursday!AE:AE,1,0)),0,1)</f>
        <v>0</v>
      </c>
      <c r="O10">
        <f>IF(ISERROR(VLOOKUP(A10,Friday!AE:AE,1,0)),0,1)</f>
        <v>0</v>
      </c>
      <c r="P10">
        <f>IF(ISERROR(VLOOKUP(A10,Saturday!AE:AE,1,0)),0,1)</f>
        <v>0</v>
      </c>
      <c r="Q10" t="b">
        <f t="shared" si="1"/>
        <v>0</v>
      </c>
    </row>
    <row r="11" spans="1:17" x14ac:dyDescent="0.25">
      <c r="A11" t="str">
        <f t="shared" si="0"/>
        <v>-</v>
      </c>
      <c r="B11" s="1"/>
      <c r="C11" s="1"/>
      <c r="D11" s="49"/>
      <c r="E11" s="1"/>
      <c r="F11" s="207"/>
      <c r="G11" s="207"/>
      <c r="H11" s="207"/>
      <c r="I11" s="207"/>
      <c r="J11">
        <f>IF(ISERROR(VLOOKUP(A11,Sunday!AE:AE,1,0)),0,1)</f>
        <v>0</v>
      </c>
      <c r="K11">
        <f>IF(ISERROR(VLOOKUP(A11,Monday!AE:AE,1,0)),0,1)</f>
        <v>0</v>
      </c>
      <c r="L11">
        <f>IF(ISERROR(VLOOKUP(A11,Tuesday!AE:AE,1,0)),0,1)</f>
        <v>0</v>
      </c>
      <c r="M11">
        <f>IF(ISERROR(VLOOKUP(A11,Wednesday!AE:AE,1,0)),0,1)</f>
        <v>0</v>
      </c>
      <c r="N11">
        <f>IF(ISERROR(VLOOKUP(A11,Thursday!AE:AE,1,0)),0,1)</f>
        <v>0</v>
      </c>
      <c r="O11">
        <f>IF(ISERROR(VLOOKUP(A11,Friday!AE:AE,1,0)),0,1)</f>
        <v>0</v>
      </c>
      <c r="P11">
        <f>IF(ISERROR(VLOOKUP(A11,Saturday!AE:AE,1,0)),0,1)</f>
        <v>0</v>
      </c>
      <c r="Q11" t="b">
        <f t="shared" si="1"/>
        <v>0</v>
      </c>
    </row>
    <row r="12" spans="1:17" x14ac:dyDescent="0.25">
      <c r="A12" t="str">
        <f t="shared" si="0"/>
        <v>-</v>
      </c>
      <c r="B12" s="1"/>
      <c r="C12" s="1"/>
      <c r="D12" s="49"/>
      <c r="E12" s="3"/>
      <c r="F12" s="3"/>
      <c r="G12" s="3"/>
      <c r="H12" s="3"/>
      <c r="I12" s="3"/>
      <c r="J12">
        <f>IF(ISERROR(VLOOKUP(A12,Sunday!AE:AE,1,0)),0,1)</f>
        <v>0</v>
      </c>
      <c r="K12">
        <f>IF(ISERROR(VLOOKUP(A12,Monday!AE:AE,1,0)),0,1)</f>
        <v>0</v>
      </c>
      <c r="L12">
        <f>IF(ISERROR(VLOOKUP(A12,Tuesday!AE:AE,1,0)),0,1)</f>
        <v>0</v>
      </c>
      <c r="M12">
        <f>IF(ISERROR(VLOOKUP(A12,Wednesday!AE:AE,1,0)),0,1)</f>
        <v>0</v>
      </c>
      <c r="N12">
        <f>IF(ISERROR(VLOOKUP(A12,Thursday!AE:AE,1,0)),0,1)</f>
        <v>0</v>
      </c>
      <c r="O12">
        <f>IF(ISERROR(VLOOKUP(A12,Friday!AE:AE,1,0)),0,1)</f>
        <v>0</v>
      </c>
      <c r="P12">
        <f>IF(ISERROR(VLOOKUP(A12,Saturday!AE:AE,1,0)),0,1)</f>
        <v>0</v>
      </c>
      <c r="Q12" t="b">
        <f t="shared" si="1"/>
        <v>0</v>
      </c>
    </row>
    <row r="13" spans="1:17" x14ac:dyDescent="0.25">
      <c r="A13" t="str">
        <f t="shared" si="0"/>
        <v>-</v>
      </c>
      <c r="B13" s="1"/>
      <c r="C13" s="1"/>
      <c r="D13" s="49"/>
      <c r="E13" s="3"/>
      <c r="F13" s="3"/>
      <c r="G13" s="3"/>
      <c r="H13" s="3"/>
      <c r="I13" s="3"/>
      <c r="J13">
        <f>IF(ISERROR(VLOOKUP(A13,Sunday!AE:AE,1,0)),0,1)</f>
        <v>0</v>
      </c>
      <c r="K13">
        <f>IF(ISERROR(VLOOKUP(A13,Monday!AE:AE,1,0)),0,1)</f>
        <v>0</v>
      </c>
      <c r="L13">
        <f>IF(ISERROR(VLOOKUP(A13,Tuesday!AE:AE,1,0)),0,1)</f>
        <v>0</v>
      </c>
      <c r="M13">
        <f>IF(ISERROR(VLOOKUP(A13,Wednesday!AE:AE,1,0)),0,1)</f>
        <v>0</v>
      </c>
      <c r="N13">
        <f>IF(ISERROR(VLOOKUP(A13,Thursday!AE:AE,1,0)),0,1)</f>
        <v>0</v>
      </c>
      <c r="O13">
        <f>IF(ISERROR(VLOOKUP(A13,Friday!AE:AE,1,0)),0,1)</f>
        <v>0</v>
      </c>
      <c r="P13">
        <f>IF(ISERROR(VLOOKUP(A13,Saturday!AE:AE,1,0)),0,1)</f>
        <v>0</v>
      </c>
      <c r="Q13" t="b">
        <f t="shared" si="1"/>
        <v>0</v>
      </c>
    </row>
    <row r="14" spans="1:17" x14ac:dyDescent="0.25">
      <c r="A14" t="str">
        <f t="shared" si="0"/>
        <v>-</v>
      </c>
      <c r="B14" s="1"/>
      <c r="C14" s="1"/>
      <c r="D14" s="49"/>
      <c r="E14" s="3"/>
      <c r="F14" s="3"/>
      <c r="G14" s="3"/>
      <c r="H14" s="3"/>
      <c r="I14" s="3"/>
      <c r="J14">
        <f>IF(ISERROR(VLOOKUP(A14,Sunday!AE:AE,1,0)),0,1)</f>
        <v>0</v>
      </c>
      <c r="K14">
        <f>IF(ISERROR(VLOOKUP(A14,Monday!AE:AE,1,0)),0,1)</f>
        <v>0</v>
      </c>
      <c r="L14">
        <f>IF(ISERROR(VLOOKUP(A14,Tuesday!AE:AE,1,0)),0,1)</f>
        <v>0</v>
      </c>
      <c r="M14">
        <f>IF(ISERROR(VLOOKUP(A14,Wednesday!AE:AE,1,0)),0,1)</f>
        <v>0</v>
      </c>
      <c r="N14">
        <f>IF(ISERROR(VLOOKUP(A14,Thursday!AE:AE,1,0)),0,1)</f>
        <v>0</v>
      </c>
      <c r="O14">
        <f>IF(ISERROR(VLOOKUP(A14,Friday!AE:AE,1,0)),0,1)</f>
        <v>0</v>
      </c>
      <c r="P14">
        <f>IF(ISERROR(VLOOKUP(A14,Saturday!AE:AE,1,0)),0,1)</f>
        <v>0</v>
      </c>
      <c r="Q14" t="b">
        <f t="shared" si="1"/>
        <v>0</v>
      </c>
    </row>
    <row r="15" spans="1:17" x14ac:dyDescent="0.25">
      <c r="A15" t="str">
        <f t="shared" si="0"/>
        <v>-</v>
      </c>
      <c r="B15" s="1"/>
      <c r="C15" s="1"/>
      <c r="D15" s="49"/>
      <c r="E15" s="3"/>
      <c r="F15" s="3"/>
      <c r="G15" s="3"/>
      <c r="H15" s="3"/>
      <c r="I15" s="3"/>
      <c r="J15">
        <f>IF(ISERROR(VLOOKUP(A15,Sunday!AE:AE,1,0)),0,1)</f>
        <v>0</v>
      </c>
      <c r="K15">
        <f>IF(ISERROR(VLOOKUP(A15,Monday!AE:AE,1,0)),0,1)</f>
        <v>0</v>
      </c>
      <c r="L15">
        <f>IF(ISERROR(VLOOKUP(A15,Tuesday!AE:AE,1,0)),0,1)</f>
        <v>0</v>
      </c>
      <c r="M15">
        <f>IF(ISERROR(VLOOKUP(A15,Wednesday!AE:AE,1,0)),0,1)</f>
        <v>0</v>
      </c>
      <c r="N15">
        <f>IF(ISERROR(VLOOKUP(A15,Thursday!AE:AE,1,0)),0,1)</f>
        <v>0</v>
      </c>
      <c r="O15">
        <f>IF(ISERROR(VLOOKUP(A15,Friday!AE:AE,1,0)),0,1)</f>
        <v>0</v>
      </c>
      <c r="P15">
        <f>IF(ISERROR(VLOOKUP(A15,Saturday!AE:AE,1,0)),0,1)</f>
        <v>0</v>
      </c>
      <c r="Q15" t="b">
        <f t="shared" si="1"/>
        <v>0</v>
      </c>
    </row>
    <row r="16" spans="1:17" x14ac:dyDescent="0.25">
      <c r="A16" t="str">
        <f t="shared" si="0"/>
        <v>-</v>
      </c>
      <c r="B16" s="1"/>
      <c r="C16" s="1"/>
      <c r="D16" s="49"/>
      <c r="E16" s="3"/>
      <c r="F16" s="3"/>
      <c r="G16" s="3"/>
      <c r="H16" s="3"/>
      <c r="I16" s="3"/>
      <c r="J16">
        <f>IF(ISERROR(VLOOKUP(A16,Sunday!AE:AE,1,0)),0,1)</f>
        <v>0</v>
      </c>
      <c r="K16">
        <f>IF(ISERROR(VLOOKUP(A16,Monday!AE:AE,1,0)),0,1)</f>
        <v>0</v>
      </c>
      <c r="L16">
        <f>IF(ISERROR(VLOOKUP(A16,Tuesday!AE:AE,1,0)),0,1)</f>
        <v>0</v>
      </c>
      <c r="M16">
        <f>IF(ISERROR(VLOOKUP(A16,Wednesday!AE:AE,1,0)),0,1)</f>
        <v>0</v>
      </c>
      <c r="N16">
        <f>IF(ISERROR(VLOOKUP(A16,Thursday!AE:AE,1,0)),0,1)</f>
        <v>0</v>
      </c>
      <c r="O16">
        <f>IF(ISERROR(VLOOKUP(A16,Friday!AE:AE,1,0)),0,1)</f>
        <v>0</v>
      </c>
      <c r="P16">
        <f>IF(ISERROR(VLOOKUP(A16,Saturday!AE:AE,1,0)),0,1)</f>
        <v>0</v>
      </c>
      <c r="Q16" t="b">
        <f t="shared" si="1"/>
        <v>0</v>
      </c>
    </row>
    <row r="17" spans="1:17" x14ac:dyDescent="0.25">
      <c r="A17" t="str">
        <f t="shared" si="0"/>
        <v>-</v>
      </c>
      <c r="B17" s="1"/>
      <c r="C17" s="1"/>
      <c r="D17" s="49"/>
      <c r="E17" s="3"/>
      <c r="F17" s="3"/>
      <c r="G17" s="3"/>
      <c r="H17" s="3"/>
      <c r="I17" s="3"/>
      <c r="J17">
        <f>IF(ISERROR(VLOOKUP(A17,Sunday!AE:AE,1,0)),0,1)</f>
        <v>0</v>
      </c>
      <c r="K17">
        <f>IF(ISERROR(VLOOKUP(A17,Monday!AE:AE,1,0)),0,1)</f>
        <v>0</v>
      </c>
      <c r="L17">
        <f>IF(ISERROR(VLOOKUP(A17,Tuesday!AE:AE,1,0)),0,1)</f>
        <v>0</v>
      </c>
      <c r="M17">
        <f>IF(ISERROR(VLOOKUP(A17,Wednesday!AE:AE,1,0)),0,1)</f>
        <v>0</v>
      </c>
      <c r="N17">
        <f>IF(ISERROR(VLOOKUP(A17,Thursday!AE:AE,1,0)),0,1)</f>
        <v>0</v>
      </c>
      <c r="O17">
        <f>IF(ISERROR(VLOOKUP(A17,Friday!AE:AE,1,0)),0,1)</f>
        <v>0</v>
      </c>
      <c r="P17">
        <f>IF(ISERROR(VLOOKUP(A17,Saturday!AE:AE,1,0)),0,1)</f>
        <v>0</v>
      </c>
      <c r="Q17" t="b">
        <f t="shared" si="1"/>
        <v>0</v>
      </c>
    </row>
    <row r="18" spans="1:17" x14ac:dyDescent="0.25">
      <c r="A18" t="str">
        <f t="shared" si="0"/>
        <v>-</v>
      </c>
      <c r="B18" s="1"/>
      <c r="C18" s="1"/>
      <c r="D18" s="49"/>
      <c r="E18" s="3"/>
      <c r="F18" s="3"/>
      <c r="G18" s="3"/>
      <c r="H18" s="3"/>
      <c r="I18" s="3"/>
      <c r="J18">
        <f>IF(ISERROR(VLOOKUP(A18,Sunday!AE:AE,1,0)),0,1)</f>
        <v>0</v>
      </c>
      <c r="K18">
        <f>IF(ISERROR(VLOOKUP(A18,Monday!AE:AE,1,0)),0,1)</f>
        <v>0</v>
      </c>
      <c r="L18">
        <f>IF(ISERROR(VLOOKUP(A18,Tuesday!AE:AE,1,0)),0,1)</f>
        <v>0</v>
      </c>
      <c r="M18">
        <f>IF(ISERROR(VLOOKUP(A18,Wednesday!AE:AE,1,0)),0,1)</f>
        <v>0</v>
      </c>
      <c r="N18">
        <f>IF(ISERROR(VLOOKUP(A18,Thursday!AE:AE,1,0)),0,1)</f>
        <v>0</v>
      </c>
      <c r="O18">
        <f>IF(ISERROR(VLOOKUP(A18,Friday!AE:AE,1,0)),0,1)</f>
        <v>0</v>
      </c>
      <c r="P18">
        <f>IF(ISERROR(VLOOKUP(A18,Saturday!AE:AE,1,0)),0,1)</f>
        <v>0</v>
      </c>
      <c r="Q18" t="b">
        <f t="shared" si="1"/>
        <v>0</v>
      </c>
    </row>
    <row r="19" spans="1:17" x14ac:dyDescent="0.25">
      <c r="A19" t="str">
        <f t="shared" si="0"/>
        <v>-</v>
      </c>
      <c r="B19" s="1"/>
      <c r="C19" s="1"/>
      <c r="D19" s="49"/>
      <c r="E19" s="3"/>
      <c r="F19" s="3"/>
      <c r="G19" s="3"/>
      <c r="H19" s="3"/>
      <c r="I19" s="3"/>
      <c r="J19">
        <f>IF(ISERROR(VLOOKUP(A19,Sunday!AE:AE,1,0)),0,1)</f>
        <v>0</v>
      </c>
      <c r="K19">
        <f>IF(ISERROR(VLOOKUP(A19,Monday!AE:AE,1,0)),0,1)</f>
        <v>0</v>
      </c>
      <c r="L19">
        <f>IF(ISERROR(VLOOKUP(A19,Tuesday!AE:AE,1,0)),0,1)</f>
        <v>0</v>
      </c>
      <c r="M19">
        <f>IF(ISERROR(VLOOKUP(A19,Wednesday!AE:AE,1,0)),0,1)</f>
        <v>0</v>
      </c>
      <c r="N19">
        <f>IF(ISERROR(VLOOKUP(A19,Thursday!AE:AE,1,0)),0,1)</f>
        <v>0</v>
      </c>
      <c r="O19">
        <f>IF(ISERROR(VLOOKUP(A19,Friday!AE:AE,1,0)),0,1)</f>
        <v>0</v>
      </c>
      <c r="P19">
        <f>IF(ISERROR(VLOOKUP(A19,Saturday!AE:AE,1,0)),0,1)</f>
        <v>0</v>
      </c>
      <c r="Q19" t="b">
        <f t="shared" si="1"/>
        <v>0</v>
      </c>
    </row>
    <row r="20" spans="1:17" x14ac:dyDescent="0.25">
      <c r="A20" t="str">
        <f t="shared" si="0"/>
        <v>-</v>
      </c>
      <c r="B20" s="1"/>
      <c r="C20" s="1"/>
      <c r="D20" s="49"/>
      <c r="E20" s="3"/>
      <c r="F20" s="3"/>
      <c r="G20" s="3"/>
      <c r="H20" s="3"/>
      <c r="I20" s="3"/>
      <c r="J20">
        <f>IF(ISERROR(VLOOKUP(A20,Sunday!AE:AE,1,0)),0,1)</f>
        <v>0</v>
      </c>
      <c r="K20">
        <f>IF(ISERROR(VLOOKUP(A20,Monday!AE:AE,1,0)),0,1)</f>
        <v>0</v>
      </c>
      <c r="L20">
        <f>IF(ISERROR(VLOOKUP(A20,Tuesday!AE:AE,1,0)),0,1)</f>
        <v>0</v>
      </c>
      <c r="M20">
        <f>IF(ISERROR(VLOOKUP(A20,Wednesday!AE:AE,1,0)),0,1)</f>
        <v>0</v>
      </c>
      <c r="N20">
        <f>IF(ISERROR(VLOOKUP(A20,Thursday!AE:AE,1,0)),0,1)</f>
        <v>0</v>
      </c>
      <c r="O20">
        <f>IF(ISERROR(VLOOKUP(A20,Friday!AE:AE,1,0)),0,1)</f>
        <v>0</v>
      </c>
      <c r="P20">
        <f>IF(ISERROR(VLOOKUP(A20,Saturday!AE:AE,1,0)),0,1)</f>
        <v>0</v>
      </c>
      <c r="Q20" t="b">
        <f t="shared" si="1"/>
        <v>0</v>
      </c>
    </row>
    <row r="21" spans="1:17" x14ac:dyDescent="0.25">
      <c r="A21" t="str">
        <f t="shared" si="0"/>
        <v>-</v>
      </c>
      <c r="B21" s="1"/>
      <c r="C21" s="1"/>
      <c r="D21" s="49"/>
      <c r="E21" s="3"/>
      <c r="F21" s="3"/>
      <c r="G21" s="3"/>
      <c r="H21" s="3"/>
      <c r="I21" s="3"/>
      <c r="J21">
        <f>IF(ISERROR(VLOOKUP(A21,Sunday!AE:AE,1,0)),0,1)</f>
        <v>0</v>
      </c>
      <c r="K21">
        <f>IF(ISERROR(VLOOKUP(A21,Monday!AE:AE,1,0)),0,1)</f>
        <v>0</v>
      </c>
      <c r="L21">
        <f>IF(ISERROR(VLOOKUP(A21,Tuesday!AE:AE,1,0)),0,1)</f>
        <v>0</v>
      </c>
      <c r="M21">
        <f>IF(ISERROR(VLOOKUP(A21,Wednesday!AE:AE,1,0)),0,1)</f>
        <v>0</v>
      </c>
      <c r="N21">
        <f>IF(ISERROR(VLOOKUP(A21,Thursday!AE:AE,1,0)),0,1)</f>
        <v>0</v>
      </c>
      <c r="O21">
        <f>IF(ISERROR(VLOOKUP(A21,Friday!AE:AE,1,0)),0,1)</f>
        <v>0</v>
      </c>
      <c r="P21">
        <f>IF(ISERROR(VLOOKUP(A21,Saturday!AE:AE,1,0)),0,1)</f>
        <v>0</v>
      </c>
      <c r="Q21" t="b">
        <f t="shared" si="1"/>
        <v>0</v>
      </c>
    </row>
    <row r="22" spans="1:17" x14ac:dyDescent="0.25">
      <c r="A22" t="str">
        <f t="shared" si="0"/>
        <v>-</v>
      </c>
      <c r="B22" s="1"/>
      <c r="C22" s="1"/>
      <c r="D22" s="49"/>
      <c r="E22" s="3"/>
      <c r="F22" s="3"/>
      <c r="G22" s="3"/>
      <c r="H22" s="3"/>
      <c r="I22" s="3"/>
      <c r="J22">
        <f>IF(ISERROR(VLOOKUP(A22,Sunday!AE:AE,1,0)),0,1)</f>
        <v>0</v>
      </c>
      <c r="K22">
        <f>IF(ISERROR(VLOOKUP(A22,Monday!AE:AE,1,0)),0,1)</f>
        <v>0</v>
      </c>
      <c r="L22">
        <f>IF(ISERROR(VLOOKUP(A22,Tuesday!AE:AE,1,0)),0,1)</f>
        <v>0</v>
      </c>
      <c r="M22">
        <f>IF(ISERROR(VLOOKUP(A22,Wednesday!AE:AE,1,0)),0,1)</f>
        <v>0</v>
      </c>
      <c r="N22">
        <f>IF(ISERROR(VLOOKUP(A22,Thursday!AE:AE,1,0)),0,1)</f>
        <v>0</v>
      </c>
      <c r="O22">
        <f>IF(ISERROR(VLOOKUP(A22,Friday!AE:AE,1,0)),0,1)</f>
        <v>0</v>
      </c>
      <c r="P22">
        <f>IF(ISERROR(VLOOKUP(A22,Saturday!AE:AE,1,0)),0,1)</f>
        <v>0</v>
      </c>
      <c r="Q22" t="b">
        <f t="shared" si="1"/>
        <v>0</v>
      </c>
    </row>
    <row r="23" spans="1:17" x14ac:dyDescent="0.25">
      <c r="A23" t="str">
        <f t="shared" si="0"/>
        <v>-</v>
      </c>
      <c r="B23" s="1"/>
      <c r="C23" s="1"/>
      <c r="D23" s="49"/>
      <c r="E23" s="3"/>
      <c r="F23" s="3"/>
      <c r="G23" s="3"/>
      <c r="H23" s="3"/>
      <c r="I23" s="3"/>
      <c r="J23">
        <f>IF(ISERROR(VLOOKUP(A23,Sunday!AE:AE,1,0)),0,1)</f>
        <v>0</v>
      </c>
      <c r="K23">
        <f>IF(ISERROR(VLOOKUP(A23,Monday!AE:AE,1,0)),0,1)</f>
        <v>0</v>
      </c>
      <c r="L23">
        <f>IF(ISERROR(VLOOKUP(A23,Tuesday!AE:AE,1,0)),0,1)</f>
        <v>0</v>
      </c>
      <c r="M23">
        <f>IF(ISERROR(VLOOKUP(A23,Wednesday!AE:AE,1,0)),0,1)</f>
        <v>0</v>
      </c>
      <c r="N23">
        <f>IF(ISERROR(VLOOKUP(A23,Thursday!AE:AE,1,0)),0,1)</f>
        <v>0</v>
      </c>
      <c r="O23">
        <f>IF(ISERROR(VLOOKUP(A23,Friday!AE:AE,1,0)),0,1)</f>
        <v>0</v>
      </c>
      <c r="P23">
        <f>IF(ISERROR(VLOOKUP(A23,Saturday!AE:AE,1,0)),0,1)</f>
        <v>0</v>
      </c>
      <c r="Q23" t="b">
        <f t="shared" si="1"/>
        <v>0</v>
      </c>
    </row>
    <row r="24" spans="1:17" x14ac:dyDescent="0.25">
      <c r="A24" t="str">
        <f t="shared" si="0"/>
        <v>-</v>
      </c>
      <c r="B24" s="1"/>
      <c r="C24" s="1"/>
      <c r="D24" s="49"/>
      <c r="E24" s="3"/>
      <c r="F24" s="3"/>
      <c r="G24" s="1"/>
      <c r="H24" s="1"/>
      <c r="I24" s="3"/>
      <c r="J24">
        <f>IF(ISERROR(VLOOKUP(A24,Sunday!AE:AE,1,0)),0,1)</f>
        <v>0</v>
      </c>
      <c r="K24">
        <f>IF(ISERROR(VLOOKUP(A24,Monday!AE:AE,1,0)),0,1)</f>
        <v>0</v>
      </c>
      <c r="L24">
        <f>IF(ISERROR(VLOOKUP(A24,Tuesday!AE:AE,1,0)),0,1)</f>
        <v>0</v>
      </c>
      <c r="M24">
        <f>IF(ISERROR(VLOOKUP(A24,Wednesday!AE:AE,1,0)),0,1)</f>
        <v>0</v>
      </c>
      <c r="N24">
        <f>IF(ISERROR(VLOOKUP(A24,Thursday!AE:AE,1,0)),0,1)</f>
        <v>0</v>
      </c>
      <c r="O24">
        <f>IF(ISERROR(VLOOKUP(A24,Friday!AE:AE,1,0)),0,1)</f>
        <v>0</v>
      </c>
      <c r="P24">
        <f>IF(ISERROR(VLOOKUP(A24,Saturday!AE:AE,1,0)),0,1)</f>
        <v>0</v>
      </c>
      <c r="Q24" t="b">
        <f t="shared" si="1"/>
        <v>0</v>
      </c>
    </row>
    <row r="25" spans="1:17" x14ac:dyDescent="0.25">
      <c r="A25" t="str">
        <f t="shared" si="0"/>
        <v>-</v>
      </c>
      <c r="B25" s="1"/>
      <c r="C25" s="1"/>
      <c r="D25" s="49"/>
      <c r="E25" s="1"/>
      <c r="F25" s="3"/>
      <c r="G25" s="1"/>
      <c r="H25" s="1"/>
      <c r="I25" s="3"/>
      <c r="J25">
        <f>IF(ISERROR(VLOOKUP(A25,Sunday!AE:AE,1,0)),0,1)</f>
        <v>0</v>
      </c>
      <c r="K25">
        <f>IF(ISERROR(VLOOKUP(A25,Monday!AE:AE,1,0)),0,1)</f>
        <v>0</v>
      </c>
      <c r="L25">
        <f>IF(ISERROR(VLOOKUP(A25,Tuesday!AE:AE,1,0)),0,1)</f>
        <v>0</v>
      </c>
      <c r="M25">
        <f>IF(ISERROR(VLOOKUP(A25,Wednesday!AE:AE,1,0)),0,1)</f>
        <v>0</v>
      </c>
      <c r="N25">
        <f>IF(ISERROR(VLOOKUP(A25,Thursday!AE:AE,1,0)),0,1)</f>
        <v>0</v>
      </c>
      <c r="O25">
        <f>IF(ISERROR(VLOOKUP(A25,Friday!AE:AE,1,0)),0,1)</f>
        <v>0</v>
      </c>
      <c r="P25">
        <f>IF(ISERROR(VLOOKUP(A25,Saturday!AE:AE,1,0)),0,1)</f>
        <v>0</v>
      </c>
      <c r="Q25" t="b">
        <f t="shared" si="1"/>
        <v>0</v>
      </c>
    </row>
    <row r="26" spans="1:17" x14ac:dyDescent="0.25">
      <c r="A26" t="str">
        <f t="shared" si="0"/>
        <v>-</v>
      </c>
      <c r="B26" s="1"/>
      <c r="C26" s="1"/>
      <c r="D26" s="49"/>
      <c r="E26" s="1"/>
      <c r="F26" s="3"/>
      <c r="G26" s="1"/>
      <c r="H26" s="1"/>
      <c r="I26" s="3"/>
      <c r="J26">
        <f>IF(ISERROR(VLOOKUP(A26,Sunday!AE:AE,1,0)),0,1)</f>
        <v>0</v>
      </c>
      <c r="K26">
        <f>IF(ISERROR(VLOOKUP(A26,Monday!AE:AE,1,0)),0,1)</f>
        <v>0</v>
      </c>
      <c r="L26">
        <f>IF(ISERROR(VLOOKUP(A26,Tuesday!AE:AE,1,0)),0,1)</f>
        <v>0</v>
      </c>
      <c r="M26">
        <f>IF(ISERROR(VLOOKUP(A26,Wednesday!AE:AE,1,0)),0,1)</f>
        <v>0</v>
      </c>
      <c r="N26">
        <f>IF(ISERROR(VLOOKUP(A26,Thursday!AE:AE,1,0)),0,1)</f>
        <v>0</v>
      </c>
      <c r="O26">
        <f>IF(ISERROR(VLOOKUP(A26,Friday!AE:AE,1,0)),0,1)</f>
        <v>0</v>
      </c>
      <c r="P26">
        <f>IF(ISERROR(VLOOKUP(A26,Saturday!AE:AE,1,0)),0,1)</f>
        <v>0</v>
      </c>
      <c r="Q26" t="b">
        <f t="shared" si="1"/>
        <v>0</v>
      </c>
    </row>
    <row r="27" spans="1:17" x14ac:dyDescent="0.25">
      <c r="A27" t="str">
        <f t="shared" si="0"/>
        <v>-</v>
      </c>
      <c r="B27" s="1"/>
      <c r="C27" s="1"/>
      <c r="D27" s="49"/>
      <c r="E27" s="1"/>
      <c r="F27" s="3"/>
      <c r="G27" s="1"/>
      <c r="H27" s="1"/>
      <c r="I27" s="3"/>
      <c r="J27">
        <f>IF(ISERROR(VLOOKUP(A27,Sunday!AE:AE,1,0)),0,1)</f>
        <v>0</v>
      </c>
      <c r="K27">
        <f>IF(ISERROR(VLOOKUP(A27,Monday!AE:AE,1,0)),0,1)</f>
        <v>0</v>
      </c>
      <c r="L27">
        <f>IF(ISERROR(VLOOKUP(A27,Tuesday!AE:AE,1,0)),0,1)</f>
        <v>0</v>
      </c>
      <c r="M27">
        <f>IF(ISERROR(VLOOKUP(A27,Wednesday!AE:AE,1,0)),0,1)</f>
        <v>0</v>
      </c>
      <c r="N27">
        <f>IF(ISERROR(VLOOKUP(A27,Thursday!AE:AE,1,0)),0,1)</f>
        <v>0</v>
      </c>
      <c r="O27">
        <f>IF(ISERROR(VLOOKUP(A27,Friday!AE:AE,1,0)),0,1)</f>
        <v>0</v>
      </c>
      <c r="P27">
        <f>IF(ISERROR(VLOOKUP(A27,Saturday!AE:AE,1,0)),0,1)</f>
        <v>0</v>
      </c>
      <c r="Q27" t="b">
        <f t="shared" si="1"/>
        <v>0</v>
      </c>
    </row>
    <row r="28" spans="1:17" x14ac:dyDescent="0.25">
      <c r="A28" t="str">
        <f t="shared" si="0"/>
        <v>-</v>
      </c>
      <c r="B28" s="1"/>
      <c r="C28" s="1"/>
      <c r="D28" s="49"/>
      <c r="E28" s="1"/>
      <c r="F28" s="3"/>
      <c r="G28" s="1"/>
      <c r="H28" s="1"/>
      <c r="I28" s="3"/>
      <c r="J28">
        <f>IF(ISERROR(VLOOKUP(A28,Sunday!AE:AE,1,0)),0,1)</f>
        <v>0</v>
      </c>
      <c r="K28">
        <f>IF(ISERROR(VLOOKUP(A28,Monday!AE:AE,1,0)),0,1)</f>
        <v>0</v>
      </c>
      <c r="L28">
        <f>IF(ISERROR(VLOOKUP(A28,Tuesday!AE:AE,1,0)),0,1)</f>
        <v>0</v>
      </c>
      <c r="M28">
        <f>IF(ISERROR(VLOOKUP(A28,Wednesday!AE:AE,1,0)),0,1)</f>
        <v>0</v>
      </c>
      <c r="N28">
        <f>IF(ISERROR(VLOOKUP(A28,Thursday!AE:AE,1,0)),0,1)</f>
        <v>0</v>
      </c>
      <c r="O28">
        <f>IF(ISERROR(VLOOKUP(A28,Friday!AE:AE,1,0)),0,1)</f>
        <v>0</v>
      </c>
      <c r="P28">
        <f>IF(ISERROR(VLOOKUP(A28,Saturday!AE:AE,1,0)),0,1)</f>
        <v>0</v>
      </c>
      <c r="Q28" t="b">
        <f t="shared" si="1"/>
        <v>0</v>
      </c>
    </row>
    <row r="29" spans="1:17" x14ac:dyDescent="0.25">
      <c r="A29" t="str">
        <f t="shared" si="0"/>
        <v>-</v>
      </c>
      <c r="B29" s="1"/>
      <c r="C29" s="1"/>
      <c r="D29" s="49"/>
      <c r="E29" s="3"/>
      <c r="F29" s="3"/>
      <c r="G29" s="3"/>
      <c r="H29" s="3"/>
      <c r="I29" s="3"/>
      <c r="J29">
        <f>IF(ISERROR(VLOOKUP(A29,Sunday!AE:AE,1,0)),0,1)</f>
        <v>0</v>
      </c>
      <c r="K29">
        <f>IF(ISERROR(VLOOKUP(A29,Monday!AE:AE,1,0)),0,1)</f>
        <v>0</v>
      </c>
      <c r="L29">
        <f>IF(ISERROR(VLOOKUP(A29,Tuesday!AE:AE,1,0)),0,1)</f>
        <v>0</v>
      </c>
      <c r="M29">
        <f>IF(ISERROR(VLOOKUP(A29,Wednesday!AE:AE,1,0)),0,1)</f>
        <v>0</v>
      </c>
      <c r="N29">
        <f>IF(ISERROR(VLOOKUP(A29,Thursday!AE:AE,1,0)),0,1)</f>
        <v>0</v>
      </c>
      <c r="O29">
        <f>IF(ISERROR(VLOOKUP(A29,Friday!AE:AE,1,0)),0,1)</f>
        <v>0</v>
      </c>
      <c r="P29">
        <f>IF(ISERROR(VLOOKUP(A29,Saturday!AE:AE,1,0)),0,1)</f>
        <v>0</v>
      </c>
      <c r="Q29" t="b">
        <f t="shared" si="1"/>
        <v>0</v>
      </c>
    </row>
    <row r="30" spans="1:17" x14ac:dyDescent="0.25">
      <c r="A30" t="str">
        <f t="shared" si="0"/>
        <v>-</v>
      </c>
      <c r="B30" s="1"/>
      <c r="C30" s="1"/>
      <c r="D30" s="49"/>
      <c r="E30" s="3"/>
      <c r="F30" s="3"/>
      <c r="G30" s="3"/>
      <c r="H30" s="3"/>
      <c r="I30" s="3"/>
      <c r="J30">
        <f>IF(ISERROR(VLOOKUP(A30,Sunday!AE:AE,1,0)),0,1)</f>
        <v>0</v>
      </c>
      <c r="K30">
        <f>IF(ISERROR(VLOOKUP(A30,Monday!AE:AE,1,0)),0,1)</f>
        <v>0</v>
      </c>
      <c r="L30">
        <f>IF(ISERROR(VLOOKUP(A30,Tuesday!AE:AE,1,0)),0,1)</f>
        <v>0</v>
      </c>
      <c r="M30">
        <f>IF(ISERROR(VLOOKUP(A30,Wednesday!AE:AE,1,0)),0,1)</f>
        <v>0</v>
      </c>
      <c r="N30">
        <f>IF(ISERROR(VLOOKUP(A30,Thursday!AE:AE,1,0)),0,1)</f>
        <v>0</v>
      </c>
      <c r="O30">
        <f>IF(ISERROR(VLOOKUP(A30,Friday!AE:AE,1,0)),0,1)</f>
        <v>0</v>
      </c>
      <c r="P30">
        <f>IF(ISERROR(VLOOKUP(A30,Saturday!AE:AE,1,0)),0,1)</f>
        <v>0</v>
      </c>
      <c r="Q30" t="b">
        <f t="shared" si="1"/>
        <v>0</v>
      </c>
    </row>
    <row r="31" spans="1:17" x14ac:dyDescent="0.25">
      <c r="A31" t="str">
        <f t="shared" si="0"/>
        <v>-</v>
      </c>
      <c r="B31" s="1"/>
      <c r="C31" s="1"/>
      <c r="D31" s="49"/>
      <c r="E31" s="3"/>
      <c r="F31" s="3"/>
      <c r="G31" s="3"/>
      <c r="H31" s="3"/>
      <c r="I31" s="3"/>
      <c r="J31">
        <f>IF(ISERROR(VLOOKUP(A31,Sunday!AE:AE,1,0)),0,1)</f>
        <v>0</v>
      </c>
      <c r="K31">
        <f>IF(ISERROR(VLOOKUP(A31,Monday!AE:AE,1,0)),0,1)</f>
        <v>0</v>
      </c>
      <c r="L31">
        <f>IF(ISERROR(VLOOKUP(A31,Tuesday!AE:AE,1,0)),0,1)</f>
        <v>0</v>
      </c>
      <c r="M31">
        <f>IF(ISERROR(VLOOKUP(A31,Wednesday!AE:AE,1,0)),0,1)</f>
        <v>0</v>
      </c>
      <c r="N31">
        <f>IF(ISERROR(VLOOKUP(A31,Thursday!AE:AE,1,0)),0,1)</f>
        <v>0</v>
      </c>
      <c r="O31">
        <f>IF(ISERROR(VLOOKUP(A31,Friday!AE:AE,1,0)),0,1)</f>
        <v>0</v>
      </c>
      <c r="P31">
        <f>IF(ISERROR(VLOOKUP(A31,Saturday!AE:AE,1,0)),0,1)</f>
        <v>0</v>
      </c>
      <c r="Q31" t="b">
        <f t="shared" si="1"/>
        <v>0</v>
      </c>
    </row>
    <row r="32" spans="1:17" x14ac:dyDescent="0.25">
      <c r="A32" t="str">
        <f t="shared" si="0"/>
        <v>-</v>
      </c>
      <c r="B32" s="1"/>
      <c r="C32" s="1"/>
      <c r="D32" s="49"/>
      <c r="E32" s="3"/>
      <c r="F32" s="3"/>
      <c r="G32" s="207"/>
      <c r="H32" s="3"/>
      <c r="I32" s="3"/>
      <c r="J32">
        <f>IF(ISERROR(VLOOKUP(A32,Sunday!AE:AE,1,0)),0,1)</f>
        <v>0</v>
      </c>
      <c r="K32">
        <f>IF(ISERROR(VLOOKUP(A32,Monday!AE:AE,1,0)),0,1)</f>
        <v>0</v>
      </c>
      <c r="L32">
        <f>IF(ISERROR(VLOOKUP(A32,Tuesday!AE:AE,1,0)),0,1)</f>
        <v>0</v>
      </c>
      <c r="M32">
        <f>IF(ISERROR(VLOOKUP(A32,Wednesday!AE:AE,1,0)),0,1)</f>
        <v>0</v>
      </c>
      <c r="N32">
        <f>IF(ISERROR(VLOOKUP(A32,Thursday!AE:AE,1,0)),0,1)</f>
        <v>0</v>
      </c>
      <c r="O32">
        <f>IF(ISERROR(VLOOKUP(A32,Friday!AE:AE,1,0)),0,1)</f>
        <v>0</v>
      </c>
      <c r="P32">
        <f>IF(ISERROR(VLOOKUP(A32,Saturday!AE:AE,1,0)),0,1)</f>
        <v>0</v>
      </c>
      <c r="Q32" t="b">
        <f t="shared" si="1"/>
        <v>0</v>
      </c>
    </row>
    <row r="33" spans="1:17" x14ac:dyDescent="0.25">
      <c r="A33" t="str">
        <f t="shared" si="0"/>
        <v>-</v>
      </c>
      <c r="B33" s="1"/>
      <c r="C33" s="1"/>
      <c r="D33" s="49"/>
      <c r="E33" s="3"/>
      <c r="F33" s="3"/>
      <c r="G33" s="207"/>
      <c r="H33" s="3"/>
      <c r="I33" s="3"/>
      <c r="J33">
        <f>IF(ISERROR(VLOOKUP(A33,Sunday!AE:AE,1,0)),0,1)</f>
        <v>0</v>
      </c>
      <c r="K33">
        <f>IF(ISERROR(VLOOKUP(A33,Monday!AE:AE,1,0)),0,1)</f>
        <v>0</v>
      </c>
      <c r="L33">
        <f>IF(ISERROR(VLOOKUP(A33,Tuesday!AE:AE,1,0)),0,1)</f>
        <v>0</v>
      </c>
      <c r="M33">
        <f>IF(ISERROR(VLOOKUP(A33,Wednesday!AE:AE,1,0)),0,1)</f>
        <v>0</v>
      </c>
      <c r="N33">
        <f>IF(ISERROR(VLOOKUP(A33,Thursday!AE:AE,1,0)),0,1)</f>
        <v>0</v>
      </c>
      <c r="O33">
        <f>IF(ISERROR(VLOOKUP(A33,Friday!AE:AE,1,0)),0,1)</f>
        <v>0</v>
      </c>
      <c r="P33">
        <f>IF(ISERROR(VLOOKUP(A33,Saturday!AE:AE,1,0)),0,1)</f>
        <v>0</v>
      </c>
      <c r="Q33" t="b">
        <f t="shared" si="1"/>
        <v>0</v>
      </c>
    </row>
    <row r="34" spans="1:17" x14ac:dyDescent="0.25">
      <c r="A34" t="str">
        <f t="shared" si="0"/>
        <v>-</v>
      </c>
      <c r="B34" s="1"/>
      <c r="C34" s="1"/>
      <c r="D34" s="49"/>
      <c r="E34" s="3"/>
      <c r="F34" s="3"/>
      <c r="G34" s="3"/>
      <c r="H34" s="3"/>
      <c r="I34" s="3"/>
      <c r="J34">
        <f>IF(ISERROR(VLOOKUP(A34,Sunday!AE:AE,1,0)),0,1)</f>
        <v>0</v>
      </c>
      <c r="K34">
        <f>IF(ISERROR(VLOOKUP(A34,Monday!AE:AE,1,0)),0,1)</f>
        <v>0</v>
      </c>
      <c r="L34">
        <f>IF(ISERROR(VLOOKUP(A34,Tuesday!AE:AE,1,0)),0,1)</f>
        <v>0</v>
      </c>
      <c r="M34">
        <f>IF(ISERROR(VLOOKUP(A34,Wednesday!AE:AE,1,0)),0,1)</f>
        <v>0</v>
      </c>
      <c r="N34">
        <f>IF(ISERROR(VLOOKUP(A34,Thursday!AE:AE,1,0)),0,1)</f>
        <v>0</v>
      </c>
      <c r="O34">
        <f>IF(ISERROR(VLOOKUP(A34,Friday!AE:AE,1,0)),0,1)</f>
        <v>0</v>
      </c>
      <c r="P34">
        <f>IF(ISERROR(VLOOKUP(A34,Saturday!AE:AE,1,0)),0,1)</f>
        <v>0</v>
      </c>
      <c r="Q34" t="b">
        <f t="shared" si="1"/>
        <v>0</v>
      </c>
    </row>
    <row r="35" spans="1:17" x14ac:dyDescent="0.25">
      <c r="A35" t="str">
        <f t="shared" si="0"/>
        <v>-</v>
      </c>
      <c r="B35" s="1"/>
      <c r="C35" s="1"/>
      <c r="D35" s="49"/>
      <c r="E35" s="3"/>
      <c r="F35" s="3"/>
      <c r="G35" s="3"/>
      <c r="H35" s="3"/>
      <c r="I35" s="3"/>
      <c r="J35">
        <f>IF(ISERROR(VLOOKUP(A35,Sunday!AE:AE,1,0)),0,1)</f>
        <v>0</v>
      </c>
      <c r="K35">
        <f>IF(ISERROR(VLOOKUP(A35,Monday!AE:AE,1,0)),0,1)</f>
        <v>0</v>
      </c>
      <c r="L35">
        <f>IF(ISERROR(VLOOKUP(A35,Tuesday!AE:AE,1,0)),0,1)</f>
        <v>0</v>
      </c>
      <c r="M35">
        <f>IF(ISERROR(VLOOKUP(A35,Wednesday!AE:AE,1,0)),0,1)</f>
        <v>0</v>
      </c>
      <c r="N35">
        <f>IF(ISERROR(VLOOKUP(A35,Thursday!AE:AE,1,0)),0,1)</f>
        <v>0</v>
      </c>
      <c r="O35">
        <f>IF(ISERROR(VLOOKUP(A35,Friday!AE:AE,1,0)),0,1)</f>
        <v>0</v>
      </c>
      <c r="P35">
        <f>IF(ISERROR(VLOOKUP(A35,Saturday!AE:AE,1,0)),0,1)</f>
        <v>0</v>
      </c>
      <c r="Q35" t="b">
        <f t="shared" si="1"/>
        <v>0</v>
      </c>
    </row>
    <row r="36" spans="1:17" x14ac:dyDescent="0.25">
      <c r="A36" t="str">
        <f t="shared" si="0"/>
        <v>-</v>
      </c>
      <c r="B36" s="1"/>
      <c r="C36" s="1"/>
      <c r="D36" s="49"/>
      <c r="E36" s="1"/>
      <c r="F36" s="1"/>
      <c r="G36" s="1"/>
      <c r="H36" s="1"/>
      <c r="I36" s="207"/>
      <c r="J36">
        <f>IF(ISERROR(VLOOKUP(A36,Sunday!AE:AE,1,0)),0,1)</f>
        <v>0</v>
      </c>
      <c r="K36">
        <f>IF(ISERROR(VLOOKUP(A36,Monday!AE:AE,1,0)),0,1)</f>
        <v>0</v>
      </c>
      <c r="L36">
        <f>IF(ISERROR(VLOOKUP(A36,Tuesday!AE:AE,1,0)),0,1)</f>
        <v>0</v>
      </c>
      <c r="M36">
        <f>IF(ISERROR(VLOOKUP(A36,Wednesday!AE:AE,1,0)),0,1)</f>
        <v>0</v>
      </c>
      <c r="N36">
        <f>IF(ISERROR(VLOOKUP(A36,Thursday!AE:AE,1,0)),0,1)</f>
        <v>0</v>
      </c>
      <c r="O36">
        <f>IF(ISERROR(VLOOKUP(A36,Friday!AE:AE,1,0)),0,1)</f>
        <v>0</v>
      </c>
      <c r="P36">
        <f>IF(ISERROR(VLOOKUP(A36,Saturday!AE:AE,1,0)),0,1)</f>
        <v>0</v>
      </c>
      <c r="Q36" t="b">
        <f t="shared" si="1"/>
        <v>0</v>
      </c>
    </row>
    <row r="37" spans="1:17" x14ac:dyDescent="0.25">
      <c r="A37" t="str">
        <f t="shared" si="0"/>
        <v>-</v>
      </c>
      <c r="B37" s="1"/>
      <c r="C37" s="1"/>
      <c r="D37" s="49"/>
      <c r="E37" s="3"/>
      <c r="F37" s="3"/>
      <c r="G37" s="1"/>
      <c r="H37" s="1"/>
      <c r="I37" s="1"/>
      <c r="Q37" t="b">
        <f t="shared" si="1"/>
        <v>0</v>
      </c>
    </row>
    <row r="38" spans="1:17" x14ac:dyDescent="0.25">
      <c r="A38" t="str">
        <f t="shared" si="0"/>
        <v>-</v>
      </c>
      <c r="B38" s="1"/>
      <c r="C38" s="1"/>
      <c r="D38" s="49"/>
      <c r="E38" s="3"/>
      <c r="F38" s="3"/>
      <c r="G38" s="3"/>
      <c r="H38" s="3"/>
      <c r="I38" s="3"/>
      <c r="Q38" t="b">
        <f t="shared" si="1"/>
        <v>0</v>
      </c>
    </row>
    <row r="39" spans="1:17" x14ac:dyDescent="0.25">
      <c r="A39" t="str">
        <f t="shared" si="0"/>
        <v>-</v>
      </c>
      <c r="B39" s="1"/>
      <c r="C39" s="1"/>
      <c r="D39" s="49"/>
      <c r="E39" s="3"/>
      <c r="F39" s="3"/>
      <c r="G39" s="3"/>
      <c r="H39" s="3"/>
      <c r="I39" s="3"/>
      <c r="Q39" t="b">
        <f t="shared" si="1"/>
        <v>0</v>
      </c>
    </row>
    <row r="40" spans="1:17" x14ac:dyDescent="0.25">
      <c r="A40" t="str">
        <f t="shared" si="0"/>
        <v>-</v>
      </c>
      <c r="B40" s="1"/>
      <c r="C40" s="1"/>
      <c r="D40" s="49"/>
      <c r="E40" s="3"/>
      <c r="F40" s="3"/>
      <c r="G40" s="3"/>
      <c r="H40" s="3"/>
      <c r="I40" s="3"/>
      <c r="Q40" t="b">
        <f t="shared" si="1"/>
        <v>0</v>
      </c>
    </row>
    <row r="41" spans="1:17" x14ac:dyDescent="0.25">
      <c r="A41" t="str">
        <f t="shared" si="0"/>
        <v>-</v>
      </c>
      <c r="B41" s="1"/>
      <c r="C41" s="1"/>
      <c r="D41" s="49"/>
      <c r="E41" s="3"/>
      <c r="F41" s="3"/>
      <c r="G41" s="3"/>
      <c r="H41" s="3"/>
      <c r="I41" s="3"/>
      <c r="Q41" t="b">
        <f t="shared" si="1"/>
        <v>0</v>
      </c>
    </row>
    <row r="42" spans="1:17" x14ac:dyDescent="0.25">
      <c r="A42" t="str">
        <f t="shared" si="0"/>
        <v>-</v>
      </c>
      <c r="B42" s="1"/>
      <c r="C42" s="1"/>
      <c r="D42" s="49"/>
      <c r="E42" s="3"/>
      <c r="F42" s="3"/>
      <c r="G42" s="3"/>
      <c r="H42" s="3"/>
      <c r="I42" s="3"/>
      <c r="Q42" t="b">
        <f t="shared" si="1"/>
        <v>0</v>
      </c>
    </row>
    <row r="43" spans="1:17" x14ac:dyDescent="0.25">
      <c r="A43" t="str">
        <f t="shared" si="0"/>
        <v>-</v>
      </c>
      <c r="B43" s="1"/>
      <c r="C43" s="1"/>
      <c r="D43" s="49"/>
      <c r="E43" s="3"/>
      <c r="F43" s="3"/>
      <c r="G43" s="3"/>
      <c r="H43" s="3"/>
      <c r="I43" s="3"/>
      <c r="Q43" t="b">
        <f t="shared" si="1"/>
        <v>0</v>
      </c>
    </row>
    <row r="44" spans="1:17" x14ac:dyDescent="0.25">
      <c r="A44" t="str">
        <f t="shared" si="0"/>
        <v>-</v>
      </c>
      <c r="B44" s="1"/>
      <c r="C44" s="1"/>
      <c r="D44" s="49"/>
      <c r="E44" s="3"/>
      <c r="F44" s="3"/>
      <c r="G44" s="1"/>
      <c r="H44" s="3"/>
      <c r="I44" s="3"/>
      <c r="Q44" t="b">
        <f t="shared" si="1"/>
        <v>0</v>
      </c>
    </row>
    <row r="45" spans="1:17" x14ac:dyDescent="0.25">
      <c r="A45" t="str">
        <f t="shared" si="0"/>
        <v>-</v>
      </c>
      <c r="B45" s="1"/>
      <c r="C45" s="1"/>
      <c r="D45" s="49"/>
      <c r="E45" s="3"/>
      <c r="F45" s="3"/>
      <c r="G45" s="3"/>
      <c r="H45" s="3"/>
      <c r="I45" s="3"/>
      <c r="Q45" t="b">
        <f t="shared" si="1"/>
        <v>0</v>
      </c>
    </row>
    <row r="46" spans="1:17" x14ac:dyDescent="0.25">
      <c r="A46" t="str">
        <f t="shared" si="0"/>
        <v>-</v>
      </c>
      <c r="B46" s="1"/>
      <c r="C46" s="1"/>
      <c r="D46" s="49"/>
      <c r="E46" s="3"/>
      <c r="F46" s="3"/>
      <c r="G46" s="3"/>
      <c r="H46" s="3"/>
      <c r="I46" s="3"/>
      <c r="Q46" t="b">
        <f t="shared" si="1"/>
        <v>0</v>
      </c>
    </row>
    <row r="47" spans="1:17" x14ac:dyDescent="0.25">
      <c r="A47" t="str">
        <f t="shared" si="0"/>
        <v>-</v>
      </c>
      <c r="B47" s="1"/>
      <c r="C47" s="1"/>
      <c r="D47" s="49"/>
      <c r="E47" s="3"/>
      <c r="F47" s="3"/>
      <c r="G47" s="3"/>
      <c r="H47" s="3"/>
      <c r="I47" s="3"/>
      <c r="Q47" t="b">
        <f t="shared" si="1"/>
        <v>0</v>
      </c>
    </row>
    <row r="48" spans="1:17" x14ac:dyDescent="0.25">
      <c r="A48" t="str">
        <f t="shared" si="0"/>
        <v>-</v>
      </c>
      <c r="B48" s="1"/>
      <c r="C48" s="1"/>
      <c r="D48" s="49"/>
      <c r="E48" s="3"/>
      <c r="F48" s="3"/>
      <c r="G48" s="1"/>
      <c r="H48" s="1"/>
      <c r="I48" s="1"/>
      <c r="Q48" t="b">
        <f t="shared" si="1"/>
        <v>0</v>
      </c>
    </row>
    <row r="49" spans="1:17" x14ac:dyDescent="0.25">
      <c r="A49" t="str">
        <f t="shared" si="0"/>
        <v>-</v>
      </c>
      <c r="B49" s="1"/>
      <c r="C49" s="1"/>
      <c r="D49" s="49"/>
      <c r="E49" s="3"/>
      <c r="F49" s="3"/>
      <c r="G49" s="3"/>
      <c r="H49" s="3"/>
      <c r="I49" s="3"/>
      <c r="Q49" t="b">
        <f t="shared" si="1"/>
        <v>0</v>
      </c>
    </row>
    <row r="50" spans="1:17" x14ac:dyDescent="0.25">
      <c r="A50" t="str">
        <f t="shared" si="0"/>
        <v>-</v>
      </c>
      <c r="B50" s="1"/>
      <c r="C50" s="1"/>
      <c r="D50" s="49"/>
      <c r="E50" s="3"/>
      <c r="F50" s="3"/>
      <c r="G50" s="3"/>
      <c r="H50" s="3"/>
      <c r="I50" s="3"/>
      <c r="Q50" t="b">
        <f t="shared" si="1"/>
        <v>0</v>
      </c>
    </row>
    <row r="51" spans="1:17" x14ac:dyDescent="0.25">
      <c r="A51" t="str">
        <f t="shared" si="0"/>
        <v>-</v>
      </c>
      <c r="B51" s="1"/>
      <c r="C51" s="1"/>
      <c r="D51" s="49"/>
      <c r="E51" s="3"/>
      <c r="F51" s="3"/>
      <c r="G51" s="1"/>
      <c r="H51" s="3"/>
      <c r="I51" s="3"/>
      <c r="Q51" t="b">
        <f t="shared" si="1"/>
        <v>0</v>
      </c>
    </row>
    <row r="52" spans="1:17" x14ac:dyDescent="0.25">
      <c r="A52" t="str">
        <f t="shared" si="0"/>
        <v>-</v>
      </c>
      <c r="B52" s="1"/>
      <c r="C52" s="1"/>
      <c r="D52" s="49"/>
      <c r="E52" s="3"/>
      <c r="F52" s="3"/>
      <c r="G52" s="3"/>
      <c r="H52" s="3"/>
      <c r="I52" s="3"/>
      <c r="Q52" t="b">
        <f t="shared" si="1"/>
        <v>0</v>
      </c>
    </row>
    <row r="53" spans="1:17" x14ac:dyDescent="0.25">
      <c r="A53" t="str">
        <f t="shared" si="0"/>
        <v>-</v>
      </c>
      <c r="B53" s="1"/>
      <c r="C53" s="1"/>
      <c r="D53" s="49"/>
      <c r="E53" s="3"/>
      <c r="F53" s="3"/>
      <c r="G53" s="1"/>
      <c r="H53" s="3"/>
      <c r="I53" s="3"/>
      <c r="Q53" t="b">
        <f t="shared" si="1"/>
        <v>0</v>
      </c>
    </row>
    <row r="54" spans="1:17" x14ac:dyDescent="0.25">
      <c r="A54" t="str">
        <f t="shared" si="0"/>
        <v>-</v>
      </c>
      <c r="B54" s="1"/>
      <c r="C54" s="1"/>
      <c r="D54" s="49"/>
      <c r="E54" s="3"/>
      <c r="F54" s="3"/>
      <c r="G54" s="3"/>
      <c r="H54" s="3"/>
      <c r="I54" s="3"/>
      <c r="Q54" t="b">
        <f t="shared" si="1"/>
        <v>0</v>
      </c>
    </row>
    <row r="55" spans="1:17" x14ac:dyDescent="0.25">
      <c r="A55" t="str">
        <f t="shared" si="0"/>
        <v>-</v>
      </c>
      <c r="B55" s="1"/>
      <c r="C55" s="1"/>
      <c r="D55" s="49"/>
      <c r="E55" s="3"/>
      <c r="F55" s="3"/>
      <c r="G55" s="3"/>
      <c r="H55" s="3"/>
      <c r="I55" s="3"/>
      <c r="Q55" t="b">
        <f t="shared" si="1"/>
        <v>0</v>
      </c>
    </row>
    <row r="56" spans="1:17" x14ac:dyDescent="0.25">
      <c r="A56" t="str">
        <f t="shared" si="0"/>
        <v>-</v>
      </c>
      <c r="B56" s="1"/>
      <c r="C56" s="1"/>
      <c r="D56" s="49"/>
      <c r="E56" s="3"/>
      <c r="F56" s="3"/>
      <c r="G56" s="3"/>
      <c r="H56" s="3"/>
      <c r="I56" s="3"/>
      <c r="Q56" t="b">
        <f t="shared" si="1"/>
        <v>0</v>
      </c>
    </row>
    <row r="57" spans="1:17" x14ac:dyDescent="0.25">
      <c r="A57" t="str">
        <f t="shared" si="0"/>
        <v>-</v>
      </c>
      <c r="B57" s="1"/>
      <c r="C57" s="1"/>
      <c r="D57" s="49"/>
      <c r="E57" s="1"/>
      <c r="F57" s="1"/>
      <c r="G57" s="1"/>
      <c r="H57" s="1"/>
      <c r="I57" s="1"/>
      <c r="Q57" t="b">
        <f t="shared" si="1"/>
        <v>0</v>
      </c>
    </row>
    <row r="58" spans="1:17" x14ac:dyDescent="0.25">
      <c r="A58" t="str">
        <f t="shared" si="0"/>
        <v>-</v>
      </c>
      <c r="B58" s="1"/>
      <c r="C58" s="1"/>
      <c r="D58" s="49"/>
      <c r="E58" s="1"/>
      <c r="F58" s="1"/>
      <c r="G58" s="1"/>
      <c r="H58" s="1"/>
      <c r="I58" s="1"/>
      <c r="Q58" t="b">
        <f t="shared" si="1"/>
        <v>0</v>
      </c>
    </row>
    <row r="59" spans="1:17" x14ac:dyDescent="0.25">
      <c r="A59" t="str">
        <f t="shared" si="0"/>
        <v>-</v>
      </c>
      <c r="B59" s="1"/>
      <c r="C59" s="1"/>
      <c r="D59" s="49"/>
      <c r="E59" s="1"/>
      <c r="F59" s="1"/>
      <c r="G59" s="1"/>
      <c r="H59" s="1"/>
      <c r="I59" s="1"/>
      <c r="Q59" t="b">
        <f t="shared" si="1"/>
        <v>0</v>
      </c>
    </row>
    <row r="60" spans="1:17" x14ac:dyDescent="0.25">
      <c r="A60" t="str">
        <f t="shared" si="0"/>
        <v>-</v>
      </c>
      <c r="B60" s="1"/>
      <c r="C60" s="1"/>
      <c r="D60" s="49"/>
      <c r="E60" s="1"/>
      <c r="F60" s="1"/>
      <c r="G60" s="1"/>
      <c r="H60" s="1"/>
      <c r="I60" s="1"/>
      <c r="Q60" t="b">
        <f t="shared" si="1"/>
        <v>0</v>
      </c>
    </row>
    <row r="61" spans="1:17" x14ac:dyDescent="0.25">
      <c r="A61" t="str">
        <f t="shared" si="0"/>
        <v>-</v>
      </c>
      <c r="B61" s="1"/>
      <c r="C61" s="1"/>
      <c r="D61" s="49"/>
      <c r="E61" s="3"/>
      <c r="F61" s="3"/>
      <c r="G61" s="3"/>
      <c r="H61" s="3"/>
      <c r="I61" s="3"/>
      <c r="Q61" t="b">
        <f t="shared" si="1"/>
        <v>0</v>
      </c>
    </row>
    <row r="62" spans="1:17" x14ac:dyDescent="0.25">
      <c r="A62" t="str">
        <f t="shared" si="0"/>
        <v>-</v>
      </c>
      <c r="B62" s="1"/>
      <c r="C62" s="1"/>
      <c r="D62" s="49"/>
      <c r="E62" s="3"/>
      <c r="F62" s="3"/>
      <c r="G62" s="3"/>
      <c r="H62" s="3"/>
      <c r="I62" s="3"/>
      <c r="Q62" t="b">
        <f t="shared" si="1"/>
        <v>0</v>
      </c>
    </row>
    <row r="63" spans="1:17" x14ac:dyDescent="0.25">
      <c r="A63" t="str">
        <f t="shared" si="0"/>
        <v>-</v>
      </c>
      <c r="B63" s="1"/>
      <c r="C63" s="1"/>
      <c r="D63" s="49"/>
      <c r="E63" s="1"/>
      <c r="F63" s="1"/>
      <c r="G63" s="1"/>
      <c r="H63" s="1"/>
      <c r="I63" s="1"/>
    </row>
    <row r="64" spans="1:17" x14ac:dyDescent="0.25">
      <c r="A64" t="str">
        <f t="shared" si="0"/>
        <v>-</v>
      </c>
      <c r="B64" s="1"/>
      <c r="C64" s="1"/>
      <c r="D64" s="49"/>
      <c r="E64" s="1"/>
      <c r="F64" s="1"/>
      <c r="G64" s="1"/>
      <c r="H64" s="1"/>
      <c r="I64" s="1"/>
    </row>
    <row r="65" spans="1:9" x14ac:dyDescent="0.25">
      <c r="A65" t="str">
        <f t="shared" si="0"/>
        <v>-</v>
      </c>
      <c r="B65" s="1"/>
      <c r="C65" s="1"/>
      <c r="D65" s="49"/>
      <c r="E65" s="3"/>
      <c r="F65" s="3"/>
      <c r="G65" s="1"/>
      <c r="H65" s="1"/>
      <c r="I65" s="1"/>
    </row>
    <row r="66" spans="1:9" x14ac:dyDescent="0.25">
      <c r="A66" t="str">
        <f t="shared" ref="A66:A68" si="2">B66 &amp; "-"  &amp; D66</f>
        <v>-</v>
      </c>
      <c r="B66" s="1"/>
      <c r="C66" s="1"/>
      <c r="D66" s="49"/>
      <c r="E66" s="3"/>
      <c r="F66" s="3"/>
      <c r="G66" s="1"/>
      <c r="H66" s="1"/>
      <c r="I66" s="1"/>
    </row>
    <row r="67" spans="1:9" x14ac:dyDescent="0.25">
      <c r="A67" t="str">
        <f t="shared" si="2"/>
        <v>-</v>
      </c>
      <c r="B67" s="1"/>
      <c r="C67" s="1"/>
      <c r="D67" s="49"/>
      <c r="E67" s="3"/>
      <c r="F67" s="3"/>
      <c r="G67" s="1"/>
      <c r="H67" s="1"/>
      <c r="I67" s="1"/>
    </row>
    <row r="68" spans="1:9" x14ac:dyDescent="0.25">
      <c r="A68" t="str">
        <f t="shared" si="2"/>
        <v>-</v>
      </c>
      <c r="B68" s="1"/>
      <c r="C68" s="1"/>
      <c r="D68" s="49"/>
      <c r="E68" s="1"/>
      <c r="F68" s="1"/>
      <c r="G68" s="1"/>
      <c r="H68" s="1"/>
      <c r="I68" s="1"/>
    </row>
    <row r="69" spans="1:9" x14ac:dyDescent="0.25">
      <c r="B69" s="1"/>
      <c r="C69" s="1"/>
      <c r="D69" s="49"/>
      <c r="E69" s="3"/>
      <c r="F69" s="3"/>
      <c r="G69" s="1"/>
      <c r="H69" s="1"/>
      <c r="I69" s="1"/>
    </row>
    <row r="70" spans="1:9" x14ac:dyDescent="0.25">
      <c r="B70" s="1"/>
      <c r="C70" s="1"/>
      <c r="D70" s="49"/>
      <c r="E70" s="3"/>
      <c r="F70" s="3"/>
      <c r="G70" s="1"/>
      <c r="H70" s="1"/>
      <c r="I70" s="1"/>
    </row>
  </sheetData>
  <conditionalFormatting sqref="Q1:Q1048576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tabColor theme="0" tint="-0.14999847407452621"/>
  </sheetPr>
  <dimension ref="A1:E16"/>
  <sheetViews>
    <sheetView workbookViewId="0">
      <selection activeCell="A2" sqref="A2:A16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70</v>
      </c>
      <c r="B1" t="s">
        <v>12</v>
      </c>
      <c r="C1" t="s">
        <v>46</v>
      </c>
    </row>
    <row r="2" spans="1:5" x14ac:dyDescent="0.25">
      <c r="A2" s="4" t="s">
        <v>17</v>
      </c>
      <c r="B2" t="s">
        <v>32</v>
      </c>
      <c r="C2" t="s">
        <v>57</v>
      </c>
      <c r="E2" s="19"/>
    </row>
    <row r="3" spans="1:5" x14ac:dyDescent="0.25">
      <c r="A3" s="5" t="s">
        <v>18</v>
      </c>
      <c r="B3" t="s">
        <v>33</v>
      </c>
      <c r="C3" t="s">
        <v>60</v>
      </c>
    </row>
    <row r="4" spans="1:5" ht="25.5" x14ac:dyDescent="0.25">
      <c r="A4" s="6" t="s">
        <v>19</v>
      </c>
      <c r="C4" t="s">
        <v>47</v>
      </c>
    </row>
    <row r="5" spans="1:5" ht="25.5" x14ac:dyDescent="0.25">
      <c r="A5" s="7" t="s">
        <v>20</v>
      </c>
      <c r="C5" t="s">
        <v>69</v>
      </c>
    </row>
    <row r="6" spans="1:5" ht="25.5" x14ac:dyDescent="0.25">
      <c r="A6" s="8" t="s">
        <v>21</v>
      </c>
    </row>
    <row r="7" spans="1:5" ht="25.5" x14ac:dyDescent="0.25">
      <c r="A7" s="9" t="s">
        <v>22</v>
      </c>
    </row>
    <row r="8" spans="1:5" ht="25.5" x14ac:dyDescent="0.25">
      <c r="A8" s="10" t="s">
        <v>23</v>
      </c>
    </row>
    <row r="9" spans="1:5" ht="25.5" x14ac:dyDescent="0.25">
      <c r="A9" s="11" t="s">
        <v>24</v>
      </c>
    </row>
    <row r="10" spans="1:5" x14ac:dyDescent="0.25">
      <c r="A10" s="12" t="s">
        <v>25</v>
      </c>
    </row>
    <row r="11" spans="1:5" x14ac:dyDescent="0.25">
      <c r="A11" s="13" t="s">
        <v>26</v>
      </c>
    </row>
    <row r="12" spans="1:5" ht="25.5" x14ac:dyDescent="0.25">
      <c r="A12" s="14" t="s">
        <v>27</v>
      </c>
    </row>
    <row r="13" spans="1:5" x14ac:dyDescent="0.25">
      <c r="A13" s="15" t="s">
        <v>28</v>
      </c>
    </row>
    <row r="14" spans="1:5" ht="25.5" x14ac:dyDescent="0.25">
      <c r="A14" s="16" t="s">
        <v>29</v>
      </c>
    </row>
    <row r="15" spans="1:5" ht="25.5" x14ac:dyDescent="0.25">
      <c r="A15" s="17" t="s">
        <v>30</v>
      </c>
    </row>
    <row r="16" spans="1:5" x14ac:dyDescent="0.25">
      <c r="A16" s="18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gencyRates">
    <tabColor theme="0" tint="-0.14999847407452621"/>
  </sheetPr>
  <dimension ref="A1:L16"/>
  <sheetViews>
    <sheetView workbookViewId="0">
      <selection activeCell="G12" sqref="G12"/>
    </sheetView>
  </sheetViews>
  <sheetFormatPr defaultRowHeight="15" x14ac:dyDescent="0.25"/>
  <cols>
    <col min="1" max="1" width="26.140625" bestFit="1" customWidth="1"/>
    <col min="2" max="2" width="15.85546875" bestFit="1" customWidth="1"/>
    <col min="3" max="3" width="13.42578125" bestFit="1" customWidth="1"/>
    <col min="4" max="4" width="7.28515625" bestFit="1" customWidth="1"/>
    <col min="5" max="5" width="43.5703125" bestFit="1" customWidth="1"/>
    <col min="7" max="7" width="19.85546875" bestFit="1" customWidth="1"/>
    <col min="9" max="9" width="12.7109375" bestFit="1" customWidth="1"/>
  </cols>
  <sheetData>
    <row r="1" spans="1:12" ht="18" x14ac:dyDescent="0.25">
      <c r="A1" s="41" t="s">
        <v>71</v>
      </c>
      <c r="B1" s="41" t="s">
        <v>46</v>
      </c>
      <c r="C1" s="41" t="s">
        <v>54</v>
      </c>
      <c r="D1" s="41" t="s">
        <v>55</v>
      </c>
      <c r="E1" s="41" t="s">
        <v>56</v>
      </c>
      <c r="G1" s="41"/>
      <c r="I1" s="44" t="str">
        <f t="array" ref="I1">IFERROR(INDEX($C$2:$C$16, SMALL(IF(([1]Info!$B$3=$B$2:$B$16), MATCH(ROW($B$2:$B$16), ROW($B$2:$B$16)), ""),ROWS($A$1:A1))), "")</f>
        <v/>
      </c>
      <c r="K1" s="190" t="s">
        <v>115</v>
      </c>
    </row>
    <row r="2" spans="1:12" ht="18" x14ac:dyDescent="0.25">
      <c r="A2" t="str">
        <f>B2&amp;"-"&amp;C2</f>
        <v>Staffline-Standard</v>
      </c>
      <c r="B2" s="38" t="s">
        <v>60</v>
      </c>
      <c r="C2" s="39" t="s">
        <v>58</v>
      </c>
      <c r="D2" s="42">
        <v>12.21</v>
      </c>
      <c r="E2" t="s">
        <v>61</v>
      </c>
      <c r="I2" s="44" t="str">
        <f t="array" ref="I2">IFERROR(INDEX($C$2:$C$16, SMALL(IF(([1]Info!$B$3=$B$2:$B$16), MATCH(ROW($B$2:$B$16), ROW($B$2:$B$16)), ""),ROWS($A$1:A2))), "")</f>
        <v/>
      </c>
      <c r="K2" t="str">
        <f>[1]Data!C2</f>
        <v>Staffline</v>
      </c>
      <c r="L2">
        <v>100</v>
      </c>
    </row>
    <row r="3" spans="1:12" ht="18" x14ac:dyDescent="0.25">
      <c r="A3" t="str">
        <f t="shared" ref="A3:A16" si="0">B3&amp;"-"&amp;C3</f>
        <v>Staffline-Afternoon</v>
      </c>
      <c r="B3" s="38" t="s">
        <v>60</v>
      </c>
      <c r="C3" s="39" t="s">
        <v>62</v>
      </c>
      <c r="D3" s="42">
        <v>12.84</v>
      </c>
      <c r="E3" s="43" t="s">
        <v>116</v>
      </c>
      <c r="I3" s="44" t="str">
        <f t="array" ref="I3">IFERROR(INDEX($C$2:$C$16, SMALL(IF(([1]Info!$B$3=$B$2:$B$16), MATCH(ROW($B$2:$B$16), ROW($B$2:$B$16)), ""),ROWS($A$1:A3))), "")</f>
        <v/>
      </c>
      <c r="K3" t="str">
        <f>[1]Data!C3</f>
        <v>24H</v>
      </c>
      <c r="L3">
        <v>130.24</v>
      </c>
    </row>
    <row r="4" spans="1:12" ht="18" x14ac:dyDescent="0.25">
      <c r="A4" t="str">
        <f t="shared" si="0"/>
        <v>Staffline-Night</v>
      </c>
      <c r="B4" s="38" t="s">
        <v>60</v>
      </c>
      <c r="C4" s="39" t="s">
        <v>64</v>
      </c>
      <c r="D4" s="42">
        <v>13.24</v>
      </c>
      <c r="E4" s="43" t="s">
        <v>117</v>
      </c>
      <c r="I4" s="44" t="str">
        <f t="array" ref="I4">IFERROR(INDEX($C$2:$C$16, SMALL(IF(([1]Info!$B$3=$B$2:$B$16), MATCH(ROW($B$2:$B$16), ROW($B$2:$B$16)), ""),ROWS($A$1:A4))), "")</f>
        <v/>
      </c>
      <c r="K4" t="str">
        <f>[1]Data!C4</f>
        <v>Turner Stubbs</v>
      </c>
      <c r="L4">
        <v>128.87</v>
      </c>
    </row>
    <row r="5" spans="1:12" ht="18" x14ac:dyDescent="0.25">
      <c r="A5" t="str">
        <f t="shared" si="0"/>
        <v>Staffline-QA Day</v>
      </c>
      <c r="B5" s="38" t="s">
        <v>60</v>
      </c>
      <c r="C5" s="39" t="s">
        <v>52</v>
      </c>
      <c r="D5" s="42">
        <v>14.84</v>
      </c>
      <c r="E5" t="s">
        <v>118</v>
      </c>
      <c r="I5" s="44" t="str">
        <f t="array" ref="I5">IFERROR(INDEX($C$2:$C$16, SMALL(IF(([1]Info!$B$3=$B$2:$B$16), MATCH(ROW($B$2:$B$16), ROW($B$2:$B$16)), ""),ROWS($A$1:A5))), "")</f>
        <v/>
      </c>
      <c r="K5">
        <f>[1]Data!C5</f>
        <v>0</v>
      </c>
    </row>
    <row r="6" spans="1:12" ht="18" x14ac:dyDescent="0.25">
      <c r="A6" t="str">
        <f t="shared" si="0"/>
        <v>Staffline-QA PM</v>
      </c>
      <c r="B6" s="38" t="s">
        <v>60</v>
      </c>
      <c r="C6" s="39" t="s">
        <v>119</v>
      </c>
      <c r="D6" s="42">
        <v>16.170000000000002</v>
      </c>
      <c r="E6" t="s">
        <v>120</v>
      </c>
      <c r="I6" s="44" t="str">
        <f t="array" ref="I6">IFERROR(INDEX($C$2:$C$16, SMALL(IF(([1]Info!$B$3=$B$2:$B$16), MATCH(ROW($B$2:$B$16), ROW($B$2:$B$16)), ""),ROWS($A$1:A6))), "")</f>
        <v/>
      </c>
    </row>
    <row r="7" spans="1:12" ht="18" x14ac:dyDescent="0.25">
      <c r="A7" t="str">
        <f t="shared" si="0"/>
        <v>Staffline-FLT Days</v>
      </c>
      <c r="B7" s="38" t="s">
        <v>60</v>
      </c>
      <c r="C7" s="39" t="s">
        <v>121</v>
      </c>
      <c r="D7" s="42">
        <v>13.45</v>
      </c>
      <c r="E7" s="43" t="s">
        <v>61</v>
      </c>
      <c r="I7" s="44" t="str">
        <f t="array" ref="I7">IFERROR(INDEX($C$2:$C$16, SMALL(IF(([1]Info!$B$3=$B$2:$B$16), MATCH(ROW($B$2:$B$16), ROW($B$2:$B$16)), ""),ROWS($A$1:A7))), "")</f>
        <v/>
      </c>
    </row>
    <row r="8" spans="1:12" ht="18" x14ac:dyDescent="0.25">
      <c r="A8" t="str">
        <f t="shared" si="0"/>
        <v>Staffline-FLT Afternoon</v>
      </c>
      <c r="B8" s="38" t="s">
        <v>60</v>
      </c>
      <c r="C8" s="39" t="s">
        <v>122</v>
      </c>
      <c r="D8" s="42">
        <v>14.09</v>
      </c>
      <c r="E8" s="43" t="s">
        <v>116</v>
      </c>
      <c r="I8" s="44" t="str">
        <f t="array" ref="I8">IFERROR(INDEX($C$2:$C$16, SMALL(IF(([1]Info!$B$3=$B$2:$B$16), MATCH(ROW($B$2:$B$16), ROW($B$2:$B$16)), ""),ROWS($A$1:A8))), "")</f>
        <v/>
      </c>
    </row>
    <row r="9" spans="1:12" ht="18" x14ac:dyDescent="0.25">
      <c r="A9" t="str">
        <f t="shared" si="0"/>
        <v>Staffline-FLT Nights</v>
      </c>
      <c r="B9" s="38" t="s">
        <v>60</v>
      </c>
      <c r="C9" s="39" t="s">
        <v>123</v>
      </c>
      <c r="D9" s="42">
        <v>14.51</v>
      </c>
      <c r="E9" t="s">
        <v>117</v>
      </c>
      <c r="I9" s="44" t="str">
        <f t="array" ref="I9">IFERROR(INDEX($C$2:$C$16, SMALL(IF(([1]Info!$B$3=$B$2:$B$16), MATCH(ROW($B$2:$B$16), ROW($B$2:$B$16)), ""),ROWS($A$1:A9))), "")</f>
        <v/>
      </c>
    </row>
    <row r="10" spans="1:12" ht="18" x14ac:dyDescent="0.25">
      <c r="A10" t="str">
        <f t="shared" si="0"/>
        <v>24H-Standard</v>
      </c>
      <c r="B10" s="38" t="s">
        <v>47</v>
      </c>
      <c r="C10" s="39" t="s">
        <v>58</v>
      </c>
      <c r="D10" s="42">
        <v>12.4</v>
      </c>
      <c r="E10" t="s">
        <v>66</v>
      </c>
      <c r="I10" s="44" t="str">
        <f t="array" ref="I10">IFERROR(INDEX($C$2:$C$16, SMALL(IF(([1]Info!$B$3=$B$2:$B$16), MATCH(ROW($B$2:$B$16), ROW($B$2:$B$16)), ""),ROWS($A$1:A10))), "")</f>
        <v/>
      </c>
    </row>
    <row r="11" spans="1:12" x14ac:dyDescent="0.25">
      <c r="A11" t="str">
        <f t="shared" si="0"/>
        <v>24H-Afternoon</v>
      </c>
      <c r="B11" s="38" t="s">
        <v>47</v>
      </c>
      <c r="C11" s="39" t="s">
        <v>62</v>
      </c>
      <c r="D11" s="42">
        <v>13.1</v>
      </c>
      <c r="E11" s="43" t="s">
        <v>67</v>
      </c>
    </row>
    <row r="12" spans="1:12" x14ac:dyDescent="0.25">
      <c r="A12" t="str">
        <f t="shared" si="0"/>
        <v>24H-Night</v>
      </c>
      <c r="B12" s="38" t="s">
        <v>47</v>
      </c>
      <c r="C12" s="39" t="s">
        <v>64</v>
      </c>
      <c r="D12" s="42">
        <v>13.54</v>
      </c>
      <c r="E12" s="43" t="s">
        <v>68</v>
      </c>
    </row>
    <row r="13" spans="1:12" x14ac:dyDescent="0.25">
      <c r="A13" t="str">
        <f t="shared" si="0"/>
        <v>24H-FLT</v>
      </c>
      <c r="B13" s="38" t="s">
        <v>47</v>
      </c>
      <c r="C13" s="39" t="s">
        <v>59</v>
      </c>
      <c r="D13" s="42">
        <v>13.84</v>
      </c>
      <c r="E13" s="43"/>
    </row>
    <row r="14" spans="1:12" x14ac:dyDescent="0.25">
      <c r="A14" t="str">
        <f t="shared" si="0"/>
        <v>Turner Stubbs-Standard</v>
      </c>
      <c r="B14" s="38" t="s">
        <v>69</v>
      </c>
      <c r="C14" s="39" t="s">
        <v>58</v>
      </c>
      <c r="D14" s="42">
        <v>11.87</v>
      </c>
      <c r="E14" t="s">
        <v>66</v>
      </c>
    </row>
    <row r="15" spans="1:12" x14ac:dyDescent="0.25">
      <c r="A15" t="str">
        <f t="shared" si="0"/>
        <v>Turner Stubbs-Afternoon</v>
      </c>
      <c r="B15" s="38" t="s">
        <v>69</v>
      </c>
      <c r="C15" s="39" t="s">
        <v>62</v>
      </c>
      <c r="D15" s="42">
        <v>12.51</v>
      </c>
      <c r="E15" s="43" t="s">
        <v>63</v>
      </c>
    </row>
    <row r="16" spans="1:12" x14ac:dyDescent="0.25">
      <c r="A16" t="str">
        <f t="shared" si="0"/>
        <v>Turner Stubbs-Night</v>
      </c>
      <c r="B16" s="38" t="s">
        <v>69</v>
      </c>
      <c r="C16" s="39" t="s">
        <v>64</v>
      </c>
      <c r="D16" s="42">
        <v>12.91</v>
      </c>
      <c r="E16" s="43" t="s">
        <v>65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Sunday</vt:lpstr>
      <vt:lpstr>Monday</vt:lpstr>
      <vt:lpstr>Tuesday</vt:lpstr>
      <vt:lpstr>Wednesday</vt:lpstr>
      <vt:lpstr>Thursday</vt:lpstr>
      <vt:lpstr>Friday</vt:lpstr>
      <vt:lpstr>Saturday</vt:lpstr>
      <vt:lpstr>Missing Hours</vt:lpstr>
      <vt:lpstr>Summary</vt:lpstr>
      <vt:lpstr>Daily Hours</vt:lpstr>
      <vt:lpstr>Dept</vt:lpstr>
      <vt:lpstr>Factory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Burroughs</dc:creator>
  <cp:lastModifiedBy>Jake Burroughs</cp:lastModifiedBy>
  <dcterms:created xsi:type="dcterms:W3CDTF">2021-07-20T17:49:24Z</dcterms:created>
  <dcterms:modified xsi:type="dcterms:W3CDTF">2022-01-10T16:03:37Z</dcterms:modified>
</cp:coreProperties>
</file>