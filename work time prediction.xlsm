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M:\Jake Burroughs\"/>
    </mc:Choice>
  </mc:AlternateContent>
  <bookViews>
    <workbookView xWindow="0" yWindow="0" windowWidth="28800" windowHeight="12330" activeTab="2"/>
  </bookViews>
  <sheets>
    <sheet name="Input" sheetId="1" r:id="rId1"/>
    <sheet name="Output" sheetId="2" r:id="rId2"/>
    <sheet name="Prediction" sheetId="3" r:id="rId3"/>
    <sheet name="Departments" sheetId="6" r:id="rId4"/>
    <sheet name="Schedules" sheetId="5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3" l="1" a="1"/>
  <c r="A8" i="3" s="1"/>
  <c r="A9" i="3" s="1" a="1"/>
  <c r="A9" i="3" s="1"/>
  <c r="A10" i="3" s="1" a="1"/>
  <c r="A10" i="3" s="1"/>
  <c r="A11" i="3" l="1" a="1"/>
  <c r="A11" i="3" s="1"/>
  <c r="B3" i="3"/>
  <c r="A12" i="3" l="1" a="1"/>
  <c r="A12" i="3" s="1"/>
  <c r="A13" i="3" s="1" a="1"/>
  <c r="A13" i="3" s="1"/>
  <c r="B4" i="3"/>
  <c r="A14" i="3" l="1" a="1"/>
  <c r="A14" i="3" s="1"/>
  <c r="E5" i="3"/>
  <c r="B8" i="3"/>
  <c r="C8" i="3" s="1"/>
  <c r="A15" i="3" l="1" a="1"/>
  <c r="A15" i="3" s="1"/>
  <c r="A16" i="3" s="1" a="1"/>
  <c r="A16" i="3" s="1"/>
  <c r="D8" i="3"/>
  <c r="A17" i="3" l="1" a="1"/>
  <c r="A17" i="3" s="1"/>
  <c r="B14" i="3"/>
  <c r="B13" i="3"/>
  <c r="AI8" i="3"/>
  <c r="AD8" i="3"/>
  <c r="T8" i="3"/>
  <c r="O8" i="3"/>
  <c r="J8" i="3"/>
  <c r="Y8" i="3"/>
  <c r="E8" i="3"/>
  <c r="H8" i="3" s="1"/>
  <c r="B9" i="3"/>
  <c r="C9" i="3" s="1"/>
  <c r="D9" i="3"/>
  <c r="A18" i="3" l="1" a="1"/>
  <c r="A18" i="3" s="1"/>
  <c r="AE8" i="3"/>
  <c r="AI9" i="3"/>
  <c r="Y9" i="3"/>
  <c r="Z9" i="3" s="1"/>
  <c r="T9" i="3"/>
  <c r="AD9" i="3"/>
  <c r="O9" i="3"/>
  <c r="J9" i="3"/>
  <c r="E9" i="3"/>
  <c r="H9" i="3" s="1"/>
  <c r="AJ8" i="3"/>
  <c r="F8" i="3"/>
  <c r="AN8" i="3"/>
  <c r="B10" i="3"/>
  <c r="C10" i="3" s="1"/>
  <c r="D10" i="3"/>
  <c r="A19" i="3" l="1" a="1"/>
  <c r="A19" i="3" s="1"/>
  <c r="B16" i="3"/>
  <c r="B15" i="3"/>
  <c r="AI10" i="3"/>
  <c r="AD10" i="3"/>
  <c r="O10" i="3"/>
  <c r="T10" i="3"/>
  <c r="E10" i="3"/>
  <c r="H10" i="3" s="1"/>
  <c r="Y10" i="3"/>
  <c r="Z10" i="3" s="1"/>
  <c r="J10" i="3"/>
  <c r="K9" i="3"/>
  <c r="AJ9" i="3"/>
  <c r="AE9" i="3"/>
  <c r="F9" i="3"/>
  <c r="AN9" i="3"/>
  <c r="D11" i="3"/>
  <c r="B11" i="3"/>
  <c r="C11" i="3" s="1"/>
  <c r="I3" i="5"/>
  <c r="I4" i="5"/>
  <c r="I5" i="5"/>
  <c r="I6" i="5"/>
  <c r="I2" i="5"/>
  <c r="A20" i="3" l="1" a="1"/>
  <c r="A20" i="3" s="1"/>
  <c r="A21" i="3" s="1" a="1"/>
  <c r="A21" i="3" s="1"/>
  <c r="A22" i="3" s="1" a="1"/>
  <c r="A22" i="3" s="1"/>
  <c r="A23" i="3" s="1" a="1"/>
  <c r="A23" i="3" s="1"/>
  <c r="A24" i="3" s="1" a="1"/>
  <c r="A24" i="3" s="1"/>
  <c r="A25" i="3" s="1" a="1"/>
  <c r="A25" i="3" s="1"/>
  <c r="A26" i="3" s="1" a="1"/>
  <c r="A26" i="3" s="1"/>
  <c r="A27" i="3" s="1" a="1"/>
  <c r="A27" i="3" s="1"/>
  <c r="A28" i="3" s="1" a="1"/>
  <c r="A28" i="3" s="1"/>
  <c r="A29" i="3" s="1" a="1"/>
  <c r="A29" i="3" s="1"/>
  <c r="A30" i="3" s="1" a="1"/>
  <c r="A30" i="3" s="1"/>
  <c r="A31" i="3" s="1" a="1"/>
  <c r="A31" i="3" s="1"/>
  <c r="A32" i="3" s="1" a="1"/>
  <c r="A32" i="3" s="1"/>
  <c r="A33" i="3" s="1" a="1"/>
  <c r="A33" i="3" s="1"/>
  <c r="A34" i="3" s="1" a="1"/>
  <c r="A34" i="3" s="1"/>
  <c r="A35" i="3" s="1" a="1"/>
  <c r="A35" i="3" s="1"/>
  <c r="A36" i="3" s="1" a="1"/>
  <c r="A36" i="3" s="1"/>
  <c r="A37" i="3" s="1" a="1"/>
  <c r="A37" i="3" s="1"/>
  <c r="A38" i="3" s="1" a="1"/>
  <c r="A38" i="3" s="1"/>
  <c r="A39" i="3" s="1" a="1"/>
  <c r="A39" i="3" s="1"/>
  <c r="A40" i="3" s="1" a="1"/>
  <c r="A40" i="3" s="1"/>
  <c r="A41" i="3" s="1" a="1"/>
  <c r="A41" i="3" s="1"/>
  <c r="A42" i="3" s="1" a="1"/>
  <c r="A42" i="3" s="1"/>
  <c r="A43" i="3" s="1" a="1"/>
  <c r="A43" i="3" s="1"/>
  <c r="A44" i="3" s="1" a="1"/>
  <c r="A44" i="3" s="1"/>
  <c r="A45" i="3" s="1" a="1"/>
  <c r="A45" i="3" s="1"/>
  <c r="A46" i="3" s="1" a="1"/>
  <c r="A46" i="3" s="1"/>
  <c r="A47" i="3" s="1" a="1"/>
  <c r="A47" i="3" s="1"/>
  <c r="A48" i="3" s="1" a="1"/>
  <c r="A48" i="3" s="1"/>
  <c r="A49" i="3" s="1" a="1"/>
  <c r="A49" i="3" s="1"/>
  <c r="A50" i="3" s="1" a="1"/>
  <c r="A50" i="3" s="1"/>
  <c r="A51" i="3" s="1" a="1"/>
  <c r="A51" i="3" s="1"/>
  <c r="A52" i="3" s="1" a="1"/>
  <c r="A52" i="3" s="1"/>
  <c r="A53" i="3" s="1" a="1"/>
  <c r="A53" i="3" s="1"/>
  <c r="A54" i="3" s="1" a="1"/>
  <c r="A54" i="3" s="1"/>
  <c r="A55" i="3" s="1" a="1"/>
  <c r="A55" i="3" s="1"/>
  <c r="A56" i="3" s="1" a="1"/>
  <c r="A56" i="3" s="1"/>
  <c r="A57" i="3" s="1" a="1"/>
  <c r="A57" i="3" s="1"/>
  <c r="A58" i="3" s="1" a="1"/>
  <c r="A58" i="3" s="1"/>
  <c r="A59" i="3" s="1" a="1"/>
  <c r="A59" i="3" s="1"/>
  <c r="A60" i="3" s="1" a="1"/>
  <c r="A60" i="3" s="1"/>
  <c r="A61" i="3" s="1" a="1"/>
  <c r="A61" i="3" s="1"/>
  <c r="A62" i="3" s="1" a="1"/>
  <c r="A62" i="3" s="1"/>
  <c r="A63" i="3" s="1" a="1"/>
  <c r="A63" i="3" s="1"/>
  <c r="A64" i="3" s="1" a="1"/>
  <c r="A64" i="3" s="1"/>
  <c r="A65" i="3" s="1" a="1"/>
  <c r="A65" i="3" s="1"/>
  <c r="A66" i="3" s="1" a="1"/>
  <c r="A66" i="3" s="1"/>
  <c r="A67" i="3" s="1" a="1"/>
  <c r="A67" i="3" s="1"/>
  <c r="A68" i="3" s="1" a="1"/>
  <c r="A68" i="3" s="1"/>
  <c r="A69" i="3" s="1" a="1"/>
  <c r="A69" i="3" s="1"/>
  <c r="A70" i="3" s="1" a="1"/>
  <c r="A70" i="3" s="1"/>
  <c r="A71" i="3" s="1" a="1"/>
  <c r="A71" i="3" s="1"/>
  <c r="A72" i="3" s="1" a="1"/>
  <c r="A72" i="3" s="1"/>
  <c r="A73" i="3" s="1" a="1"/>
  <c r="A73" i="3" s="1"/>
  <c r="A74" i="3" s="1" a="1"/>
  <c r="A74" i="3" s="1"/>
  <c r="A75" i="3" s="1" a="1"/>
  <c r="A75" i="3" s="1"/>
  <c r="A76" i="3" s="1" a="1"/>
  <c r="A76" i="3" s="1"/>
  <c r="A77" i="3" s="1" a="1"/>
  <c r="A77" i="3" s="1"/>
  <c r="A78" i="3" s="1" a="1"/>
  <c r="A78" i="3" s="1"/>
  <c r="A79" i="3" s="1" a="1"/>
  <c r="A79" i="3" s="1"/>
  <c r="A80" i="3" s="1" a="1"/>
  <c r="A80" i="3" s="1"/>
  <c r="A81" i="3" s="1" a="1"/>
  <c r="A81" i="3" s="1"/>
  <c r="A82" i="3" s="1" a="1"/>
  <c r="A82" i="3" s="1"/>
  <c r="A83" i="3" s="1" a="1"/>
  <c r="A83" i="3" s="1"/>
  <c r="A84" i="3" s="1" a="1"/>
  <c r="A84" i="3" s="1"/>
  <c r="A85" i="3" s="1" a="1"/>
  <c r="A85" i="3" s="1"/>
  <c r="A86" i="3" s="1" a="1"/>
  <c r="A86" i="3" s="1"/>
  <c r="A87" i="3" s="1" a="1"/>
  <c r="A87" i="3" s="1"/>
  <c r="A88" i="3" s="1" a="1"/>
  <c r="A88" i="3" s="1"/>
  <c r="A89" i="3" s="1" a="1"/>
  <c r="A89" i="3" s="1"/>
  <c r="A90" i="3" s="1" a="1"/>
  <c r="A90" i="3" s="1"/>
  <c r="A91" i="3" s="1" a="1"/>
  <c r="A91" i="3" s="1"/>
  <c r="A92" i="3" s="1" a="1"/>
  <c r="A92" i="3" s="1"/>
  <c r="A93" i="3" s="1" a="1"/>
  <c r="A93" i="3" s="1"/>
  <c r="A94" i="3" s="1" a="1"/>
  <c r="A94" i="3" s="1"/>
  <c r="A95" i="3" s="1" a="1"/>
  <c r="A95" i="3" s="1"/>
  <c r="A96" i="3" s="1" a="1"/>
  <c r="A96" i="3" s="1"/>
  <c r="A97" i="3" s="1" a="1"/>
  <c r="A97" i="3" s="1"/>
  <c r="A98" i="3" s="1" a="1"/>
  <c r="A98" i="3" s="1"/>
  <c r="A99" i="3" s="1" a="1"/>
  <c r="A99" i="3" s="1"/>
  <c r="A100" i="3" s="1" a="1"/>
  <c r="A100" i="3" s="1"/>
  <c r="A101" i="3" s="1" a="1"/>
  <c r="A101" i="3" s="1"/>
  <c r="A102" i="3" s="1" a="1"/>
  <c r="A102" i="3" s="1"/>
  <c r="A103" i="3" s="1" a="1"/>
  <c r="A103" i="3" s="1"/>
  <c r="A104" i="3" s="1" a="1"/>
  <c r="A104" i="3" s="1"/>
  <c r="A105" i="3" s="1" a="1"/>
  <c r="A105" i="3" s="1"/>
  <c r="A106" i="3" s="1" a="1"/>
  <c r="A106" i="3" s="1"/>
  <c r="A107" i="3" s="1" a="1"/>
  <c r="A107" i="3" s="1"/>
  <c r="A108" i="3" s="1" a="1"/>
  <c r="A108" i="3" s="1"/>
  <c r="A109" i="3" s="1" a="1"/>
  <c r="A109" i="3" s="1"/>
  <c r="A110" i="3" s="1" a="1"/>
  <c r="A110" i="3" s="1"/>
  <c r="A111" i="3" s="1" a="1"/>
  <c r="A111" i="3" s="1"/>
  <c r="A112" i="3" s="1" a="1"/>
  <c r="A112" i="3" s="1"/>
  <c r="A113" i="3" s="1" a="1"/>
  <c r="A113" i="3" s="1"/>
  <c r="A114" i="3" s="1" a="1"/>
  <c r="A114" i="3" s="1"/>
  <c r="A115" i="3" s="1" a="1"/>
  <c r="A115" i="3" s="1"/>
  <c r="A116" i="3" s="1" a="1"/>
  <c r="A116" i="3" s="1"/>
  <c r="A117" i="3" s="1" a="1"/>
  <c r="A117" i="3" s="1"/>
  <c r="A118" i="3" s="1" a="1"/>
  <c r="A118" i="3" s="1"/>
  <c r="A119" i="3" s="1" a="1"/>
  <c r="A119" i="3" s="1"/>
  <c r="A120" i="3" s="1" a="1"/>
  <c r="A120" i="3" s="1"/>
  <c r="A121" i="3" s="1" a="1"/>
  <c r="A121" i="3" s="1"/>
  <c r="A122" i="3" s="1" a="1"/>
  <c r="A122" i="3" s="1"/>
  <c r="A123" i="3" s="1" a="1"/>
  <c r="A123" i="3" s="1"/>
  <c r="A124" i="3" s="1" a="1"/>
  <c r="A124" i="3" s="1"/>
  <c r="A125" i="3" s="1" a="1"/>
  <c r="A125" i="3" s="1"/>
  <c r="A126" i="3" s="1" a="1"/>
  <c r="A126" i="3" s="1"/>
  <c r="A127" i="3" s="1" a="1"/>
  <c r="A127" i="3" s="1"/>
  <c r="A128" i="3" s="1" a="1"/>
  <c r="A128" i="3" s="1"/>
  <c r="A129" i="3" s="1" a="1"/>
  <c r="A129" i="3" s="1"/>
  <c r="A130" i="3" s="1" a="1"/>
  <c r="A130" i="3" s="1"/>
  <c r="A131" i="3" s="1" a="1"/>
  <c r="A131" i="3" s="1"/>
  <c r="A132" i="3" s="1" a="1"/>
  <c r="A132" i="3" s="1"/>
  <c r="A133" i="3" s="1" a="1"/>
  <c r="A133" i="3" s="1"/>
  <c r="A134" i="3" s="1" a="1"/>
  <c r="A134" i="3" s="1"/>
  <c r="A135" i="3" s="1" a="1"/>
  <c r="A135" i="3" s="1"/>
  <c r="A136" i="3" s="1" a="1"/>
  <c r="A136" i="3" s="1"/>
  <c r="A137" i="3" s="1" a="1"/>
  <c r="A137" i="3" s="1"/>
  <c r="A138" i="3" s="1" a="1"/>
  <c r="A138" i="3" s="1"/>
  <c r="A139" i="3" s="1" a="1"/>
  <c r="A139" i="3" s="1"/>
  <c r="A140" i="3" s="1" a="1"/>
  <c r="A140" i="3" s="1"/>
  <c r="A141" i="3" s="1" a="1"/>
  <c r="A141" i="3" s="1"/>
  <c r="A142" i="3" s="1" a="1"/>
  <c r="A142" i="3" s="1"/>
  <c r="A143" i="3" s="1" a="1"/>
  <c r="A143" i="3" s="1"/>
  <c r="A144" i="3" s="1" a="1"/>
  <c r="A144" i="3" s="1"/>
  <c r="A145" i="3" s="1" a="1"/>
  <c r="A145" i="3" s="1"/>
  <c r="A146" i="3" s="1" a="1"/>
  <c r="A146" i="3" s="1"/>
  <c r="A147" i="3" s="1" a="1"/>
  <c r="A147" i="3" s="1"/>
  <c r="A148" i="3" s="1" a="1"/>
  <c r="A148" i="3" s="1"/>
  <c r="A149" i="3" s="1" a="1"/>
  <c r="A149" i="3" s="1"/>
  <c r="A150" i="3" s="1" a="1"/>
  <c r="A150" i="3" s="1"/>
  <c r="A151" i="3" s="1" a="1"/>
  <c r="A151" i="3" s="1"/>
  <c r="A152" i="3" s="1" a="1"/>
  <c r="A152" i="3" s="1"/>
  <c r="A153" i="3" s="1" a="1"/>
  <c r="A153" i="3" s="1"/>
  <c r="A154" i="3" s="1" a="1"/>
  <c r="A154" i="3" s="1"/>
  <c r="A155" i="3" s="1" a="1"/>
  <c r="A155" i="3" s="1"/>
  <c r="A156" i="3" s="1" a="1"/>
  <c r="A156" i="3" s="1"/>
  <c r="A157" i="3" s="1" a="1"/>
  <c r="A157" i="3" s="1"/>
  <c r="A158" i="3" s="1" a="1"/>
  <c r="A158" i="3" s="1"/>
  <c r="A159" i="3" s="1" a="1"/>
  <c r="A159" i="3" s="1"/>
  <c r="A160" i="3" s="1" a="1"/>
  <c r="A160" i="3" s="1"/>
  <c r="A161" i="3" s="1" a="1"/>
  <c r="A161" i="3" s="1"/>
  <c r="A162" i="3" s="1" a="1"/>
  <c r="A162" i="3" s="1"/>
  <c r="A163" i="3" s="1" a="1"/>
  <c r="A163" i="3" s="1"/>
  <c r="A164" i="3" s="1" a="1"/>
  <c r="A164" i="3" s="1"/>
  <c r="A165" i="3" s="1" a="1"/>
  <c r="A165" i="3" s="1"/>
  <c r="A166" i="3" s="1" a="1"/>
  <c r="A166" i="3" s="1"/>
  <c r="A167" i="3" s="1" a="1"/>
  <c r="A167" i="3" s="1"/>
  <c r="A168" i="3" s="1" a="1"/>
  <c r="A168" i="3" s="1"/>
  <c r="A169" i="3" s="1" a="1"/>
  <c r="A169" i="3" s="1"/>
  <c r="A170" i="3" s="1" a="1"/>
  <c r="A170" i="3" s="1"/>
  <c r="A171" i="3" s="1" a="1"/>
  <c r="A171" i="3" s="1"/>
  <c r="A172" i="3" s="1" a="1"/>
  <c r="A172" i="3" s="1"/>
  <c r="A173" i="3" s="1" a="1"/>
  <c r="A173" i="3" s="1"/>
  <c r="A174" i="3" s="1" a="1"/>
  <c r="A174" i="3" s="1"/>
  <c r="A175" i="3" s="1" a="1"/>
  <c r="A175" i="3" s="1"/>
  <c r="A176" i="3" s="1" a="1"/>
  <c r="A176" i="3" s="1"/>
  <c r="A177" i="3" s="1" a="1"/>
  <c r="A177" i="3" s="1"/>
  <c r="A178" i="3" s="1" a="1"/>
  <c r="A178" i="3" s="1"/>
  <c r="A179" i="3" s="1" a="1"/>
  <c r="A179" i="3" s="1"/>
  <c r="A180" i="3" s="1" a="1"/>
  <c r="A180" i="3" s="1"/>
  <c r="A181" i="3" s="1" a="1"/>
  <c r="A181" i="3" s="1"/>
  <c r="A182" i="3" s="1" a="1"/>
  <c r="A182" i="3" s="1"/>
  <c r="A183" i="3" s="1" a="1"/>
  <c r="A183" i="3" s="1"/>
  <c r="A184" i="3" s="1" a="1"/>
  <c r="A184" i="3" s="1"/>
  <c r="A185" i="3" s="1" a="1"/>
  <c r="A185" i="3" s="1"/>
  <c r="A186" i="3" s="1" a="1"/>
  <c r="A186" i="3" s="1"/>
  <c r="A187" i="3" s="1" a="1"/>
  <c r="A187" i="3" s="1"/>
  <c r="A188" i="3" s="1" a="1"/>
  <c r="A188" i="3" s="1"/>
  <c r="A189" i="3" s="1" a="1"/>
  <c r="A189" i="3" s="1"/>
  <c r="A190" i="3" s="1" a="1"/>
  <c r="A190" i="3" s="1"/>
  <c r="A191" i="3" s="1" a="1"/>
  <c r="A191" i="3" s="1"/>
  <c r="A192" i="3" s="1" a="1"/>
  <c r="A192" i="3" s="1"/>
  <c r="A193" i="3" s="1" a="1"/>
  <c r="A193" i="3" s="1"/>
  <c r="A194" i="3" s="1" a="1"/>
  <c r="A194" i="3" s="1"/>
  <c r="A195" i="3" s="1" a="1"/>
  <c r="A195" i="3" s="1"/>
  <c r="A196" i="3" s="1" a="1"/>
  <c r="A196" i="3" s="1"/>
  <c r="A197" i="3" s="1" a="1"/>
  <c r="A197" i="3" s="1"/>
  <c r="A198" i="3" s="1" a="1"/>
  <c r="A198" i="3" s="1"/>
  <c r="A199" i="3" s="1" a="1"/>
  <c r="A199" i="3" s="1"/>
  <c r="A200" i="3" s="1" a="1"/>
  <c r="A200" i="3" s="1"/>
  <c r="A201" i="3" s="1" a="1"/>
  <c r="A201" i="3" s="1"/>
  <c r="F10" i="3"/>
  <c r="U10" i="3"/>
  <c r="AI11" i="3"/>
  <c r="AD11" i="3"/>
  <c r="T11" i="3"/>
  <c r="O11" i="3"/>
  <c r="J11" i="3"/>
  <c r="E11" i="3"/>
  <c r="H11" i="3" s="1"/>
  <c r="Y11" i="3"/>
  <c r="Z11" i="3" s="1"/>
  <c r="K10" i="3"/>
  <c r="P10" i="3"/>
  <c r="AE10" i="3"/>
  <c r="I12" i="3"/>
  <c r="I8" i="3"/>
  <c r="I9" i="3"/>
  <c r="I10" i="3"/>
  <c r="I11" i="3"/>
  <c r="AN10" i="3"/>
  <c r="J5" i="3"/>
  <c r="M10" i="3" s="1"/>
  <c r="D12" i="3"/>
  <c r="B12" i="3"/>
  <c r="C12" i="3" s="1"/>
  <c r="B18" i="3" l="1"/>
  <c r="B17" i="3"/>
  <c r="K8" i="3"/>
  <c r="M8" i="3"/>
  <c r="M9" i="3"/>
  <c r="G9" i="3"/>
  <c r="P11" i="3"/>
  <c r="AI12" i="3"/>
  <c r="Y12" i="3"/>
  <c r="Z12" i="3" s="1"/>
  <c r="AD12" i="3"/>
  <c r="J12" i="3"/>
  <c r="O12" i="3"/>
  <c r="T12" i="3"/>
  <c r="E12" i="3"/>
  <c r="H12" i="3" s="1"/>
  <c r="G10" i="3"/>
  <c r="F11" i="3"/>
  <c r="M11" i="3"/>
  <c r="K11" i="3"/>
  <c r="N8" i="3"/>
  <c r="N9" i="3"/>
  <c r="N10" i="3"/>
  <c r="L10" i="3" s="1"/>
  <c r="N11" i="3"/>
  <c r="L11" i="3" s="1"/>
  <c r="N13" i="3"/>
  <c r="I13" i="3"/>
  <c r="N12" i="3"/>
  <c r="AN11" i="3"/>
  <c r="G11" i="3"/>
  <c r="O5" i="3"/>
  <c r="C13" i="3"/>
  <c r="D13" i="3"/>
  <c r="S8" i="3" l="1"/>
  <c r="R8" i="3"/>
  <c r="P8" i="3"/>
  <c r="R9" i="3"/>
  <c r="P9" i="3"/>
  <c r="R10" i="3"/>
  <c r="R11" i="3"/>
  <c r="L12" i="3"/>
  <c r="L9" i="3"/>
  <c r="AI13" i="3"/>
  <c r="Y13" i="3"/>
  <c r="Z13" i="3" s="1"/>
  <c r="AD13" i="3"/>
  <c r="O13" i="3"/>
  <c r="J13" i="3"/>
  <c r="T13" i="3"/>
  <c r="E13" i="3"/>
  <c r="H13" i="3" s="1"/>
  <c r="K12" i="3"/>
  <c r="M12" i="3"/>
  <c r="F12" i="3"/>
  <c r="R12" i="3"/>
  <c r="P12" i="3"/>
  <c r="S9" i="3"/>
  <c r="Q9" i="3" s="1"/>
  <c r="S10" i="3"/>
  <c r="S11" i="3"/>
  <c r="Q11" i="3" s="1"/>
  <c r="S12" i="3"/>
  <c r="S14" i="3"/>
  <c r="N14" i="3"/>
  <c r="I14" i="3"/>
  <c r="S13" i="3"/>
  <c r="AN12" i="3"/>
  <c r="G12" i="3"/>
  <c r="T5" i="3"/>
  <c r="D14" i="3"/>
  <c r="C14" i="3"/>
  <c r="B19" i="3" l="1"/>
  <c r="U12" i="3"/>
  <c r="X11" i="3"/>
  <c r="V11" i="3" s="1"/>
  <c r="Y5" i="3"/>
  <c r="AB8" i="3" s="1"/>
  <c r="X8" i="3"/>
  <c r="U8" i="3"/>
  <c r="W8" i="3"/>
  <c r="U9" i="3"/>
  <c r="W9" i="3"/>
  <c r="W10" i="3"/>
  <c r="W11" i="3"/>
  <c r="U11" i="3"/>
  <c r="W12" i="3"/>
  <c r="U13" i="3"/>
  <c r="W13" i="3"/>
  <c r="K13" i="3"/>
  <c r="M13" i="3"/>
  <c r="Q10" i="3"/>
  <c r="P13" i="3"/>
  <c r="R13" i="3"/>
  <c r="L13" i="3"/>
  <c r="F13" i="3"/>
  <c r="AE13" i="3"/>
  <c r="Q12" i="3"/>
  <c r="AI14" i="3"/>
  <c r="AD14" i="3"/>
  <c r="T14" i="3"/>
  <c r="O14" i="3"/>
  <c r="Y14" i="3"/>
  <c r="Z14" i="3" s="1"/>
  <c r="E14" i="3"/>
  <c r="H14" i="3" s="1"/>
  <c r="J14" i="3"/>
  <c r="AJ13" i="3"/>
  <c r="X9" i="3"/>
  <c r="X10" i="3"/>
  <c r="V10" i="3" s="1"/>
  <c r="X12" i="3"/>
  <c r="V12" i="3" s="1"/>
  <c r="X13" i="3"/>
  <c r="V13" i="3" s="1"/>
  <c r="X14" i="3"/>
  <c r="X15" i="3"/>
  <c r="S15" i="3"/>
  <c r="N15" i="3"/>
  <c r="I15" i="3"/>
  <c r="G13" i="3"/>
  <c r="AN13" i="3"/>
  <c r="Q13" i="3"/>
  <c r="D15" i="3"/>
  <c r="C15" i="3"/>
  <c r="B21" i="3" l="1"/>
  <c r="B20" i="3"/>
  <c r="AC15" i="3"/>
  <c r="AC14" i="3"/>
  <c r="AA14" i="3" s="1"/>
  <c r="AC9" i="3"/>
  <c r="AA9" i="3" s="1"/>
  <c r="AB14" i="3"/>
  <c r="AB12" i="3"/>
  <c r="AC12" i="3"/>
  <c r="AA12" i="3" s="1"/>
  <c r="AB10" i="3"/>
  <c r="AB9" i="3"/>
  <c r="AD5" i="3"/>
  <c r="AG13" i="3" s="1"/>
  <c r="AC11" i="3"/>
  <c r="AA11" i="3" s="1"/>
  <c r="AB13" i="3"/>
  <c r="Z8" i="3"/>
  <c r="AC13" i="3"/>
  <c r="AA13" i="3" s="1"/>
  <c r="AC10" i="3"/>
  <c r="AA10" i="3" s="1"/>
  <c r="AC8" i="3"/>
  <c r="AA8" i="3" s="1"/>
  <c r="AB11" i="3"/>
  <c r="AJ14" i="3"/>
  <c r="M14" i="3"/>
  <c r="K14" i="3"/>
  <c r="V9" i="3"/>
  <c r="F14" i="3"/>
  <c r="R14" i="3"/>
  <c r="P14" i="3"/>
  <c r="L14" i="3"/>
  <c r="U14" i="3"/>
  <c r="W14" i="3"/>
  <c r="AI15" i="3"/>
  <c r="AD15" i="3"/>
  <c r="T15" i="3"/>
  <c r="O15" i="3"/>
  <c r="Y15" i="3"/>
  <c r="J15" i="3"/>
  <c r="E15" i="3"/>
  <c r="H15" i="3" s="1"/>
  <c r="AE14" i="3"/>
  <c r="AC16" i="3"/>
  <c r="X16" i="3"/>
  <c r="I16" i="3"/>
  <c r="S16" i="3"/>
  <c r="N16" i="3"/>
  <c r="G14" i="3"/>
  <c r="AN14" i="3"/>
  <c r="Q14" i="3"/>
  <c r="V14" i="3"/>
  <c r="D16" i="3"/>
  <c r="C16" i="3"/>
  <c r="AB15" i="3" l="1"/>
  <c r="Z15" i="3"/>
  <c r="AI5" i="3"/>
  <c r="AL10" i="3" s="1"/>
  <c r="AH13" i="3"/>
  <c r="AF13" i="3" s="1"/>
  <c r="AE12" i="3"/>
  <c r="AH8" i="3"/>
  <c r="AF8" i="3" s="1"/>
  <c r="AH12" i="3"/>
  <c r="AF12" i="3" s="1"/>
  <c r="AH14" i="3"/>
  <c r="AF14" i="3" s="1"/>
  <c r="AH9" i="3"/>
  <c r="AF9" i="3" s="1"/>
  <c r="AG9" i="3"/>
  <c r="AG14" i="3"/>
  <c r="AG11" i="3"/>
  <c r="AG8" i="3"/>
  <c r="AH11" i="3"/>
  <c r="AF11" i="3" s="1"/>
  <c r="AH16" i="3"/>
  <c r="AE11" i="3"/>
  <c r="AH15" i="3"/>
  <c r="AF15" i="3" s="1"/>
  <c r="AH10" i="3"/>
  <c r="AF10" i="3" s="1"/>
  <c r="AG12" i="3"/>
  <c r="AG10" i="3"/>
  <c r="AI16" i="3"/>
  <c r="AD16" i="3"/>
  <c r="T16" i="3"/>
  <c r="O16" i="3"/>
  <c r="Y16" i="3"/>
  <c r="J16" i="3"/>
  <c r="L16" i="3" s="1"/>
  <c r="E16" i="3"/>
  <c r="H16" i="3" s="1"/>
  <c r="R15" i="3"/>
  <c r="P15" i="3"/>
  <c r="F15" i="3"/>
  <c r="U15" i="3"/>
  <c r="W15" i="3"/>
  <c r="K15" i="3"/>
  <c r="M15" i="3"/>
  <c r="AE15" i="3"/>
  <c r="AG15" i="3"/>
  <c r="L15" i="3"/>
  <c r="AJ15" i="3"/>
  <c r="AH17" i="3"/>
  <c r="AC17" i="3"/>
  <c r="S17" i="3"/>
  <c r="N17" i="3"/>
  <c r="I17" i="3"/>
  <c r="X17" i="3"/>
  <c r="V15" i="3"/>
  <c r="AN15" i="3"/>
  <c r="G15" i="3"/>
  <c r="AA15" i="3"/>
  <c r="Q15" i="3"/>
  <c r="C17" i="3"/>
  <c r="D17" i="3"/>
  <c r="AB16" i="3" l="1"/>
  <c r="Z16" i="3"/>
  <c r="B22" i="3"/>
  <c r="AL12" i="3"/>
  <c r="AJ10" i="3"/>
  <c r="AM13" i="3"/>
  <c r="AK13" i="3" s="1"/>
  <c r="AM9" i="3"/>
  <c r="AK9" i="3" s="1"/>
  <c r="AL14" i="3"/>
  <c r="AL11" i="3"/>
  <c r="AL9" i="3"/>
  <c r="AM16" i="3"/>
  <c r="AK16" i="3" s="1"/>
  <c r="AM12" i="3"/>
  <c r="AK12" i="3" s="1"/>
  <c r="AM8" i="3"/>
  <c r="AK8" i="3" s="1"/>
  <c r="AL13" i="3"/>
  <c r="AJ11" i="3"/>
  <c r="AL8" i="3"/>
  <c r="AM14" i="3"/>
  <c r="AK14" i="3" s="1"/>
  <c r="AM10" i="3"/>
  <c r="AK10" i="3" s="1"/>
  <c r="AM15" i="3"/>
  <c r="AM11" i="3"/>
  <c r="AK11" i="3" s="1"/>
  <c r="AM17" i="3"/>
  <c r="AO17" i="3" s="1"/>
  <c r="AL15" i="3"/>
  <c r="AJ12" i="3"/>
  <c r="R16" i="3"/>
  <c r="P16" i="3"/>
  <c r="AI17" i="3"/>
  <c r="Y17" i="3"/>
  <c r="AD17" i="3"/>
  <c r="T17" i="3"/>
  <c r="O17" i="3"/>
  <c r="J17" i="3"/>
  <c r="L17" i="3" s="1"/>
  <c r="E17" i="3"/>
  <c r="H17" i="3" s="1"/>
  <c r="F16" i="3"/>
  <c r="W16" i="3"/>
  <c r="U16" i="3"/>
  <c r="K16" i="3"/>
  <c r="M16" i="3"/>
  <c r="AG16" i="3"/>
  <c r="AE16" i="3"/>
  <c r="AL16" i="3"/>
  <c r="AJ16" i="3"/>
  <c r="AM18" i="3"/>
  <c r="AH18" i="3"/>
  <c r="AC18" i="3"/>
  <c r="X18" i="3"/>
  <c r="S18" i="3"/>
  <c r="N18" i="3"/>
  <c r="I18" i="3"/>
  <c r="Q16" i="3"/>
  <c r="AA16" i="3"/>
  <c r="G16" i="3"/>
  <c r="AN16" i="3"/>
  <c r="AF16" i="3"/>
  <c r="V16" i="3"/>
  <c r="C18" i="3"/>
  <c r="D18" i="3"/>
  <c r="AB17" i="3" l="1"/>
  <c r="Z17" i="3"/>
  <c r="B23" i="3"/>
  <c r="AQ8" i="3"/>
  <c r="AQ12" i="3"/>
  <c r="AR12" i="3" s="1"/>
  <c r="AO9" i="3"/>
  <c r="AQ13" i="3"/>
  <c r="AR13" i="3" s="1"/>
  <c r="AQ15" i="3"/>
  <c r="AR15" i="3" s="1"/>
  <c r="AQ9" i="3"/>
  <c r="AR9" i="3" s="1"/>
  <c r="AO10" i="3"/>
  <c r="AQ10" i="3"/>
  <c r="AR10" i="3" s="1"/>
  <c r="AO13" i="3"/>
  <c r="AQ14" i="3"/>
  <c r="AR14" i="3" s="1"/>
  <c r="AO12" i="3"/>
  <c r="AO14" i="3"/>
  <c r="AK15" i="3"/>
  <c r="AO16" i="3"/>
  <c r="AO11" i="3"/>
  <c r="AO15" i="3"/>
  <c r="AQ11" i="3"/>
  <c r="AR11" i="3" s="1"/>
  <c r="AQ16" i="3"/>
  <c r="AR16" i="3" s="1"/>
  <c r="AE17" i="3"/>
  <c r="AG17" i="3"/>
  <c r="M17" i="3"/>
  <c r="K17" i="3"/>
  <c r="F17" i="3"/>
  <c r="AI18" i="3"/>
  <c r="AD18" i="3"/>
  <c r="Y18" i="3"/>
  <c r="O18" i="3"/>
  <c r="E18" i="3"/>
  <c r="H18" i="3" s="1"/>
  <c r="T18" i="3"/>
  <c r="J18" i="3"/>
  <c r="AO18" i="3"/>
  <c r="P17" i="3"/>
  <c r="R17" i="3"/>
  <c r="AL17" i="3"/>
  <c r="AJ17" i="3"/>
  <c r="U17" i="3"/>
  <c r="W17" i="3"/>
  <c r="AM19" i="3"/>
  <c r="AH19" i="3"/>
  <c r="AC19" i="3"/>
  <c r="X19" i="3"/>
  <c r="S19" i="3"/>
  <c r="N19" i="3"/>
  <c r="I19" i="3"/>
  <c r="Q17" i="3"/>
  <c r="AK17" i="3"/>
  <c r="AA17" i="3"/>
  <c r="V17" i="3"/>
  <c r="G17" i="3"/>
  <c r="AN17" i="3"/>
  <c r="AF17" i="3"/>
  <c r="D19" i="3"/>
  <c r="C19" i="3"/>
  <c r="AB18" i="3" l="1"/>
  <c r="Z18" i="3"/>
  <c r="B24" i="3"/>
  <c r="AQ17" i="3"/>
  <c r="AR17" i="3" s="1"/>
  <c r="AI19" i="3"/>
  <c r="AD19" i="3"/>
  <c r="T19" i="3"/>
  <c r="Y19" i="3"/>
  <c r="O19" i="3"/>
  <c r="J19" i="3"/>
  <c r="E19" i="3"/>
  <c r="H19" i="3" s="1"/>
  <c r="P18" i="3"/>
  <c r="R18" i="3"/>
  <c r="F18" i="3"/>
  <c r="K18" i="3"/>
  <c r="M18" i="3"/>
  <c r="AL18" i="3"/>
  <c r="AJ18" i="3"/>
  <c r="AO19" i="3"/>
  <c r="U18" i="3"/>
  <c r="W18" i="3"/>
  <c r="AE18" i="3"/>
  <c r="AG18" i="3"/>
  <c r="L18" i="3"/>
  <c r="AM20" i="3"/>
  <c r="AC20" i="3"/>
  <c r="AH20" i="3"/>
  <c r="X20" i="3"/>
  <c r="I20" i="3"/>
  <c r="S20" i="3"/>
  <c r="N20" i="3"/>
  <c r="G18" i="3"/>
  <c r="AN18" i="3"/>
  <c r="AF18" i="3"/>
  <c r="AA18" i="3"/>
  <c r="V18" i="3"/>
  <c r="Q18" i="3"/>
  <c r="AK18" i="3"/>
  <c r="D20" i="3"/>
  <c r="C20" i="3"/>
  <c r="AB19" i="3" l="1"/>
  <c r="Z19" i="3"/>
  <c r="B25" i="3"/>
  <c r="AQ18" i="3"/>
  <c r="AR18" i="3" s="1"/>
  <c r="AO20" i="3"/>
  <c r="F19" i="3"/>
  <c r="U19" i="3"/>
  <c r="W19" i="3"/>
  <c r="M19" i="3"/>
  <c r="K19" i="3"/>
  <c r="AE19" i="3"/>
  <c r="AG19" i="3"/>
  <c r="R19" i="3"/>
  <c r="P19" i="3"/>
  <c r="AL19" i="3"/>
  <c r="AJ19" i="3"/>
  <c r="AI20" i="3"/>
  <c r="T20" i="3"/>
  <c r="J20" i="3"/>
  <c r="L20" i="3" s="1"/>
  <c r="AD20" i="3"/>
  <c r="Y20" i="3"/>
  <c r="O20" i="3"/>
  <c r="E20" i="3"/>
  <c r="H20" i="3" s="1"/>
  <c r="L19" i="3"/>
  <c r="AC21" i="3"/>
  <c r="AH21" i="3"/>
  <c r="AM21" i="3"/>
  <c r="S21" i="3"/>
  <c r="N21" i="3"/>
  <c r="I21" i="3"/>
  <c r="X21" i="3"/>
  <c r="Q19" i="3"/>
  <c r="AA19" i="3"/>
  <c r="AK19" i="3"/>
  <c r="V19" i="3"/>
  <c r="AN19" i="3"/>
  <c r="G19" i="3"/>
  <c r="AF19" i="3"/>
  <c r="C21" i="3"/>
  <c r="D21" i="3"/>
  <c r="AB20" i="3" l="1"/>
  <c r="Z20" i="3"/>
  <c r="B26" i="3"/>
  <c r="AQ19" i="3"/>
  <c r="AR19" i="3" s="1"/>
  <c r="AO21" i="3"/>
  <c r="AG20" i="3"/>
  <c r="AE20" i="3"/>
  <c r="AI21" i="3"/>
  <c r="Y21" i="3"/>
  <c r="T21" i="3"/>
  <c r="AD21" i="3"/>
  <c r="J21" i="3"/>
  <c r="L21" i="3" s="1"/>
  <c r="O21" i="3"/>
  <c r="E21" i="3"/>
  <c r="H21" i="3" s="1"/>
  <c r="F20" i="3"/>
  <c r="M20" i="3"/>
  <c r="K20" i="3"/>
  <c r="R20" i="3"/>
  <c r="P20" i="3"/>
  <c r="W20" i="3"/>
  <c r="U20" i="3"/>
  <c r="AL20" i="3"/>
  <c r="AJ20" i="3"/>
  <c r="AM22" i="3"/>
  <c r="AH22" i="3"/>
  <c r="AC22" i="3"/>
  <c r="X22" i="3"/>
  <c r="S22" i="3"/>
  <c r="N22" i="3"/>
  <c r="I22" i="3"/>
  <c r="AK20" i="3"/>
  <c r="AF20" i="3"/>
  <c r="Q20" i="3"/>
  <c r="AA20" i="3"/>
  <c r="AN20" i="3"/>
  <c r="G20" i="3"/>
  <c r="V20" i="3"/>
  <c r="C22" i="3"/>
  <c r="D22" i="3"/>
  <c r="AB21" i="3" l="1"/>
  <c r="Z21" i="3"/>
  <c r="B27" i="3"/>
  <c r="AQ20" i="3"/>
  <c r="AR20" i="3" s="1"/>
  <c r="AE21" i="3"/>
  <c r="AG21" i="3"/>
  <c r="K21" i="3"/>
  <c r="M21" i="3"/>
  <c r="AL21" i="3"/>
  <c r="AJ21" i="3"/>
  <c r="F21" i="3"/>
  <c r="U21" i="3"/>
  <c r="W21" i="3"/>
  <c r="AI22" i="3"/>
  <c r="AD22" i="3"/>
  <c r="O22" i="3"/>
  <c r="E22" i="3"/>
  <c r="H22" i="3" s="1"/>
  <c r="T22" i="3"/>
  <c r="Y22" i="3"/>
  <c r="J22" i="3"/>
  <c r="AO22" i="3"/>
  <c r="R21" i="3"/>
  <c r="P21" i="3"/>
  <c r="AM23" i="3"/>
  <c r="AH23" i="3"/>
  <c r="AC23" i="3"/>
  <c r="X23" i="3"/>
  <c r="S23" i="3"/>
  <c r="N23" i="3"/>
  <c r="I23" i="3"/>
  <c r="AK21" i="3"/>
  <c r="AA21" i="3"/>
  <c r="AN21" i="3"/>
  <c r="G21" i="3"/>
  <c r="V21" i="3"/>
  <c r="Q21" i="3"/>
  <c r="AF21" i="3"/>
  <c r="D23" i="3"/>
  <c r="C23" i="3"/>
  <c r="AB22" i="3" l="1"/>
  <c r="Z22" i="3"/>
  <c r="B28" i="3"/>
  <c r="AQ21" i="3"/>
  <c r="AR21" i="3" s="1"/>
  <c r="F22" i="3"/>
  <c r="M22" i="3"/>
  <c r="K22" i="3"/>
  <c r="AD23" i="3"/>
  <c r="T23" i="3"/>
  <c r="Y23" i="3"/>
  <c r="O23" i="3"/>
  <c r="J23" i="3"/>
  <c r="E23" i="3"/>
  <c r="H23" i="3" s="1"/>
  <c r="AI23" i="3"/>
  <c r="AE22" i="3"/>
  <c r="AG22" i="3"/>
  <c r="P22" i="3"/>
  <c r="R22" i="3"/>
  <c r="L22" i="3"/>
  <c r="AO23" i="3"/>
  <c r="U22" i="3"/>
  <c r="W22" i="3"/>
  <c r="AJ22" i="3"/>
  <c r="AL22" i="3"/>
  <c r="AM24" i="3"/>
  <c r="AC24" i="3"/>
  <c r="AH24" i="3"/>
  <c r="X24" i="3"/>
  <c r="S24" i="3"/>
  <c r="I24" i="3"/>
  <c r="N24" i="3"/>
  <c r="AN22" i="3"/>
  <c r="G22" i="3"/>
  <c r="AF22" i="3"/>
  <c r="Q22" i="3"/>
  <c r="V22" i="3"/>
  <c r="AA22" i="3"/>
  <c r="AK22" i="3"/>
  <c r="C24" i="3"/>
  <c r="D24" i="3"/>
  <c r="AB23" i="3" l="1"/>
  <c r="Z23" i="3"/>
  <c r="B29" i="3"/>
  <c r="AQ22" i="3"/>
  <c r="AR22" i="3" s="1"/>
  <c r="F23" i="3"/>
  <c r="U23" i="3"/>
  <c r="W23" i="3"/>
  <c r="AL23" i="3"/>
  <c r="AJ23" i="3"/>
  <c r="K23" i="3"/>
  <c r="M23" i="3"/>
  <c r="AE23" i="3"/>
  <c r="AG23" i="3"/>
  <c r="AI24" i="3"/>
  <c r="AD24" i="3"/>
  <c r="Y24" i="3"/>
  <c r="O24" i="3"/>
  <c r="J24" i="3"/>
  <c r="L24" i="3" s="1"/>
  <c r="E24" i="3"/>
  <c r="H24" i="3" s="1"/>
  <c r="T24" i="3"/>
  <c r="AO24" i="3"/>
  <c r="P23" i="3"/>
  <c r="R23" i="3"/>
  <c r="L23" i="3"/>
  <c r="AM25" i="3"/>
  <c r="AH25" i="3"/>
  <c r="AC25" i="3"/>
  <c r="S25" i="3"/>
  <c r="X25" i="3"/>
  <c r="N25" i="3"/>
  <c r="I25" i="3"/>
  <c r="AA23" i="3"/>
  <c r="Q23" i="3"/>
  <c r="AF23" i="3"/>
  <c r="V23" i="3"/>
  <c r="G23" i="3"/>
  <c r="AN23" i="3"/>
  <c r="AK23" i="3"/>
  <c r="D25" i="3"/>
  <c r="C25" i="3"/>
  <c r="AB24" i="3" l="1"/>
  <c r="Z24" i="3"/>
  <c r="B30" i="3"/>
  <c r="AQ23" i="3"/>
  <c r="AR23" i="3" s="1"/>
  <c r="AO25" i="3"/>
  <c r="F24" i="3"/>
  <c r="AI25" i="3"/>
  <c r="Y25" i="3"/>
  <c r="T25" i="3"/>
  <c r="AD25" i="3"/>
  <c r="O25" i="3"/>
  <c r="J25" i="3"/>
  <c r="E25" i="3"/>
  <c r="H25" i="3" s="1"/>
  <c r="R24" i="3"/>
  <c r="P24" i="3"/>
  <c r="W24" i="3"/>
  <c r="U24" i="3"/>
  <c r="AG24" i="3"/>
  <c r="AE24" i="3"/>
  <c r="K24" i="3"/>
  <c r="M24" i="3"/>
  <c r="AL24" i="3"/>
  <c r="AJ24" i="3"/>
  <c r="AM26" i="3"/>
  <c r="AH26" i="3"/>
  <c r="AC26" i="3"/>
  <c r="X26" i="3"/>
  <c r="S26" i="3"/>
  <c r="N26" i="3"/>
  <c r="I26" i="3"/>
  <c r="V24" i="3"/>
  <c r="AA24" i="3"/>
  <c r="Q24" i="3"/>
  <c r="AF24" i="3"/>
  <c r="AN24" i="3"/>
  <c r="G24" i="3"/>
  <c r="AK24" i="3"/>
  <c r="D26" i="3"/>
  <c r="C26" i="3"/>
  <c r="AB25" i="3" l="1"/>
  <c r="Z25" i="3"/>
  <c r="B31" i="3"/>
  <c r="AQ24" i="3"/>
  <c r="AR24" i="3" s="1"/>
  <c r="M25" i="3"/>
  <c r="K25" i="3"/>
  <c r="AO26" i="3"/>
  <c r="R25" i="3"/>
  <c r="P25" i="3"/>
  <c r="AL25" i="3"/>
  <c r="AJ25" i="3"/>
  <c r="F25" i="3"/>
  <c r="AE25" i="3"/>
  <c r="AG25" i="3"/>
  <c r="L25" i="3"/>
  <c r="AI26" i="3"/>
  <c r="AD26" i="3"/>
  <c r="O26" i="3"/>
  <c r="T26" i="3"/>
  <c r="Y26" i="3"/>
  <c r="E26" i="3"/>
  <c r="H26" i="3" s="1"/>
  <c r="J26" i="3"/>
  <c r="U25" i="3"/>
  <c r="W25" i="3"/>
  <c r="AM27" i="3"/>
  <c r="AH27" i="3"/>
  <c r="AC27" i="3"/>
  <c r="X27" i="3"/>
  <c r="S27" i="3"/>
  <c r="N27" i="3"/>
  <c r="I27" i="3"/>
  <c r="G25" i="3"/>
  <c r="AN25" i="3"/>
  <c r="Q25" i="3"/>
  <c r="AA25" i="3"/>
  <c r="AK25" i="3"/>
  <c r="AF25" i="3"/>
  <c r="V25" i="3"/>
  <c r="C27" i="3"/>
  <c r="D27" i="3"/>
  <c r="AB26" i="3" l="1"/>
  <c r="Z26" i="3"/>
  <c r="B32" i="3"/>
  <c r="AQ25" i="3"/>
  <c r="AR25" i="3" s="1"/>
  <c r="AO27" i="3"/>
  <c r="AI27" i="3"/>
  <c r="AD27" i="3"/>
  <c r="T27" i="3"/>
  <c r="O27" i="3"/>
  <c r="J27" i="3"/>
  <c r="Y27" i="3"/>
  <c r="E27" i="3"/>
  <c r="H27" i="3" s="1"/>
  <c r="U26" i="3"/>
  <c r="W26" i="3"/>
  <c r="AE26" i="3"/>
  <c r="AG26" i="3"/>
  <c r="AL26" i="3"/>
  <c r="AJ26" i="3"/>
  <c r="L26" i="3"/>
  <c r="K26" i="3"/>
  <c r="M26" i="3"/>
  <c r="R26" i="3"/>
  <c r="P26" i="3"/>
  <c r="F26" i="3"/>
  <c r="AM28" i="3"/>
  <c r="AC28" i="3"/>
  <c r="AH28" i="3"/>
  <c r="X28" i="3"/>
  <c r="I28" i="3"/>
  <c r="S28" i="3"/>
  <c r="N28" i="3"/>
  <c r="Q26" i="3"/>
  <c r="V26" i="3"/>
  <c r="AN26" i="3"/>
  <c r="G26" i="3"/>
  <c r="AF26" i="3"/>
  <c r="AA26" i="3"/>
  <c r="AK26" i="3"/>
  <c r="C28" i="3"/>
  <c r="D28" i="3"/>
  <c r="AB27" i="3" l="1"/>
  <c r="Z27" i="3"/>
  <c r="B33" i="3"/>
  <c r="AQ26" i="3"/>
  <c r="AR26" i="3" s="1"/>
  <c r="AO28" i="3"/>
  <c r="AI28" i="3"/>
  <c r="Y28" i="3"/>
  <c r="AD28" i="3"/>
  <c r="T28" i="3"/>
  <c r="J28" i="3"/>
  <c r="L28" i="3" s="1"/>
  <c r="O28" i="3"/>
  <c r="E28" i="3"/>
  <c r="H28" i="3" s="1"/>
  <c r="F27" i="3"/>
  <c r="U27" i="3"/>
  <c r="W27" i="3"/>
  <c r="AE27" i="3"/>
  <c r="AG27" i="3"/>
  <c r="M27" i="3"/>
  <c r="K27" i="3"/>
  <c r="AL27" i="3"/>
  <c r="AJ27" i="3"/>
  <c r="L27" i="3"/>
  <c r="P27" i="3"/>
  <c r="R27" i="3"/>
  <c r="AM29" i="3"/>
  <c r="AC29" i="3"/>
  <c r="AH29" i="3"/>
  <c r="S29" i="3"/>
  <c r="N29" i="3"/>
  <c r="X29" i="3"/>
  <c r="I29" i="3"/>
  <c r="AA27" i="3"/>
  <c r="AK27" i="3"/>
  <c r="AN27" i="3"/>
  <c r="G27" i="3"/>
  <c r="Q27" i="3"/>
  <c r="AF27" i="3"/>
  <c r="V27" i="3"/>
  <c r="C29" i="3"/>
  <c r="D29" i="3"/>
  <c r="AB28" i="3" l="1"/>
  <c r="Z28" i="3"/>
  <c r="B34" i="3"/>
  <c r="AQ27" i="3"/>
  <c r="AR27" i="3" s="1"/>
  <c r="AI29" i="3"/>
  <c r="Y29" i="3"/>
  <c r="AD29" i="3"/>
  <c r="T29" i="3"/>
  <c r="O29" i="3"/>
  <c r="J29" i="3"/>
  <c r="L29" i="3" s="1"/>
  <c r="E29" i="3"/>
  <c r="H29" i="3" s="1"/>
  <c r="W28" i="3"/>
  <c r="U28" i="3"/>
  <c r="F28" i="3"/>
  <c r="AG28" i="3"/>
  <c r="AE28" i="3"/>
  <c r="R28" i="3"/>
  <c r="P28" i="3"/>
  <c r="AO29" i="3"/>
  <c r="K28" i="3"/>
  <c r="M28" i="3"/>
  <c r="AL28" i="3"/>
  <c r="AJ28" i="3"/>
  <c r="AM30" i="3"/>
  <c r="AH30" i="3"/>
  <c r="AC30" i="3"/>
  <c r="X30" i="3"/>
  <c r="S30" i="3"/>
  <c r="N30" i="3"/>
  <c r="I30" i="3"/>
  <c r="AK28" i="3"/>
  <c r="V28" i="3"/>
  <c r="G28" i="3"/>
  <c r="AN28" i="3"/>
  <c r="AA28" i="3"/>
  <c r="Q28" i="3"/>
  <c r="AF28" i="3"/>
  <c r="C30" i="3"/>
  <c r="D30" i="3"/>
  <c r="AB29" i="3" l="1"/>
  <c r="Z29" i="3"/>
  <c r="B35" i="3"/>
  <c r="AQ28" i="3"/>
  <c r="AR28" i="3" s="1"/>
  <c r="AO30" i="3"/>
  <c r="AI30" i="3"/>
  <c r="AD30" i="3"/>
  <c r="T30" i="3"/>
  <c r="O30" i="3"/>
  <c r="Y30" i="3"/>
  <c r="E30" i="3"/>
  <c r="H30" i="3" s="1"/>
  <c r="J30" i="3"/>
  <c r="L30" i="3" s="1"/>
  <c r="U29" i="3"/>
  <c r="W29" i="3"/>
  <c r="F29" i="3"/>
  <c r="AE29" i="3"/>
  <c r="AG29" i="3"/>
  <c r="M29" i="3"/>
  <c r="K29" i="3"/>
  <c r="P29" i="3"/>
  <c r="R29" i="3"/>
  <c r="AL29" i="3"/>
  <c r="AJ29" i="3"/>
  <c r="AM31" i="3"/>
  <c r="AH31" i="3"/>
  <c r="AC31" i="3"/>
  <c r="X31" i="3"/>
  <c r="S31" i="3"/>
  <c r="N31" i="3"/>
  <c r="I31" i="3"/>
  <c r="V29" i="3"/>
  <c r="AF29" i="3"/>
  <c r="AA29" i="3"/>
  <c r="G29" i="3"/>
  <c r="AN29" i="3"/>
  <c r="Q29" i="3"/>
  <c r="AK29" i="3"/>
  <c r="C31" i="3"/>
  <c r="D31" i="3"/>
  <c r="AB30" i="3" l="1"/>
  <c r="Z30" i="3"/>
  <c r="B36" i="3"/>
  <c r="AQ29" i="3"/>
  <c r="AR29" i="3" s="1"/>
  <c r="AO31" i="3"/>
  <c r="R30" i="3"/>
  <c r="P30" i="3"/>
  <c r="AI31" i="3"/>
  <c r="AD31" i="3"/>
  <c r="T31" i="3"/>
  <c r="O31" i="3"/>
  <c r="J31" i="3"/>
  <c r="L31" i="3" s="1"/>
  <c r="E31" i="3"/>
  <c r="H31" i="3" s="1"/>
  <c r="Y31" i="3"/>
  <c r="M30" i="3"/>
  <c r="K30" i="3"/>
  <c r="U30" i="3"/>
  <c r="W30" i="3"/>
  <c r="F30" i="3"/>
  <c r="AE30" i="3"/>
  <c r="AG30" i="3"/>
  <c r="AL30" i="3"/>
  <c r="AJ30" i="3"/>
  <c r="AM32" i="3"/>
  <c r="AC32" i="3"/>
  <c r="AH32" i="3"/>
  <c r="X32" i="3"/>
  <c r="I32" i="3"/>
  <c r="S32" i="3"/>
  <c r="N32" i="3"/>
  <c r="Q30" i="3"/>
  <c r="G30" i="3"/>
  <c r="AN30" i="3"/>
  <c r="AF30" i="3"/>
  <c r="V30" i="3"/>
  <c r="AK30" i="3"/>
  <c r="AA30" i="3"/>
  <c r="C32" i="3"/>
  <c r="D32" i="3"/>
  <c r="AB31" i="3" l="1"/>
  <c r="Z31" i="3"/>
  <c r="B37" i="3"/>
  <c r="AQ30" i="3"/>
  <c r="AR30" i="3" s="1"/>
  <c r="F31" i="3"/>
  <c r="AE31" i="3"/>
  <c r="AG31" i="3"/>
  <c r="AI32" i="3"/>
  <c r="AD32" i="3"/>
  <c r="T32" i="3"/>
  <c r="O32" i="3"/>
  <c r="J32" i="3"/>
  <c r="E32" i="3"/>
  <c r="H32" i="3" s="1"/>
  <c r="Y32" i="3"/>
  <c r="K31" i="3"/>
  <c r="M31" i="3"/>
  <c r="AL31" i="3"/>
  <c r="AJ31" i="3"/>
  <c r="AO32" i="3"/>
  <c r="R31" i="3"/>
  <c r="P31" i="3"/>
  <c r="U31" i="3"/>
  <c r="W31" i="3"/>
  <c r="AH33" i="3"/>
  <c r="AC33" i="3"/>
  <c r="AM33" i="3"/>
  <c r="S33" i="3"/>
  <c r="N33" i="3"/>
  <c r="I33" i="3"/>
  <c r="X33" i="3"/>
  <c r="G31" i="3"/>
  <c r="AN31" i="3"/>
  <c r="AA31" i="3"/>
  <c r="AK31" i="3"/>
  <c r="V31" i="3"/>
  <c r="Q31" i="3"/>
  <c r="AF31" i="3"/>
  <c r="D33" i="3"/>
  <c r="C33" i="3"/>
  <c r="AB32" i="3" l="1"/>
  <c r="Z32" i="3"/>
  <c r="B38" i="3"/>
  <c r="AQ31" i="3"/>
  <c r="AR31" i="3" s="1"/>
  <c r="AO33" i="3"/>
  <c r="W32" i="3"/>
  <c r="U32" i="3"/>
  <c r="M32" i="3"/>
  <c r="K32" i="3"/>
  <c r="F32" i="3"/>
  <c r="AG32" i="3"/>
  <c r="AE32" i="3"/>
  <c r="AI33" i="3"/>
  <c r="Y33" i="3"/>
  <c r="AD33" i="3"/>
  <c r="O33" i="3"/>
  <c r="J33" i="3"/>
  <c r="L33" i="3" s="1"/>
  <c r="E33" i="3"/>
  <c r="H33" i="3" s="1"/>
  <c r="T33" i="3"/>
  <c r="AL32" i="3"/>
  <c r="AJ32" i="3"/>
  <c r="R32" i="3"/>
  <c r="P32" i="3"/>
  <c r="L32" i="3"/>
  <c r="AM34" i="3"/>
  <c r="AH34" i="3"/>
  <c r="AC34" i="3"/>
  <c r="X34" i="3"/>
  <c r="S34" i="3"/>
  <c r="N34" i="3"/>
  <c r="I34" i="3"/>
  <c r="Q32" i="3"/>
  <c r="AF32" i="3"/>
  <c r="AK32" i="3"/>
  <c r="V32" i="3"/>
  <c r="AN32" i="3"/>
  <c r="G32" i="3"/>
  <c r="AA32" i="3"/>
  <c r="C34" i="3"/>
  <c r="D34" i="3"/>
  <c r="AB33" i="3" l="1"/>
  <c r="Z33" i="3"/>
  <c r="B39" i="3"/>
  <c r="AQ32" i="3"/>
  <c r="AR32" i="3" s="1"/>
  <c r="AO34" i="3"/>
  <c r="M33" i="3"/>
  <c r="K33" i="3"/>
  <c r="AL33" i="3"/>
  <c r="AJ33" i="3"/>
  <c r="U33" i="3"/>
  <c r="W33" i="3"/>
  <c r="AI34" i="3"/>
  <c r="AD34" i="3"/>
  <c r="Y34" i="3"/>
  <c r="O34" i="3"/>
  <c r="E34" i="3"/>
  <c r="H34" i="3" s="1"/>
  <c r="J34" i="3"/>
  <c r="L34" i="3" s="1"/>
  <c r="T34" i="3"/>
  <c r="F33" i="3"/>
  <c r="P33" i="3"/>
  <c r="R33" i="3"/>
  <c r="AE33" i="3"/>
  <c r="AG33" i="3"/>
  <c r="AM35" i="3"/>
  <c r="AH35" i="3"/>
  <c r="AC35" i="3"/>
  <c r="X35" i="3"/>
  <c r="S35" i="3"/>
  <c r="N35" i="3"/>
  <c r="I35" i="3"/>
  <c r="AF33" i="3"/>
  <c r="V33" i="3"/>
  <c r="AA33" i="3"/>
  <c r="Q33" i="3"/>
  <c r="AN33" i="3"/>
  <c r="G33" i="3"/>
  <c r="AK33" i="3"/>
  <c r="D35" i="3"/>
  <c r="C35" i="3"/>
  <c r="AB34" i="3" l="1"/>
  <c r="Z34" i="3"/>
  <c r="B40" i="3"/>
  <c r="AQ33" i="3"/>
  <c r="AR33" i="3" s="1"/>
  <c r="U34" i="3"/>
  <c r="W34" i="3"/>
  <c r="AO35" i="3"/>
  <c r="M34" i="3"/>
  <c r="K34" i="3"/>
  <c r="AE34" i="3"/>
  <c r="AG34" i="3"/>
  <c r="P34" i="3"/>
  <c r="R34" i="3"/>
  <c r="AI35" i="3"/>
  <c r="AD35" i="3"/>
  <c r="T35" i="3"/>
  <c r="Y35" i="3"/>
  <c r="O35" i="3"/>
  <c r="J35" i="3"/>
  <c r="E35" i="3"/>
  <c r="H35" i="3" s="1"/>
  <c r="F34" i="3"/>
  <c r="AL34" i="3"/>
  <c r="AJ34" i="3"/>
  <c r="AM36" i="3"/>
  <c r="AC36" i="3"/>
  <c r="AH36" i="3"/>
  <c r="X36" i="3"/>
  <c r="I36" i="3"/>
  <c r="S36" i="3"/>
  <c r="N36" i="3"/>
  <c r="AA34" i="3"/>
  <c r="G34" i="3"/>
  <c r="AN34" i="3"/>
  <c r="AF34" i="3"/>
  <c r="V34" i="3"/>
  <c r="Q34" i="3"/>
  <c r="AK34" i="3"/>
  <c r="C36" i="3"/>
  <c r="D36" i="3"/>
  <c r="AB35" i="3" l="1"/>
  <c r="Z35" i="3"/>
  <c r="B41" i="3"/>
  <c r="AQ34" i="3"/>
  <c r="AR34" i="3" s="1"/>
  <c r="K35" i="3"/>
  <c r="M35" i="3"/>
  <c r="R35" i="3"/>
  <c r="P35" i="3"/>
  <c r="AL35" i="3"/>
  <c r="AJ35" i="3"/>
  <c r="AI36" i="3"/>
  <c r="T36" i="3"/>
  <c r="Y36" i="3"/>
  <c r="J36" i="3"/>
  <c r="L36" i="3" s="1"/>
  <c r="AD36" i="3"/>
  <c r="O36" i="3"/>
  <c r="E36" i="3"/>
  <c r="H36" i="3" s="1"/>
  <c r="AE35" i="3"/>
  <c r="AG35" i="3"/>
  <c r="AO36" i="3"/>
  <c r="L35" i="3"/>
  <c r="F35" i="3"/>
  <c r="U35" i="3"/>
  <c r="W35" i="3"/>
  <c r="AC37" i="3"/>
  <c r="AH37" i="3"/>
  <c r="AM37" i="3"/>
  <c r="S37" i="3"/>
  <c r="N37" i="3"/>
  <c r="I37" i="3"/>
  <c r="X37" i="3"/>
  <c r="V35" i="3"/>
  <c r="AK35" i="3"/>
  <c r="G35" i="3"/>
  <c r="AN35" i="3"/>
  <c r="AA35" i="3"/>
  <c r="Q35" i="3"/>
  <c r="AF35" i="3"/>
  <c r="C37" i="3"/>
  <c r="D37" i="3"/>
  <c r="AB36" i="3" l="1"/>
  <c r="Z36" i="3"/>
  <c r="B42" i="3"/>
  <c r="AQ35" i="3"/>
  <c r="AR35" i="3" s="1"/>
  <c r="F36" i="3"/>
  <c r="AI37" i="3"/>
  <c r="Y37" i="3"/>
  <c r="T37" i="3"/>
  <c r="J37" i="3"/>
  <c r="AD37" i="3"/>
  <c r="O37" i="3"/>
  <c r="E37" i="3"/>
  <c r="H37" i="3" s="1"/>
  <c r="AO37" i="3"/>
  <c r="R36" i="3"/>
  <c r="P36" i="3"/>
  <c r="W36" i="3"/>
  <c r="U36" i="3"/>
  <c r="AG36" i="3"/>
  <c r="AE36" i="3"/>
  <c r="AL36" i="3"/>
  <c r="AJ36" i="3"/>
  <c r="K36" i="3"/>
  <c r="M36" i="3"/>
  <c r="AM38" i="3"/>
  <c r="AH38" i="3"/>
  <c r="AC38" i="3"/>
  <c r="X38" i="3"/>
  <c r="S38" i="3"/>
  <c r="N38" i="3"/>
  <c r="I38" i="3"/>
  <c r="AK36" i="3"/>
  <c r="AF36" i="3"/>
  <c r="Q36" i="3"/>
  <c r="V36" i="3"/>
  <c r="G36" i="3"/>
  <c r="AN36" i="3"/>
  <c r="AA36" i="3"/>
  <c r="C38" i="3"/>
  <c r="D38" i="3"/>
  <c r="AB37" i="3" l="1"/>
  <c r="Z37" i="3"/>
  <c r="B43" i="3"/>
  <c r="AQ36" i="3"/>
  <c r="AR36" i="3" s="1"/>
  <c r="K37" i="3"/>
  <c r="M37" i="3"/>
  <c r="F37" i="3"/>
  <c r="U37" i="3"/>
  <c r="W37" i="3"/>
  <c r="AI38" i="3"/>
  <c r="AD38" i="3"/>
  <c r="O38" i="3"/>
  <c r="T38" i="3"/>
  <c r="E38" i="3"/>
  <c r="H38" i="3" s="1"/>
  <c r="Y38" i="3"/>
  <c r="J38" i="3"/>
  <c r="L38" i="3" s="1"/>
  <c r="L37" i="3"/>
  <c r="R37" i="3"/>
  <c r="P37" i="3"/>
  <c r="AE37" i="3"/>
  <c r="AG37" i="3"/>
  <c r="AL37" i="3"/>
  <c r="AJ37" i="3"/>
  <c r="AO38" i="3"/>
  <c r="AM39" i="3"/>
  <c r="AH39" i="3"/>
  <c r="AC39" i="3"/>
  <c r="X39" i="3"/>
  <c r="S39" i="3"/>
  <c r="N39" i="3"/>
  <c r="I39" i="3"/>
  <c r="AN37" i="3"/>
  <c r="G37" i="3"/>
  <c r="AF37" i="3"/>
  <c r="AA37" i="3"/>
  <c r="V37" i="3"/>
  <c r="Q37" i="3"/>
  <c r="AK37" i="3"/>
  <c r="D39" i="3"/>
  <c r="C39" i="3"/>
  <c r="AB38" i="3" l="1"/>
  <c r="Z38" i="3"/>
  <c r="B44" i="3"/>
  <c r="AQ37" i="3"/>
  <c r="AR37" i="3" s="1"/>
  <c r="AO39" i="3"/>
  <c r="F38" i="3"/>
  <c r="AL38" i="3"/>
  <c r="AJ38" i="3"/>
  <c r="P38" i="3"/>
  <c r="R38" i="3"/>
  <c r="AE38" i="3"/>
  <c r="AG38" i="3"/>
  <c r="AD39" i="3"/>
  <c r="T39" i="3"/>
  <c r="Y39" i="3"/>
  <c r="O39" i="3"/>
  <c r="J39" i="3"/>
  <c r="L39" i="3" s="1"/>
  <c r="E39" i="3"/>
  <c r="H39" i="3" s="1"/>
  <c r="AI39" i="3"/>
  <c r="U38" i="3"/>
  <c r="W38" i="3"/>
  <c r="M38" i="3"/>
  <c r="K38" i="3"/>
  <c r="AM40" i="3"/>
  <c r="AC40" i="3"/>
  <c r="AH40" i="3"/>
  <c r="X40" i="3"/>
  <c r="S40" i="3"/>
  <c r="I40" i="3"/>
  <c r="N40" i="3"/>
  <c r="AN38" i="3"/>
  <c r="G38" i="3"/>
  <c r="AF38" i="3"/>
  <c r="AA38" i="3"/>
  <c r="Q38" i="3"/>
  <c r="V38" i="3"/>
  <c r="AK38" i="3"/>
  <c r="D40" i="3"/>
  <c r="C40" i="3"/>
  <c r="AB39" i="3" l="1"/>
  <c r="Z39" i="3"/>
  <c r="B45" i="3"/>
  <c r="AQ38" i="3"/>
  <c r="AR38" i="3" s="1"/>
  <c r="P39" i="3"/>
  <c r="R39" i="3"/>
  <c r="F39" i="3"/>
  <c r="U39" i="3"/>
  <c r="W39" i="3"/>
  <c r="AL39" i="3"/>
  <c r="AJ39" i="3"/>
  <c r="AO40" i="3"/>
  <c r="M39" i="3"/>
  <c r="K39" i="3"/>
  <c r="AE39" i="3"/>
  <c r="AG39" i="3"/>
  <c r="AI40" i="3"/>
  <c r="AD40" i="3"/>
  <c r="Y40" i="3"/>
  <c r="O40" i="3"/>
  <c r="T40" i="3"/>
  <c r="J40" i="3"/>
  <c r="E40" i="3"/>
  <c r="H40" i="3" s="1"/>
  <c r="AM41" i="3"/>
  <c r="AH41" i="3"/>
  <c r="AC41" i="3"/>
  <c r="S41" i="3"/>
  <c r="X41" i="3"/>
  <c r="N41" i="3"/>
  <c r="I41" i="3"/>
  <c r="V39" i="3"/>
  <c r="AA39" i="3"/>
  <c r="AF39" i="3"/>
  <c r="G39" i="3"/>
  <c r="AN39" i="3"/>
  <c r="Q39" i="3"/>
  <c r="AK39" i="3"/>
  <c r="C41" i="3"/>
  <c r="D41" i="3"/>
  <c r="AB40" i="3" l="1"/>
  <c r="Z40" i="3"/>
  <c r="B46" i="3"/>
  <c r="AQ39" i="3"/>
  <c r="AR39" i="3" s="1"/>
  <c r="F40" i="3"/>
  <c r="AO41" i="3"/>
  <c r="K40" i="3"/>
  <c r="M40" i="3"/>
  <c r="AG40" i="3"/>
  <c r="AE40" i="3"/>
  <c r="AI41" i="3"/>
  <c r="Y41" i="3"/>
  <c r="T41" i="3"/>
  <c r="AD41" i="3"/>
  <c r="O41" i="3"/>
  <c r="J41" i="3"/>
  <c r="E41" i="3"/>
  <c r="H41" i="3" s="1"/>
  <c r="W40" i="3"/>
  <c r="U40" i="3"/>
  <c r="AL40" i="3"/>
  <c r="AJ40" i="3"/>
  <c r="L40" i="3"/>
  <c r="R40" i="3"/>
  <c r="P40" i="3"/>
  <c r="AM42" i="3"/>
  <c r="AH42" i="3"/>
  <c r="AC42" i="3"/>
  <c r="X42" i="3"/>
  <c r="S42" i="3"/>
  <c r="N42" i="3"/>
  <c r="I42" i="3"/>
  <c r="V40" i="3"/>
  <c r="AN40" i="3"/>
  <c r="G40" i="3"/>
  <c r="AF40" i="3"/>
  <c r="AK40" i="3"/>
  <c r="AA40" i="3"/>
  <c r="Q40" i="3"/>
  <c r="C42" i="3"/>
  <c r="D42" i="3"/>
  <c r="AB41" i="3" l="1"/>
  <c r="Z41" i="3"/>
  <c r="B47" i="3"/>
  <c r="AQ40" i="3"/>
  <c r="AR40" i="3" s="1"/>
  <c r="F41" i="3"/>
  <c r="U41" i="3"/>
  <c r="W41" i="3"/>
  <c r="M41" i="3"/>
  <c r="K41" i="3"/>
  <c r="AI42" i="3"/>
  <c r="AD42" i="3"/>
  <c r="O42" i="3"/>
  <c r="T42" i="3"/>
  <c r="E42" i="3"/>
  <c r="H42" i="3" s="1"/>
  <c r="J42" i="3"/>
  <c r="Y42" i="3"/>
  <c r="R41" i="3"/>
  <c r="P41" i="3"/>
  <c r="AL41" i="3"/>
  <c r="AJ41" i="3"/>
  <c r="L41" i="3"/>
  <c r="AE41" i="3"/>
  <c r="AG41" i="3"/>
  <c r="AO42" i="3"/>
  <c r="AM43" i="3"/>
  <c r="AH43" i="3"/>
  <c r="AC43" i="3"/>
  <c r="X43" i="3"/>
  <c r="S43" i="3"/>
  <c r="N43" i="3"/>
  <c r="I43" i="3"/>
  <c r="AF41" i="3"/>
  <c r="AK41" i="3"/>
  <c r="AN41" i="3"/>
  <c r="G41" i="3"/>
  <c r="Q41" i="3"/>
  <c r="AA41" i="3"/>
  <c r="V41" i="3"/>
  <c r="C43" i="3"/>
  <c r="D43" i="3"/>
  <c r="AB42" i="3" l="1"/>
  <c r="Z42" i="3"/>
  <c r="B48" i="3"/>
  <c r="AQ41" i="3"/>
  <c r="AR41" i="3" s="1"/>
  <c r="R42" i="3"/>
  <c r="P42" i="3"/>
  <c r="AO43" i="3"/>
  <c r="AE42" i="3"/>
  <c r="AG42" i="3"/>
  <c r="AI43" i="3"/>
  <c r="AD43" i="3"/>
  <c r="T43" i="3"/>
  <c r="O43" i="3"/>
  <c r="J43" i="3"/>
  <c r="E43" i="3"/>
  <c r="H43" i="3" s="1"/>
  <c r="Y43" i="3"/>
  <c r="F42" i="3"/>
  <c r="AL42" i="3"/>
  <c r="AJ42" i="3"/>
  <c r="L42" i="3"/>
  <c r="M42" i="3"/>
  <c r="K42" i="3"/>
  <c r="U42" i="3"/>
  <c r="W42" i="3"/>
  <c r="AM44" i="3"/>
  <c r="AC44" i="3"/>
  <c r="AH44" i="3"/>
  <c r="X44" i="3"/>
  <c r="I44" i="3"/>
  <c r="S44" i="3"/>
  <c r="N44" i="3"/>
  <c r="AF42" i="3"/>
  <c r="AK42" i="3"/>
  <c r="AA42" i="3"/>
  <c r="Q42" i="3"/>
  <c r="AN42" i="3"/>
  <c r="G42" i="3"/>
  <c r="V42" i="3"/>
  <c r="D44" i="3"/>
  <c r="C44" i="3"/>
  <c r="AB43" i="3" l="1"/>
  <c r="Z43" i="3"/>
  <c r="B49" i="3"/>
  <c r="AQ42" i="3"/>
  <c r="AR42" i="3" s="1"/>
  <c r="U43" i="3"/>
  <c r="W43" i="3"/>
  <c r="AI44" i="3"/>
  <c r="Y44" i="3"/>
  <c r="AD44" i="3"/>
  <c r="J44" i="3"/>
  <c r="T44" i="3"/>
  <c r="O44" i="3"/>
  <c r="E44" i="3"/>
  <c r="H44" i="3" s="1"/>
  <c r="K43" i="3"/>
  <c r="M43" i="3"/>
  <c r="AL43" i="3"/>
  <c r="AJ43" i="3"/>
  <c r="L43" i="3"/>
  <c r="P43" i="3"/>
  <c r="R43" i="3"/>
  <c r="AO44" i="3"/>
  <c r="F43" i="3"/>
  <c r="AE43" i="3"/>
  <c r="AG43" i="3"/>
  <c r="AM45" i="3"/>
  <c r="AC45" i="3"/>
  <c r="AH45" i="3"/>
  <c r="S45" i="3"/>
  <c r="N45" i="3"/>
  <c r="X45" i="3"/>
  <c r="I45" i="3"/>
  <c r="AA43" i="3"/>
  <c r="AF43" i="3"/>
  <c r="AK43" i="3"/>
  <c r="AN43" i="3"/>
  <c r="G43" i="3"/>
  <c r="Q43" i="3"/>
  <c r="V43" i="3"/>
  <c r="C45" i="3"/>
  <c r="D45" i="3"/>
  <c r="AB44" i="3" l="1"/>
  <c r="Z44" i="3"/>
  <c r="B50" i="3"/>
  <c r="AQ43" i="3"/>
  <c r="AR43" i="3" s="1"/>
  <c r="AO45" i="3"/>
  <c r="K44" i="3"/>
  <c r="M44" i="3"/>
  <c r="R44" i="3"/>
  <c r="P44" i="3"/>
  <c r="AI45" i="3"/>
  <c r="Y45" i="3"/>
  <c r="AD45" i="3"/>
  <c r="T45" i="3"/>
  <c r="O45" i="3"/>
  <c r="J45" i="3"/>
  <c r="E45" i="3"/>
  <c r="H45" i="3" s="1"/>
  <c r="L44" i="3"/>
  <c r="W44" i="3"/>
  <c r="U44" i="3"/>
  <c r="AL44" i="3"/>
  <c r="AJ44" i="3"/>
  <c r="F44" i="3"/>
  <c r="AG44" i="3"/>
  <c r="AE44" i="3"/>
  <c r="AM46" i="3"/>
  <c r="AH46" i="3"/>
  <c r="AC46" i="3"/>
  <c r="X46" i="3"/>
  <c r="S46" i="3"/>
  <c r="N46" i="3"/>
  <c r="I46" i="3"/>
  <c r="Q44" i="3"/>
  <c r="AF44" i="3"/>
  <c r="G44" i="3"/>
  <c r="AN44" i="3"/>
  <c r="AA44" i="3"/>
  <c r="AK44" i="3"/>
  <c r="V44" i="3"/>
  <c r="C46" i="3"/>
  <c r="D46" i="3"/>
  <c r="AB45" i="3" l="1"/>
  <c r="Z45" i="3"/>
  <c r="B51" i="3"/>
  <c r="AQ44" i="3"/>
  <c r="AR44" i="3" s="1"/>
  <c r="AI46" i="3"/>
  <c r="AD46" i="3"/>
  <c r="T46" i="3"/>
  <c r="O46" i="3"/>
  <c r="Y46" i="3"/>
  <c r="E46" i="3"/>
  <c r="H46" i="3" s="1"/>
  <c r="J46" i="3"/>
  <c r="L46" i="3" s="1"/>
  <c r="K45" i="3"/>
  <c r="M45" i="3"/>
  <c r="P45" i="3"/>
  <c r="R45" i="3"/>
  <c r="AL45" i="3"/>
  <c r="AJ45" i="3"/>
  <c r="L45" i="3"/>
  <c r="U45" i="3"/>
  <c r="W45" i="3"/>
  <c r="AO46" i="3"/>
  <c r="F45" i="3"/>
  <c r="AE45" i="3"/>
  <c r="AG45" i="3"/>
  <c r="AM47" i="3"/>
  <c r="AH47" i="3"/>
  <c r="AC47" i="3"/>
  <c r="X47" i="3"/>
  <c r="S47" i="3"/>
  <c r="N47" i="3"/>
  <c r="I47" i="3"/>
  <c r="G45" i="3"/>
  <c r="AN45" i="3"/>
  <c r="V45" i="3"/>
  <c r="AF45" i="3"/>
  <c r="Q45" i="3"/>
  <c r="AK45" i="3"/>
  <c r="AA45" i="3"/>
  <c r="D47" i="3"/>
  <c r="C47" i="3"/>
  <c r="AB46" i="3" l="1"/>
  <c r="Z46" i="3"/>
  <c r="B52" i="3"/>
  <c r="AQ45" i="3"/>
  <c r="AR45" i="3" s="1"/>
  <c r="AO47" i="3"/>
  <c r="R46" i="3"/>
  <c r="P46" i="3"/>
  <c r="AI47" i="3"/>
  <c r="AD47" i="3"/>
  <c r="T47" i="3"/>
  <c r="O47" i="3"/>
  <c r="Y47" i="3"/>
  <c r="J47" i="3"/>
  <c r="E47" i="3"/>
  <c r="H47" i="3" s="1"/>
  <c r="M46" i="3"/>
  <c r="K46" i="3"/>
  <c r="U46" i="3"/>
  <c r="W46" i="3"/>
  <c r="AE46" i="3"/>
  <c r="AG46" i="3"/>
  <c r="F46" i="3"/>
  <c r="AL46" i="3"/>
  <c r="AJ46" i="3"/>
  <c r="AM48" i="3"/>
  <c r="AC48" i="3"/>
  <c r="AH48" i="3"/>
  <c r="X48" i="3"/>
  <c r="I48" i="3"/>
  <c r="S48" i="3"/>
  <c r="N48" i="3"/>
  <c r="AA46" i="3"/>
  <c r="AF46" i="3"/>
  <c r="AK46" i="3"/>
  <c r="G46" i="3"/>
  <c r="AN46" i="3"/>
  <c r="Q46" i="3"/>
  <c r="V46" i="3"/>
  <c r="D48" i="3"/>
  <c r="C48" i="3"/>
  <c r="AB47" i="3" l="1"/>
  <c r="Z47" i="3"/>
  <c r="B53" i="3"/>
  <c r="AQ46" i="3"/>
  <c r="AR46" i="3" s="1"/>
  <c r="AO48" i="3"/>
  <c r="M47" i="3"/>
  <c r="K47" i="3"/>
  <c r="R47" i="3"/>
  <c r="P47" i="3"/>
  <c r="AI48" i="3"/>
  <c r="AD48" i="3"/>
  <c r="T48" i="3"/>
  <c r="O48" i="3"/>
  <c r="Y48" i="3"/>
  <c r="J48" i="3"/>
  <c r="E48" i="3"/>
  <c r="H48" i="3" s="1"/>
  <c r="F47" i="3"/>
  <c r="U47" i="3"/>
  <c r="W47" i="3"/>
  <c r="L47" i="3"/>
  <c r="AE47" i="3"/>
  <c r="AG47" i="3"/>
  <c r="AL47" i="3"/>
  <c r="AJ47" i="3"/>
  <c r="AH49" i="3"/>
  <c r="AC49" i="3"/>
  <c r="AM49" i="3"/>
  <c r="S49" i="3"/>
  <c r="N49" i="3"/>
  <c r="I49" i="3"/>
  <c r="X49" i="3"/>
  <c r="V47" i="3"/>
  <c r="G47" i="3"/>
  <c r="AN47" i="3"/>
  <c r="AA47" i="3"/>
  <c r="Q47" i="3"/>
  <c r="AF47" i="3"/>
  <c r="AK47" i="3"/>
  <c r="D49" i="3"/>
  <c r="C49" i="3"/>
  <c r="AB48" i="3" l="1"/>
  <c r="Z48" i="3"/>
  <c r="B54" i="3"/>
  <c r="AQ47" i="3"/>
  <c r="AR47" i="3" s="1"/>
  <c r="AL48" i="3"/>
  <c r="AJ48" i="3"/>
  <c r="AO49" i="3"/>
  <c r="F48" i="3"/>
  <c r="W48" i="3"/>
  <c r="U48" i="3"/>
  <c r="AI49" i="3"/>
  <c r="Y49" i="3"/>
  <c r="AD49" i="3"/>
  <c r="T49" i="3"/>
  <c r="O49" i="3"/>
  <c r="J49" i="3"/>
  <c r="L49" i="3" s="1"/>
  <c r="E49" i="3"/>
  <c r="H49" i="3" s="1"/>
  <c r="M48" i="3"/>
  <c r="K48" i="3"/>
  <c r="AG48" i="3"/>
  <c r="AE48" i="3"/>
  <c r="L48" i="3"/>
  <c r="R48" i="3"/>
  <c r="P48" i="3"/>
  <c r="AM50" i="3"/>
  <c r="AH50" i="3"/>
  <c r="AC50" i="3"/>
  <c r="X50" i="3"/>
  <c r="S50" i="3"/>
  <c r="N50" i="3"/>
  <c r="I50" i="3"/>
  <c r="AN48" i="3"/>
  <c r="G48" i="3"/>
  <c r="Q48" i="3"/>
  <c r="AF48" i="3"/>
  <c r="AA48" i="3"/>
  <c r="V48" i="3"/>
  <c r="AK48" i="3"/>
  <c r="C50" i="3"/>
  <c r="D50" i="3"/>
  <c r="AB49" i="3" l="1"/>
  <c r="Z49" i="3"/>
  <c r="B55" i="3"/>
  <c r="AQ48" i="3"/>
  <c r="AR48" i="3" s="1"/>
  <c r="AE49" i="3"/>
  <c r="AG49" i="3"/>
  <c r="AI50" i="3"/>
  <c r="AD50" i="3"/>
  <c r="Y50" i="3"/>
  <c r="O50" i="3"/>
  <c r="E50" i="3"/>
  <c r="H50" i="3" s="1"/>
  <c r="T50" i="3"/>
  <c r="J50" i="3"/>
  <c r="L50" i="3" s="1"/>
  <c r="R49" i="3"/>
  <c r="P49" i="3"/>
  <c r="AL49" i="3"/>
  <c r="AJ49" i="3"/>
  <c r="AO50" i="3"/>
  <c r="U49" i="3"/>
  <c r="W49" i="3"/>
  <c r="F49" i="3"/>
  <c r="M49" i="3"/>
  <c r="K49" i="3"/>
  <c r="AM51" i="3"/>
  <c r="AH51" i="3"/>
  <c r="AC51" i="3"/>
  <c r="X51" i="3"/>
  <c r="S51" i="3"/>
  <c r="N51" i="3"/>
  <c r="I51" i="3"/>
  <c r="G49" i="3"/>
  <c r="AN49" i="3"/>
  <c r="AK49" i="3"/>
  <c r="AF49" i="3"/>
  <c r="V49" i="3"/>
  <c r="Q49" i="3"/>
  <c r="AA49" i="3"/>
  <c r="C51" i="3"/>
  <c r="D51" i="3"/>
  <c r="AB50" i="3" l="1"/>
  <c r="Z50" i="3"/>
  <c r="B56" i="3"/>
  <c r="AQ49" i="3"/>
  <c r="AR49" i="3" s="1"/>
  <c r="AO51" i="3"/>
  <c r="U50" i="3"/>
  <c r="W50" i="3"/>
  <c r="AE50" i="3"/>
  <c r="AG50" i="3"/>
  <c r="AI51" i="3"/>
  <c r="AD51" i="3"/>
  <c r="T51" i="3"/>
  <c r="Y51" i="3"/>
  <c r="O51" i="3"/>
  <c r="J51" i="3"/>
  <c r="L51" i="3" s="1"/>
  <c r="E51" i="3"/>
  <c r="H51" i="3" s="1"/>
  <c r="F50" i="3"/>
  <c r="AL50" i="3"/>
  <c r="AJ50" i="3"/>
  <c r="P50" i="3"/>
  <c r="R50" i="3"/>
  <c r="K50" i="3"/>
  <c r="M50" i="3"/>
  <c r="AM52" i="3"/>
  <c r="AC52" i="3"/>
  <c r="AH52" i="3"/>
  <c r="X52" i="3"/>
  <c r="I52" i="3"/>
  <c r="S52" i="3"/>
  <c r="N52" i="3"/>
  <c r="AF50" i="3"/>
  <c r="Q50" i="3"/>
  <c r="AK50" i="3"/>
  <c r="AA50" i="3"/>
  <c r="G50" i="3"/>
  <c r="AN50" i="3"/>
  <c r="V50" i="3"/>
  <c r="D52" i="3"/>
  <c r="C52" i="3"/>
  <c r="AB51" i="3" l="1"/>
  <c r="Z51" i="3"/>
  <c r="B57" i="3"/>
  <c r="AQ50" i="3"/>
  <c r="AR50" i="3" s="1"/>
  <c r="AI52" i="3"/>
  <c r="T52" i="3"/>
  <c r="J52" i="3"/>
  <c r="L52" i="3" s="1"/>
  <c r="AD52" i="3"/>
  <c r="Y52" i="3"/>
  <c r="O52" i="3"/>
  <c r="E52" i="3"/>
  <c r="H52" i="3" s="1"/>
  <c r="U51" i="3"/>
  <c r="W51" i="3"/>
  <c r="K51" i="3"/>
  <c r="M51" i="3"/>
  <c r="AE51" i="3"/>
  <c r="AG51" i="3"/>
  <c r="AO52" i="3"/>
  <c r="R51" i="3"/>
  <c r="P51" i="3"/>
  <c r="AL51" i="3"/>
  <c r="AJ51" i="3"/>
  <c r="F51" i="3"/>
  <c r="D53" i="3"/>
  <c r="AC53" i="3"/>
  <c r="AH53" i="3"/>
  <c r="AM53" i="3"/>
  <c r="S53" i="3"/>
  <c r="N53" i="3"/>
  <c r="I53" i="3"/>
  <c r="X53" i="3"/>
  <c r="AN51" i="3"/>
  <c r="G51" i="3"/>
  <c r="AA51" i="3"/>
  <c r="V51" i="3"/>
  <c r="AF51" i="3"/>
  <c r="Q51" i="3"/>
  <c r="AK51" i="3"/>
  <c r="C53" i="3"/>
  <c r="AB52" i="3" l="1"/>
  <c r="Z52" i="3"/>
  <c r="B58" i="3"/>
  <c r="AQ51" i="3"/>
  <c r="AR51" i="3" s="1"/>
  <c r="W52" i="3"/>
  <c r="U52" i="3"/>
  <c r="AO53" i="3"/>
  <c r="AG52" i="3"/>
  <c r="AE52" i="3"/>
  <c r="AI53" i="3"/>
  <c r="AK53" i="3" s="1"/>
  <c r="Y53" i="3"/>
  <c r="T53" i="3"/>
  <c r="AD53" i="3"/>
  <c r="AF53" i="3" s="1"/>
  <c r="J53" i="3"/>
  <c r="L53" i="3" s="1"/>
  <c r="O53" i="3"/>
  <c r="Q53" i="3" s="1"/>
  <c r="E53" i="3"/>
  <c r="H53" i="3" s="1"/>
  <c r="F52" i="3"/>
  <c r="K52" i="3"/>
  <c r="M52" i="3"/>
  <c r="R52" i="3"/>
  <c r="P52" i="3"/>
  <c r="AL52" i="3"/>
  <c r="AJ52" i="3"/>
  <c r="AM54" i="3"/>
  <c r="AH54" i="3"/>
  <c r="AC54" i="3"/>
  <c r="X54" i="3"/>
  <c r="S54" i="3"/>
  <c r="N54" i="3"/>
  <c r="I54" i="3"/>
  <c r="AA52" i="3"/>
  <c r="AF52" i="3"/>
  <c r="AN52" i="3"/>
  <c r="G52" i="3"/>
  <c r="AK52" i="3"/>
  <c r="Q52" i="3"/>
  <c r="V52" i="3"/>
  <c r="D54" i="3"/>
  <c r="C54" i="3"/>
  <c r="AB53" i="3" l="1"/>
  <c r="Z53" i="3"/>
  <c r="B59" i="3"/>
  <c r="G53" i="3"/>
  <c r="AQ52" i="3"/>
  <c r="AR52" i="3" s="1"/>
  <c r="AA53" i="3"/>
  <c r="F53" i="3"/>
  <c r="U53" i="3"/>
  <c r="W53" i="3"/>
  <c r="AI54" i="3"/>
  <c r="AD54" i="3"/>
  <c r="O54" i="3"/>
  <c r="E54" i="3"/>
  <c r="H54" i="3" s="1"/>
  <c r="Y54" i="3"/>
  <c r="T54" i="3"/>
  <c r="J54" i="3"/>
  <c r="L54" i="3" s="1"/>
  <c r="R53" i="3"/>
  <c r="P53" i="3"/>
  <c r="V53" i="3"/>
  <c r="AO54" i="3"/>
  <c r="K53" i="3"/>
  <c r="M53" i="3"/>
  <c r="AL53" i="3"/>
  <c r="AJ53" i="3"/>
  <c r="AE53" i="3"/>
  <c r="AG53" i="3"/>
  <c r="AN53" i="3"/>
  <c r="AM55" i="3"/>
  <c r="AH55" i="3"/>
  <c r="AC55" i="3"/>
  <c r="X55" i="3"/>
  <c r="S55" i="3"/>
  <c r="N55" i="3"/>
  <c r="I55" i="3"/>
  <c r="C55" i="3"/>
  <c r="D55" i="3"/>
  <c r="AB54" i="3" l="1"/>
  <c r="Z54" i="3"/>
  <c r="B60" i="3"/>
  <c r="AQ53" i="3"/>
  <c r="AR53" i="3" s="1"/>
  <c r="F54" i="3"/>
  <c r="AO55" i="3"/>
  <c r="M54" i="3"/>
  <c r="K54" i="3"/>
  <c r="P54" i="3"/>
  <c r="R54" i="3"/>
  <c r="U54" i="3"/>
  <c r="W54" i="3"/>
  <c r="AE54" i="3"/>
  <c r="AG54" i="3"/>
  <c r="AJ54" i="3"/>
  <c r="AL54" i="3"/>
  <c r="AD55" i="3"/>
  <c r="AI55" i="3"/>
  <c r="Y55" i="3"/>
  <c r="O55" i="3"/>
  <c r="J55" i="3"/>
  <c r="E55" i="3"/>
  <c r="H55" i="3" s="1"/>
  <c r="T55" i="3"/>
  <c r="AM56" i="3"/>
  <c r="AC56" i="3"/>
  <c r="AH56" i="3"/>
  <c r="X56" i="3"/>
  <c r="S56" i="3"/>
  <c r="I56" i="3"/>
  <c r="N56" i="3"/>
  <c r="Q54" i="3"/>
  <c r="AF54" i="3"/>
  <c r="AN54" i="3"/>
  <c r="G54" i="3"/>
  <c r="V54" i="3"/>
  <c r="AA54" i="3"/>
  <c r="AK54" i="3"/>
  <c r="D56" i="3"/>
  <c r="C56" i="3"/>
  <c r="AB55" i="3" l="1"/>
  <c r="Z55" i="3"/>
  <c r="B61" i="3"/>
  <c r="AQ54" i="3"/>
  <c r="AR54" i="3" s="1"/>
  <c r="AL55" i="3"/>
  <c r="AJ55" i="3"/>
  <c r="AO56" i="3"/>
  <c r="M55" i="3"/>
  <c r="K55" i="3"/>
  <c r="AE55" i="3"/>
  <c r="AG55" i="3"/>
  <c r="L55" i="3"/>
  <c r="U55" i="3"/>
  <c r="W55" i="3"/>
  <c r="AI56" i="3"/>
  <c r="AD56" i="3"/>
  <c r="T56" i="3"/>
  <c r="Y56" i="3"/>
  <c r="O56" i="3"/>
  <c r="J56" i="3"/>
  <c r="E56" i="3"/>
  <c r="H56" i="3" s="1"/>
  <c r="P55" i="3"/>
  <c r="R55" i="3"/>
  <c r="F55" i="3"/>
  <c r="AM57" i="3"/>
  <c r="AH57" i="3"/>
  <c r="AC57" i="3"/>
  <c r="S57" i="3"/>
  <c r="X57" i="3"/>
  <c r="N57" i="3"/>
  <c r="I57" i="3"/>
  <c r="V55" i="3"/>
  <c r="AA55" i="3"/>
  <c r="AF55" i="3"/>
  <c r="G55" i="3"/>
  <c r="AN55" i="3"/>
  <c r="Q55" i="3"/>
  <c r="AK55" i="3"/>
  <c r="D57" i="3"/>
  <c r="C57" i="3"/>
  <c r="AB56" i="3" l="1"/>
  <c r="Z56" i="3"/>
  <c r="B62" i="3"/>
  <c r="AQ55" i="3"/>
  <c r="AR55" i="3" s="1"/>
  <c r="AO57" i="3"/>
  <c r="F56" i="3"/>
  <c r="M56" i="3"/>
  <c r="K56" i="3"/>
  <c r="AI57" i="3"/>
  <c r="Y57" i="3"/>
  <c r="AD57" i="3"/>
  <c r="T57" i="3"/>
  <c r="O57" i="3"/>
  <c r="J57" i="3"/>
  <c r="L57" i="3" s="1"/>
  <c r="E57" i="3"/>
  <c r="H57" i="3" s="1"/>
  <c r="R56" i="3"/>
  <c r="P56" i="3"/>
  <c r="AL56" i="3"/>
  <c r="AJ56" i="3"/>
  <c r="W56" i="3"/>
  <c r="U56" i="3"/>
  <c r="AG56" i="3"/>
  <c r="AE56" i="3"/>
  <c r="L56" i="3"/>
  <c r="AM58" i="3"/>
  <c r="AH58" i="3"/>
  <c r="AC58" i="3"/>
  <c r="X58" i="3"/>
  <c r="S58" i="3"/>
  <c r="N58" i="3"/>
  <c r="I58" i="3"/>
  <c r="AK56" i="3"/>
  <c r="AN56" i="3"/>
  <c r="G56" i="3"/>
  <c r="AA56" i="3"/>
  <c r="V56" i="3"/>
  <c r="Q56" i="3"/>
  <c r="AF56" i="3"/>
  <c r="D58" i="3"/>
  <c r="C58" i="3"/>
  <c r="AB57" i="3" l="1"/>
  <c r="Z57" i="3"/>
  <c r="B63" i="3"/>
  <c r="AQ56" i="3"/>
  <c r="AR56" i="3" s="1"/>
  <c r="AI58" i="3"/>
  <c r="AD58" i="3"/>
  <c r="O58" i="3"/>
  <c r="Y58" i="3"/>
  <c r="T58" i="3"/>
  <c r="E58" i="3"/>
  <c r="H58" i="3" s="1"/>
  <c r="J58" i="3"/>
  <c r="M57" i="3"/>
  <c r="K57" i="3"/>
  <c r="R57" i="3"/>
  <c r="P57" i="3"/>
  <c r="AL57" i="3"/>
  <c r="AJ57" i="3"/>
  <c r="AO58" i="3"/>
  <c r="U57" i="3"/>
  <c r="W57" i="3"/>
  <c r="F57" i="3"/>
  <c r="AE57" i="3"/>
  <c r="AG57" i="3"/>
  <c r="AM59" i="3"/>
  <c r="AH59" i="3"/>
  <c r="AC59" i="3"/>
  <c r="X59" i="3"/>
  <c r="S59" i="3"/>
  <c r="N59" i="3"/>
  <c r="I59" i="3"/>
  <c r="V57" i="3"/>
  <c r="Q57" i="3"/>
  <c r="G57" i="3"/>
  <c r="AN57" i="3"/>
  <c r="AA57" i="3"/>
  <c r="AF57" i="3"/>
  <c r="AK57" i="3"/>
  <c r="C59" i="3"/>
  <c r="D59" i="3"/>
  <c r="AB58" i="3" l="1"/>
  <c r="Z58" i="3"/>
  <c r="B64" i="3"/>
  <c r="AQ57" i="3"/>
  <c r="AR57" i="3" s="1"/>
  <c r="AI59" i="3"/>
  <c r="AD59" i="3"/>
  <c r="O59" i="3"/>
  <c r="J59" i="3"/>
  <c r="L59" i="3" s="1"/>
  <c r="Y59" i="3"/>
  <c r="T59" i="3"/>
  <c r="E59" i="3"/>
  <c r="H59" i="3" s="1"/>
  <c r="L58" i="3"/>
  <c r="M58" i="3"/>
  <c r="K58" i="3"/>
  <c r="R58" i="3"/>
  <c r="P58" i="3"/>
  <c r="AO59" i="3"/>
  <c r="F58" i="3"/>
  <c r="AE58" i="3"/>
  <c r="AG58" i="3"/>
  <c r="U58" i="3"/>
  <c r="W58" i="3"/>
  <c r="AL58" i="3"/>
  <c r="AJ58" i="3"/>
  <c r="AM60" i="3"/>
  <c r="AC60" i="3"/>
  <c r="AH60" i="3"/>
  <c r="X60" i="3"/>
  <c r="I60" i="3"/>
  <c r="S60" i="3"/>
  <c r="N60" i="3"/>
  <c r="AK58" i="3"/>
  <c r="Q58" i="3"/>
  <c r="V58" i="3"/>
  <c r="AA58" i="3"/>
  <c r="AF58" i="3"/>
  <c r="AN58" i="3"/>
  <c r="G58" i="3"/>
  <c r="C60" i="3"/>
  <c r="D60" i="3"/>
  <c r="AB59" i="3" l="1"/>
  <c r="Z59" i="3"/>
  <c r="B65" i="3"/>
  <c r="AQ58" i="3"/>
  <c r="AR58" i="3" s="1"/>
  <c r="AI60" i="3"/>
  <c r="Y60" i="3"/>
  <c r="T60" i="3"/>
  <c r="AD60" i="3"/>
  <c r="J60" i="3"/>
  <c r="O60" i="3"/>
  <c r="E60" i="3"/>
  <c r="H60" i="3" s="1"/>
  <c r="AO60" i="3"/>
  <c r="K59" i="3"/>
  <c r="M59" i="3"/>
  <c r="F59" i="3"/>
  <c r="P59" i="3"/>
  <c r="R59" i="3"/>
  <c r="AE59" i="3"/>
  <c r="AG59" i="3"/>
  <c r="W59" i="3"/>
  <c r="U59" i="3"/>
  <c r="AL59" i="3"/>
  <c r="AJ59" i="3"/>
  <c r="AM61" i="3"/>
  <c r="AC61" i="3"/>
  <c r="AH61" i="3"/>
  <c r="S61" i="3"/>
  <c r="N61" i="3"/>
  <c r="X61" i="3"/>
  <c r="I61" i="3"/>
  <c r="AN59" i="3"/>
  <c r="G59" i="3"/>
  <c r="Q59" i="3"/>
  <c r="AK59" i="3"/>
  <c r="AA59" i="3"/>
  <c r="AF59" i="3"/>
  <c r="V59" i="3"/>
  <c r="D61" i="3"/>
  <c r="C61" i="3"/>
  <c r="AB60" i="3" l="1"/>
  <c r="Z60" i="3"/>
  <c r="B66" i="3"/>
  <c r="AQ59" i="3"/>
  <c r="AR59" i="3" s="1"/>
  <c r="R60" i="3"/>
  <c r="P60" i="3"/>
  <c r="AO61" i="3"/>
  <c r="K60" i="3"/>
  <c r="M60" i="3"/>
  <c r="L60" i="3"/>
  <c r="AG60" i="3"/>
  <c r="AE60" i="3"/>
  <c r="AI61" i="3"/>
  <c r="Y61" i="3"/>
  <c r="T61" i="3"/>
  <c r="AD61" i="3"/>
  <c r="O61" i="3"/>
  <c r="J61" i="3"/>
  <c r="L61" i="3" s="1"/>
  <c r="E61" i="3"/>
  <c r="H61" i="3" s="1"/>
  <c r="F60" i="3"/>
  <c r="W60" i="3"/>
  <c r="U60" i="3"/>
  <c r="AL60" i="3"/>
  <c r="AJ60" i="3"/>
  <c r="AM62" i="3"/>
  <c r="AH62" i="3"/>
  <c r="AC62" i="3"/>
  <c r="X62" i="3"/>
  <c r="S62" i="3"/>
  <c r="N62" i="3"/>
  <c r="I62" i="3"/>
  <c r="V60" i="3"/>
  <c r="Q60" i="3"/>
  <c r="AF60" i="3"/>
  <c r="G60" i="3"/>
  <c r="AN60" i="3"/>
  <c r="AA60" i="3"/>
  <c r="AK60" i="3"/>
  <c r="D62" i="3"/>
  <c r="C62" i="3"/>
  <c r="AB61" i="3" l="1"/>
  <c r="Z61" i="3"/>
  <c r="B67" i="3"/>
  <c r="AQ60" i="3"/>
  <c r="AR60" i="3" s="1"/>
  <c r="AO62" i="3"/>
  <c r="AL61" i="3"/>
  <c r="AJ61" i="3"/>
  <c r="AE61" i="3"/>
  <c r="AG61" i="3"/>
  <c r="AI62" i="3"/>
  <c r="AD62" i="3"/>
  <c r="O62" i="3"/>
  <c r="Y62" i="3"/>
  <c r="E62" i="3"/>
  <c r="H62" i="3" s="1"/>
  <c r="T62" i="3"/>
  <c r="J62" i="3"/>
  <c r="F61" i="3"/>
  <c r="U61" i="3"/>
  <c r="W61" i="3"/>
  <c r="M61" i="3"/>
  <c r="K61" i="3"/>
  <c r="P61" i="3"/>
  <c r="R61" i="3"/>
  <c r="AM63" i="3"/>
  <c r="AH63" i="3"/>
  <c r="AC63" i="3"/>
  <c r="X63" i="3"/>
  <c r="S63" i="3"/>
  <c r="N63" i="3"/>
  <c r="I63" i="3"/>
  <c r="AK61" i="3"/>
  <c r="G61" i="3"/>
  <c r="AN61" i="3"/>
  <c r="V61" i="3"/>
  <c r="Q61" i="3"/>
  <c r="AA61" i="3"/>
  <c r="AF61" i="3"/>
  <c r="C63" i="3"/>
  <c r="D63" i="3"/>
  <c r="AB62" i="3" l="1"/>
  <c r="Z62" i="3"/>
  <c r="B68" i="3"/>
  <c r="AQ61" i="3"/>
  <c r="AR61" i="3" s="1"/>
  <c r="M62" i="3"/>
  <c r="K62" i="3"/>
  <c r="R62" i="3"/>
  <c r="P62" i="3"/>
  <c r="AO63" i="3"/>
  <c r="U62" i="3"/>
  <c r="W62" i="3"/>
  <c r="AE62" i="3"/>
  <c r="AG62" i="3"/>
  <c r="L62" i="3"/>
  <c r="AI63" i="3"/>
  <c r="AD63" i="3"/>
  <c r="O63" i="3"/>
  <c r="J63" i="3"/>
  <c r="L63" i="3" s="1"/>
  <c r="E63" i="3"/>
  <c r="H63" i="3" s="1"/>
  <c r="T63" i="3"/>
  <c r="Y63" i="3"/>
  <c r="F62" i="3"/>
  <c r="AL62" i="3"/>
  <c r="AJ62" i="3"/>
  <c r="AM64" i="3"/>
  <c r="AC64" i="3"/>
  <c r="AH64" i="3"/>
  <c r="X64" i="3"/>
  <c r="I64" i="3"/>
  <c r="S64" i="3"/>
  <c r="N64" i="3"/>
  <c r="V62" i="3"/>
  <c r="AF62" i="3"/>
  <c r="AA62" i="3"/>
  <c r="G62" i="3"/>
  <c r="AN62" i="3"/>
  <c r="AK62" i="3"/>
  <c r="Q62" i="3"/>
  <c r="C64" i="3"/>
  <c r="D64" i="3"/>
  <c r="AB63" i="3" l="1"/>
  <c r="Z63" i="3"/>
  <c r="B69" i="3"/>
  <c r="AQ62" i="3"/>
  <c r="AR62" i="3" s="1"/>
  <c r="F63" i="3"/>
  <c r="AO64" i="3"/>
  <c r="U63" i="3"/>
  <c r="W63" i="3"/>
  <c r="AE63" i="3"/>
  <c r="AG63" i="3"/>
  <c r="AL63" i="3"/>
  <c r="AJ63" i="3"/>
  <c r="M63" i="3"/>
  <c r="K63" i="3"/>
  <c r="AI64" i="3"/>
  <c r="AD64" i="3"/>
  <c r="T64" i="3"/>
  <c r="O64" i="3"/>
  <c r="J64" i="3"/>
  <c r="E64" i="3"/>
  <c r="H64" i="3" s="1"/>
  <c r="Y64" i="3"/>
  <c r="R63" i="3"/>
  <c r="P63" i="3"/>
  <c r="AH65" i="3"/>
  <c r="AC65" i="3"/>
  <c r="AM65" i="3"/>
  <c r="S65" i="3"/>
  <c r="N65" i="3"/>
  <c r="I65" i="3"/>
  <c r="X65" i="3"/>
  <c r="Q63" i="3"/>
  <c r="V63" i="3"/>
  <c r="AF63" i="3"/>
  <c r="AK63" i="3"/>
  <c r="G63" i="3"/>
  <c r="AN63" i="3"/>
  <c r="AA63" i="3"/>
  <c r="D65" i="3"/>
  <c r="C65" i="3"/>
  <c r="AB64" i="3" l="1"/>
  <c r="Z64" i="3"/>
  <c r="B70" i="3"/>
  <c r="AQ63" i="3"/>
  <c r="AR63" i="3" s="1"/>
  <c r="AL64" i="3"/>
  <c r="AJ64" i="3"/>
  <c r="AO65" i="3"/>
  <c r="W64" i="3"/>
  <c r="U64" i="3"/>
  <c r="K64" i="3"/>
  <c r="M64" i="3"/>
  <c r="AI65" i="3"/>
  <c r="Y65" i="3"/>
  <c r="AD65" i="3"/>
  <c r="T65" i="3"/>
  <c r="O65" i="3"/>
  <c r="J65" i="3"/>
  <c r="L65" i="3" s="1"/>
  <c r="E65" i="3"/>
  <c r="H65" i="3" s="1"/>
  <c r="F64" i="3"/>
  <c r="AG64" i="3"/>
  <c r="AE64" i="3"/>
  <c r="L64" i="3"/>
  <c r="R64" i="3"/>
  <c r="P64" i="3"/>
  <c r="AM66" i="3"/>
  <c r="AH66" i="3"/>
  <c r="AC66" i="3"/>
  <c r="X66" i="3"/>
  <c r="S66" i="3"/>
  <c r="N66" i="3"/>
  <c r="I66" i="3"/>
  <c r="AN64" i="3"/>
  <c r="G64" i="3"/>
  <c r="Q64" i="3"/>
  <c r="AF64" i="3"/>
  <c r="V64" i="3"/>
  <c r="AA64" i="3"/>
  <c r="AK64" i="3"/>
  <c r="D66" i="3"/>
  <c r="C66" i="3"/>
  <c r="AB65" i="3" l="1"/>
  <c r="Z65" i="3"/>
  <c r="B71" i="3"/>
  <c r="AQ64" i="3"/>
  <c r="AR64" i="3" s="1"/>
  <c r="F65" i="3"/>
  <c r="R65" i="3"/>
  <c r="P65" i="3"/>
  <c r="AL65" i="3"/>
  <c r="AJ65" i="3"/>
  <c r="AO66" i="3"/>
  <c r="AI66" i="3"/>
  <c r="AD66" i="3"/>
  <c r="Y66" i="3"/>
  <c r="O66" i="3"/>
  <c r="T66" i="3"/>
  <c r="E66" i="3"/>
  <c r="H66" i="3" s="1"/>
  <c r="J66" i="3"/>
  <c r="U65" i="3"/>
  <c r="W65" i="3"/>
  <c r="AE65" i="3"/>
  <c r="AG65" i="3"/>
  <c r="M65" i="3"/>
  <c r="K65" i="3"/>
  <c r="AM67" i="3"/>
  <c r="AH67" i="3"/>
  <c r="AC67" i="3"/>
  <c r="X67" i="3"/>
  <c r="S67" i="3"/>
  <c r="N67" i="3"/>
  <c r="I67" i="3"/>
  <c r="AA65" i="3"/>
  <c r="AK65" i="3"/>
  <c r="G65" i="3"/>
  <c r="AN65" i="3"/>
  <c r="AF65" i="3"/>
  <c r="Q65" i="3"/>
  <c r="V65" i="3"/>
  <c r="C67" i="3"/>
  <c r="D67" i="3"/>
  <c r="AB66" i="3" l="1"/>
  <c r="Z66" i="3"/>
  <c r="B72" i="3"/>
  <c r="AQ65" i="3"/>
  <c r="AR65" i="3" s="1"/>
  <c r="U66" i="3"/>
  <c r="W66" i="3"/>
  <c r="R66" i="3"/>
  <c r="P66" i="3"/>
  <c r="AI67" i="3"/>
  <c r="AD67" i="3"/>
  <c r="Y67" i="3"/>
  <c r="O67" i="3"/>
  <c r="J67" i="3"/>
  <c r="T67" i="3"/>
  <c r="E67" i="3"/>
  <c r="H67" i="3" s="1"/>
  <c r="M66" i="3"/>
  <c r="K66" i="3"/>
  <c r="F66" i="3"/>
  <c r="AE66" i="3"/>
  <c r="AG66" i="3"/>
  <c r="L66" i="3"/>
  <c r="AJ66" i="3"/>
  <c r="AL66" i="3"/>
  <c r="AO67" i="3"/>
  <c r="AM68" i="3"/>
  <c r="AC68" i="3"/>
  <c r="AH68" i="3"/>
  <c r="X68" i="3"/>
  <c r="I68" i="3"/>
  <c r="S68" i="3"/>
  <c r="N68" i="3"/>
  <c r="V66" i="3"/>
  <c r="AF66" i="3"/>
  <c r="AK66" i="3"/>
  <c r="G66" i="3"/>
  <c r="AN66" i="3"/>
  <c r="Q66" i="3"/>
  <c r="AA66" i="3"/>
  <c r="C68" i="3"/>
  <c r="D68" i="3"/>
  <c r="AB67" i="3" l="1"/>
  <c r="Z67" i="3"/>
  <c r="B73" i="3"/>
  <c r="AQ66" i="3"/>
  <c r="AR66" i="3" s="1"/>
  <c r="AE67" i="3"/>
  <c r="AG67" i="3"/>
  <c r="AI68" i="3"/>
  <c r="T68" i="3"/>
  <c r="Y68" i="3"/>
  <c r="J68" i="3"/>
  <c r="L68" i="3" s="1"/>
  <c r="AD68" i="3"/>
  <c r="O68" i="3"/>
  <c r="E68" i="3"/>
  <c r="H68" i="3" s="1"/>
  <c r="K67" i="3"/>
  <c r="M67" i="3"/>
  <c r="AO68" i="3"/>
  <c r="L67" i="3"/>
  <c r="R67" i="3"/>
  <c r="P67" i="3"/>
  <c r="F67" i="3"/>
  <c r="U67" i="3"/>
  <c r="W67" i="3"/>
  <c r="AL67" i="3"/>
  <c r="AJ67" i="3"/>
  <c r="AC69" i="3"/>
  <c r="AH69" i="3"/>
  <c r="AM69" i="3"/>
  <c r="S69" i="3"/>
  <c r="N69" i="3"/>
  <c r="I69" i="3"/>
  <c r="X69" i="3"/>
  <c r="G67" i="3"/>
  <c r="AN67" i="3"/>
  <c r="AA67" i="3"/>
  <c r="Q67" i="3"/>
  <c r="AF67" i="3"/>
  <c r="V67" i="3"/>
  <c r="AK67" i="3"/>
  <c r="D69" i="3"/>
  <c r="C69" i="3"/>
  <c r="AB68" i="3" l="1"/>
  <c r="Z68" i="3"/>
  <c r="B74" i="3"/>
  <c r="AQ67" i="3"/>
  <c r="AR67" i="3" s="1"/>
  <c r="F68" i="3"/>
  <c r="AO69" i="3"/>
  <c r="AG68" i="3"/>
  <c r="AE68" i="3"/>
  <c r="AL68" i="3"/>
  <c r="AJ68" i="3"/>
  <c r="W68" i="3"/>
  <c r="U68" i="3"/>
  <c r="AI69" i="3"/>
  <c r="Y69" i="3"/>
  <c r="T69" i="3"/>
  <c r="J69" i="3"/>
  <c r="L69" i="3" s="1"/>
  <c r="AD69" i="3"/>
  <c r="O69" i="3"/>
  <c r="E69" i="3"/>
  <c r="H69" i="3" s="1"/>
  <c r="M68" i="3"/>
  <c r="K68" i="3"/>
  <c r="R68" i="3"/>
  <c r="P68" i="3"/>
  <c r="AM70" i="3"/>
  <c r="AH70" i="3"/>
  <c r="X70" i="3"/>
  <c r="AC70" i="3"/>
  <c r="S70" i="3"/>
  <c r="N70" i="3"/>
  <c r="I70" i="3"/>
  <c r="AN68" i="3"/>
  <c r="G68" i="3"/>
  <c r="V68" i="3"/>
  <c r="AA68" i="3"/>
  <c r="AF68" i="3"/>
  <c r="Q68" i="3"/>
  <c r="AK68" i="3"/>
  <c r="C70" i="3"/>
  <c r="D70" i="3"/>
  <c r="AB69" i="3" l="1"/>
  <c r="Z69" i="3"/>
  <c r="B75" i="3"/>
  <c r="AQ68" i="3"/>
  <c r="AR68" i="3" s="1"/>
  <c r="AO70" i="3"/>
  <c r="F69" i="3"/>
  <c r="AI70" i="3"/>
  <c r="AD70" i="3"/>
  <c r="O70" i="3"/>
  <c r="E70" i="3"/>
  <c r="H70" i="3" s="1"/>
  <c r="Y70" i="3"/>
  <c r="T70" i="3"/>
  <c r="J70" i="3"/>
  <c r="L70" i="3" s="1"/>
  <c r="R69" i="3"/>
  <c r="P69" i="3"/>
  <c r="AE69" i="3"/>
  <c r="AG69" i="3"/>
  <c r="AL69" i="3"/>
  <c r="AJ69" i="3"/>
  <c r="K69" i="3"/>
  <c r="M69" i="3"/>
  <c r="U69" i="3"/>
  <c r="W69" i="3"/>
  <c r="AM71" i="3"/>
  <c r="AH71" i="3"/>
  <c r="AC71" i="3"/>
  <c r="X71" i="3"/>
  <c r="S71" i="3"/>
  <c r="N71" i="3"/>
  <c r="I71" i="3"/>
  <c r="V69" i="3"/>
  <c r="AF69" i="3"/>
  <c r="Q69" i="3"/>
  <c r="AN69" i="3"/>
  <c r="G69" i="3"/>
  <c r="AK69" i="3"/>
  <c r="AA69" i="3"/>
  <c r="C71" i="3"/>
  <c r="D71" i="3"/>
  <c r="AB70" i="3" l="1"/>
  <c r="Z70" i="3"/>
  <c r="B76" i="3"/>
  <c r="AQ69" i="3"/>
  <c r="AR69" i="3" s="1"/>
  <c r="P70" i="3"/>
  <c r="R70" i="3"/>
  <c r="AO71" i="3"/>
  <c r="U70" i="3"/>
  <c r="W70" i="3"/>
  <c r="AE70" i="3"/>
  <c r="AG70" i="3"/>
  <c r="F70" i="3"/>
  <c r="M70" i="3"/>
  <c r="K70" i="3"/>
  <c r="AD71" i="3"/>
  <c r="Y71" i="3"/>
  <c r="AI71" i="3"/>
  <c r="O71" i="3"/>
  <c r="J71" i="3"/>
  <c r="L71" i="3" s="1"/>
  <c r="E71" i="3"/>
  <c r="H71" i="3" s="1"/>
  <c r="T71" i="3"/>
  <c r="AL70" i="3"/>
  <c r="AJ70" i="3"/>
  <c r="AM72" i="3"/>
  <c r="AC72" i="3"/>
  <c r="AH72" i="3"/>
  <c r="X72" i="3"/>
  <c r="S72" i="3"/>
  <c r="I72" i="3"/>
  <c r="N72" i="3"/>
  <c r="Q70" i="3"/>
  <c r="AF70" i="3"/>
  <c r="V70" i="3"/>
  <c r="AK70" i="3"/>
  <c r="AN70" i="3"/>
  <c r="G70" i="3"/>
  <c r="AA70" i="3"/>
  <c r="C72" i="3"/>
  <c r="D72" i="3"/>
  <c r="AB71" i="3" l="1"/>
  <c r="Z71" i="3"/>
  <c r="B77" i="3"/>
  <c r="AQ70" i="3"/>
  <c r="AR70" i="3" s="1"/>
  <c r="AE71" i="3"/>
  <c r="AG71" i="3"/>
  <c r="AI72" i="3"/>
  <c r="AD72" i="3"/>
  <c r="T72" i="3"/>
  <c r="Y72" i="3"/>
  <c r="O72" i="3"/>
  <c r="J72" i="3"/>
  <c r="E72" i="3"/>
  <c r="H72" i="3" s="1"/>
  <c r="AO72" i="3"/>
  <c r="R71" i="3"/>
  <c r="P71" i="3"/>
  <c r="U71" i="3"/>
  <c r="W71" i="3"/>
  <c r="AL71" i="3"/>
  <c r="AJ71" i="3"/>
  <c r="F71" i="3"/>
  <c r="K71" i="3"/>
  <c r="M71" i="3"/>
  <c r="AM73" i="3"/>
  <c r="AH73" i="3"/>
  <c r="AC73" i="3"/>
  <c r="S73" i="3"/>
  <c r="X73" i="3"/>
  <c r="N73" i="3"/>
  <c r="I73" i="3"/>
  <c r="AK71" i="3"/>
  <c r="V71" i="3"/>
  <c r="AA71" i="3"/>
  <c r="AN71" i="3"/>
  <c r="G71" i="3"/>
  <c r="Q71" i="3"/>
  <c r="AF71" i="3"/>
  <c r="D73" i="3"/>
  <c r="C73" i="3"/>
  <c r="AB72" i="3" l="1"/>
  <c r="Z72" i="3"/>
  <c r="B78" i="3"/>
  <c r="AQ71" i="3"/>
  <c r="AR71" i="3" s="1"/>
  <c r="W72" i="3"/>
  <c r="U72" i="3"/>
  <c r="M72" i="3"/>
  <c r="K72" i="3"/>
  <c r="R72" i="3"/>
  <c r="P72" i="3"/>
  <c r="AL72" i="3"/>
  <c r="AJ72" i="3"/>
  <c r="F72" i="3"/>
  <c r="AI73" i="3"/>
  <c r="Y73" i="3"/>
  <c r="AD73" i="3"/>
  <c r="T73" i="3"/>
  <c r="O73" i="3"/>
  <c r="J73" i="3"/>
  <c r="E73" i="3"/>
  <c r="H73" i="3" s="1"/>
  <c r="AO73" i="3"/>
  <c r="AG72" i="3"/>
  <c r="AE72" i="3"/>
  <c r="L72" i="3"/>
  <c r="AM74" i="3"/>
  <c r="AH74" i="3"/>
  <c r="X74" i="3"/>
  <c r="S74" i="3"/>
  <c r="AC74" i="3"/>
  <c r="N74" i="3"/>
  <c r="I74" i="3"/>
  <c r="G72" i="3"/>
  <c r="AN72" i="3"/>
  <c r="AA72" i="3"/>
  <c r="Q72" i="3"/>
  <c r="AF72" i="3"/>
  <c r="V72" i="3"/>
  <c r="AK72" i="3"/>
  <c r="D74" i="3"/>
  <c r="C74" i="3"/>
  <c r="AB73" i="3" l="1"/>
  <c r="Z73" i="3"/>
  <c r="B79" i="3"/>
  <c r="AQ72" i="3"/>
  <c r="AR72" i="3" s="1"/>
  <c r="AO74" i="3"/>
  <c r="F73" i="3"/>
  <c r="M73" i="3"/>
  <c r="K73" i="3"/>
  <c r="AI74" i="3"/>
  <c r="AD74" i="3"/>
  <c r="O74" i="3"/>
  <c r="T74" i="3"/>
  <c r="E74" i="3"/>
  <c r="H74" i="3" s="1"/>
  <c r="Y74" i="3"/>
  <c r="J74" i="3"/>
  <c r="R73" i="3"/>
  <c r="P73" i="3"/>
  <c r="AL73" i="3"/>
  <c r="AJ73" i="3"/>
  <c r="U73" i="3"/>
  <c r="W73" i="3"/>
  <c r="AE73" i="3"/>
  <c r="AG73" i="3"/>
  <c r="L73" i="3"/>
  <c r="AM75" i="3"/>
  <c r="AH75" i="3"/>
  <c r="AC75" i="3"/>
  <c r="X75" i="3"/>
  <c r="S75" i="3"/>
  <c r="N75" i="3"/>
  <c r="I75" i="3"/>
  <c r="AA73" i="3"/>
  <c r="Q73" i="3"/>
  <c r="V73" i="3"/>
  <c r="AF73" i="3"/>
  <c r="G73" i="3"/>
  <c r="AN73" i="3"/>
  <c r="AK73" i="3"/>
  <c r="C75" i="3"/>
  <c r="D75" i="3"/>
  <c r="AB74" i="3" l="1"/>
  <c r="Z74" i="3"/>
  <c r="B80" i="3"/>
  <c r="AQ73" i="3"/>
  <c r="AR73" i="3" s="1"/>
  <c r="U74" i="3"/>
  <c r="W74" i="3"/>
  <c r="F74" i="3"/>
  <c r="AL74" i="3"/>
  <c r="AJ74" i="3"/>
  <c r="AO75" i="3"/>
  <c r="L74" i="3"/>
  <c r="K74" i="3"/>
  <c r="M74" i="3"/>
  <c r="R74" i="3"/>
  <c r="P74" i="3"/>
  <c r="AI75" i="3"/>
  <c r="AD75" i="3"/>
  <c r="O75" i="3"/>
  <c r="J75" i="3"/>
  <c r="L75" i="3" s="1"/>
  <c r="T75" i="3"/>
  <c r="E75" i="3"/>
  <c r="H75" i="3" s="1"/>
  <c r="Y75" i="3"/>
  <c r="AE74" i="3"/>
  <c r="AG74" i="3"/>
  <c r="AM76" i="3"/>
  <c r="AC76" i="3"/>
  <c r="AH76" i="3"/>
  <c r="X76" i="3"/>
  <c r="I76" i="3"/>
  <c r="S76" i="3"/>
  <c r="N76" i="3"/>
  <c r="AA74" i="3"/>
  <c r="V74" i="3"/>
  <c r="AN74" i="3"/>
  <c r="G74" i="3"/>
  <c r="AF74" i="3"/>
  <c r="AK74" i="3"/>
  <c r="Q74" i="3"/>
  <c r="C76" i="3"/>
  <c r="D76" i="3"/>
  <c r="AB75" i="3" l="1"/>
  <c r="Z75" i="3"/>
  <c r="B81" i="3"/>
  <c r="AQ74" i="3"/>
  <c r="AR74" i="3" s="1"/>
  <c r="AI76" i="3"/>
  <c r="Y76" i="3"/>
  <c r="T76" i="3"/>
  <c r="AD76" i="3"/>
  <c r="J76" i="3"/>
  <c r="O76" i="3"/>
  <c r="E76" i="3"/>
  <c r="H76" i="3" s="1"/>
  <c r="AO76" i="3"/>
  <c r="F75" i="3"/>
  <c r="AE75" i="3"/>
  <c r="AG75" i="3"/>
  <c r="U75" i="3"/>
  <c r="W75" i="3"/>
  <c r="AL75" i="3"/>
  <c r="AJ75" i="3"/>
  <c r="M75" i="3"/>
  <c r="K75" i="3"/>
  <c r="R75" i="3"/>
  <c r="P75" i="3"/>
  <c r="AM77" i="3"/>
  <c r="AC77" i="3"/>
  <c r="AH77" i="3"/>
  <c r="S77" i="3"/>
  <c r="N77" i="3"/>
  <c r="X77" i="3"/>
  <c r="I77" i="3"/>
  <c r="Q75" i="3"/>
  <c r="AF75" i="3"/>
  <c r="V75" i="3"/>
  <c r="AN75" i="3"/>
  <c r="G75" i="3"/>
  <c r="AA75" i="3"/>
  <c r="AK75" i="3"/>
  <c r="D77" i="3"/>
  <c r="C77" i="3"/>
  <c r="AB76" i="3" l="1"/>
  <c r="Z76" i="3"/>
  <c r="B82" i="3"/>
  <c r="AQ75" i="3"/>
  <c r="AR75" i="3" s="1"/>
  <c r="AO77" i="3"/>
  <c r="F76" i="3"/>
  <c r="W76" i="3"/>
  <c r="U76" i="3"/>
  <c r="AI77" i="3"/>
  <c r="Y77" i="3"/>
  <c r="T77" i="3"/>
  <c r="AD77" i="3"/>
  <c r="O77" i="3"/>
  <c r="J77" i="3"/>
  <c r="L77" i="3" s="1"/>
  <c r="E77" i="3"/>
  <c r="H77" i="3" s="1"/>
  <c r="R76" i="3"/>
  <c r="P76" i="3"/>
  <c r="K76" i="3"/>
  <c r="M76" i="3"/>
  <c r="AL76" i="3"/>
  <c r="AJ76" i="3"/>
  <c r="AG76" i="3"/>
  <c r="AE76" i="3"/>
  <c r="L76" i="3"/>
  <c r="AM78" i="3"/>
  <c r="AH78" i="3"/>
  <c r="X78" i="3"/>
  <c r="S78" i="3"/>
  <c r="AC78" i="3"/>
  <c r="N78" i="3"/>
  <c r="I78" i="3"/>
  <c r="AA76" i="3"/>
  <c r="V76" i="3"/>
  <c r="Q76" i="3"/>
  <c r="AF76" i="3"/>
  <c r="AN76" i="3"/>
  <c r="G76" i="3"/>
  <c r="AK76" i="3"/>
  <c r="D78" i="3"/>
  <c r="C78" i="3"/>
  <c r="AB77" i="3" l="1"/>
  <c r="Z77" i="3"/>
  <c r="B83" i="3"/>
  <c r="AQ76" i="3"/>
  <c r="AR76" i="3" s="1"/>
  <c r="AO78" i="3"/>
  <c r="AE77" i="3"/>
  <c r="AG77" i="3"/>
  <c r="AI78" i="3"/>
  <c r="AD78" i="3"/>
  <c r="O78" i="3"/>
  <c r="Y78" i="3"/>
  <c r="E78" i="3"/>
  <c r="H78" i="3" s="1"/>
  <c r="T78" i="3"/>
  <c r="J78" i="3"/>
  <c r="L78" i="3" s="1"/>
  <c r="F77" i="3"/>
  <c r="U77" i="3"/>
  <c r="W77" i="3"/>
  <c r="K77" i="3"/>
  <c r="M77" i="3"/>
  <c r="R77" i="3"/>
  <c r="P77" i="3"/>
  <c r="AL77" i="3"/>
  <c r="AJ77" i="3"/>
  <c r="AM79" i="3"/>
  <c r="AH79" i="3"/>
  <c r="AC79" i="3"/>
  <c r="X79" i="3"/>
  <c r="S79" i="3"/>
  <c r="N79" i="3"/>
  <c r="I79" i="3"/>
  <c r="AN77" i="3"/>
  <c r="G77" i="3"/>
  <c r="V77" i="3"/>
  <c r="AF77" i="3"/>
  <c r="Q77" i="3"/>
  <c r="AK77" i="3"/>
  <c r="AA77" i="3"/>
  <c r="C79" i="3"/>
  <c r="D79" i="3"/>
  <c r="AB78" i="3" l="1"/>
  <c r="Z78" i="3"/>
  <c r="B84" i="3"/>
  <c r="AQ77" i="3"/>
  <c r="AR77" i="3" s="1"/>
  <c r="U78" i="3"/>
  <c r="W78" i="3"/>
  <c r="F78" i="3"/>
  <c r="AO79" i="3"/>
  <c r="AI79" i="3"/>
  <c r="AD79" i="3"/>
  <c r="O79" i="3"/>
  <c r="Y79" i="3"/>
  <c r="J79" i="3"/>
  <c r="L79" i="3" s="1"/>
  <c r="E79" i="3"/>
  <c r="H79" i="3" s="1"/>
  <c r="T79" i="3"/>
  <c r="M78" i="3"/>
  <c r="K78" i="3"/>
  <c r="R78" i="3"/>
  <c r="P78" i="3"/>
  <c r="AE78" i="3"/>
  <c r="AG78" i="3"/>
  <c r="AL78" i="3"/>
  <c r="AJ78" i="3"/>
  <c r="AM80" i="3"/>
  <c r="AC80" i="3"/>
  <c r="AH80" i="3"/>
  <c r="X80" i="3"/>
  <c r="I80" i="3"/>
  <c r="S80" i="3"/>
  <c r="N80" i="3"/>
  <c r="G78" i="3"/>
  <c r="AN78" i="3"/>
  <c r="AF78" i="3"/>
  <c r="Q78" i="3"/>
  <c r="AK78" i="3"/>
  <c r="V78" i="3"/>
  <c r="AA78" i="3"/>
  <c r="C80" i="3"/>
  <c r="D80" i="3"/>
  <c r="AB79" i="3" l="1"/>
  <c r="Z79" i="3"/>
  <c r="B85" i="3"/>
  <c r="AQ78" i="3"/>
  <c r="AR78" i="3" s="1"/>
  <c r="R79" i="3"/>
  <c r="P79" i="3"/>
  <c r="AI80" i="3"/>
  <c r="AD80" i="3"/>
  <c r="T80" i="3"/>
  <c r="O80" i="3"/>
  <c r="Y80" i="3"/>
  <c r="J80" i="3"/>
  <c r="L80" i="3" s="1"/>
  <c r="E80" i="3"/>
  <c r="H80" i="3" s="1"/>
  <c r="F79" i="3"/>
  <c r="AE79" i="3"/>
  <c r="AG79" i="3"/>
  <c r="AO80" i="3"/>
  <c r="K79" i="3"/>
  <c r="M79" i="3"/>
  <c r="AL79" i="3"/>
  <c r="AJ79" i="3"/>
  <c r="U79" i="3"/>
  <c r="W79" i="3"/>
  <c r="AH81" i="3"/>
  <c r="AC81" i="3"/>
  <c r="AM81" i="3"/>
  <c r="S81" i="3"/>
  <c r="N81" i="3"/>
  <c r="I81" i="3"/>
  <c r="X81" i="3"/>
  <c r="G79" i="3"/>
  <c r="AN79" i="3"/>
  <c r="AA79" i="3"/>
  <c r="AF79" i="3"/>
  <c r="AK79" i="3"/>
  <c r="V79" i="3"/>
  <c r="Q79" i="3"/>
  <c r="D81" i="3"/>
  <c r="C81" i="3"/>
  <c r="AB80" i="3" l="1"/>
  <c r="Z80" i="3"/>
  <c r="B86" i="3"/>
  <c r="AQ79" i="3"/>
  <c r="AR79" i="3" s="1"/>
  <c r="F80" i="3"/>
  <c r="AO81" i="3"/>
  <c r="M80" i="3"/>
  <c r="K80" i="3"/>
  <c r="AG80" i="3"/>
  <c r="AE80" i="3"/>
  <c r="R80" i="3"/>
  <c r="P80" i="3"/>
  <c r="AI81" i="3"/>
  <c r="Y81" i="3"/>
  <c r="AD81" i="3"/>
  <c r="T81" i="3"/>
  <c r="O81" i="3"/>
  <c r="J81" i="3"/>
  <c r="L81" i="3" s="1"/>
  <c r="E81" i="3"/>
  <c r="H81" i="3" s="1"/>
  <c r="AL80" i="3"/>
  <c r="AJ80" i="3"/>
  <c r="W80" i="3"/>
  <c r="U80" i="3"/>
  <c r="AM82" i="3"/>
  <c r="AH82" i="3"/>
  <c r="AC82" i="3"/>
  <c r="X82" i="3"/>
  <c r="S82" i="3"/>
  <c r="N82" i="3"/>
  <c r="I82" i="3"/>
  <c r="G80" i="3"/>
  <c r="AN80" i="3"/>
  <c r="Q80" i="3"/>
  <c r="AF80" i="3"/>
  <c r="V80" i="3"/>
  <c r="AK80" i="3"/>
  <c r="AA80" i="3"/>
  <c r="D82" i="3"/>
  <c r="C82" i="3"/>
  <c r="AB81" i="3" l="1"/>
  <c r="Z81" i="3"/>
  <c r="B87" i="3"/>
  <c r="AQ80" i="3"/>
  <c r="AR80" i="3" s="1"/>
  <c r="F81" i="3"/>
  <c r="AE81" i="3"/>
  <c r="AG81" i="3"/>
  <c r="AI82" i="3"/>
  <c r="AD82" i="3"/>
  <c r="Y82" i="3"/>
  <c r="O82" i="3"/>
  <c r="T82" i="3"/>
  <c r="E82" i="3"/>
  <c r="H82" i="3" s="1"/>
  <c r="J82" i="3"/>
  <c r="AL81" i="3"/>
  <c r="AJ81" i="3"/>
  <c r="U81" i="3"/>
  <c r="W81" i="3"/>
  <c r="M81" i="3"/>
  <c r="K81" i="3"/>
  <c r="P81" i="3"/>
  <c r="R81" i="3"/>
  <c r="AO82" i="3"/>
  <c r="AM83" i="3"/>
  <c r="AH83" i="3"/>
  <c r="AC83" i="3"/>
  <c r="X83" i="3"/>
  <c r="S83" i="3"/>
  <c r="N83" i="3"/>
  <c r="I83" i="3"/>
  <c r="Q81" i="3"/>
  <c r="AK81" i="3"/>
  <c r="AA81" i="3"/>
  <c r="AN81" i="3"/>
  <c r="G81" i="3"/>
  <c r="AF81" i="3"/>
  <c r="V81" i="3"/>
  <c r="C83" i="3"/>
  <c r="D83" i="3"/>
  <c r="AB82" i="3" l="1"/>
  <c r="Z82" i="3"/>
  <c r="B88" i="3"/>
  <c r="AQ81" i="3"/>
  <c r="AR81" i="3" s="1"/>
  <c r="F82" i="3"/>
  <c r="U82" i="3"/>
  <c r="W82" i="3"/>
  <c r="AL82" i="3"/>
  <c r="AJ82" i="3"/>
  <c r="M82" i="3"/>
  <c r="K82" i="3"/>
  <c r="AD83" i="3"/>
  <c r="Y83" i="3"/>
  <c r="O83" i="3"/>
  <c r="AI83" i="3"/>
  <c r="J83" i="3"/>
  <c r="T83" i="3"/>
  <c r="E83" i="3"/>
  <c r="H83" i="3" s="1"/>
  <c r="AE82" i="3"/>
  <c r="AG82" i="3"/>
  <c r="AO83" i="3"/>
  <c r="R82" i="3"/>
  <c r="P82" i="3"/>
  <c r="L82" i="3"/>
  <c r="AM84" i="3"/>
  <c r="AC84" i="3"/>
  <c r="AH84" i="3"/>
  <c r="X84" i="3"/>
  <c r="I84" i="3"/>
  <c r="S84" i="3"/>
  <c r="N84" i="3"/>
  <c r="AK82" i="3"/>
  <c r="AF82" i="3"/>
  <c r="Q82" i="3"/>
  <c r="AA82" i="3"/>
  <c r="G82" i="3"/>
  <c r="AN82" i="3"/>
  <c r="V82" i="3"/>
  <c r="C84" i="3"/>
  <c r="D84" i="3"/>
  <c r="AB83" i="3" l="1"/>
  <c r="Z83" i="3"/>
  <c r="B89" i="3"/>
  <c r="AQ82" i="3"/>
  <c r="AR82" i="3" s="1"/>
  <c r="M83" i="3"/>
  <c r="K83" i="3"/>
  <c r="AI84" i="3"/>
  <c r="T84" i="3"/>
  <c r="J84" i="3"/>
  <c r="AD84" i="3"/>
  <c r="Y84" i="3"/>
  <c r="O84" i="3"/>
  <c r="E84" i="3"/>
  <c r="H84" i="3" s="1"/>
  <c r="AO84" i="3"/>
  <c r="F83" i="3"/>
  <c r="R83" i="3"/>
  <c r="P83" i="3"/>
  <c r="U83" i="3"/>
  <c r="W83" i="3"/>
  <c r="L83" i="3"/>
  <c r="AE83" i="3"/>
  <c r="AG83" i="3"/>
  <c r="AL83" i="3"/>
  <c r="AJ83" i="3"/>
  <c r="AC85" i="3"/>
  <c r="AH85" i="3"/>
  <c r="AM85" i="3"/>
  <c r="S85" i="3"/>
  <c r="N85" i="3"/>
  <c r="I85" i="3"/>
  <c r="X85" i="3"/>
  <c r="AK83" i="3"/>
  <c r="V83" i="3"/>
  <c r="AA83" i="3"/>
  <c r="Q83" i="3"/>
  <c r="AN83" i="3"/>
  <c r="G83" i="3"/>
  <c r="AF83" i="3"/>
  <c r="D85" i="3"/>
  <c r="C85" i="3"/>
  <c r="AB84" i="3" l="1"/>
  <c r="Z84" i="3"/>
  <c r="B90" i="3"/>
  <c r="AQ83" i="3"/>
  <c r="AR83" i="3" s="1"/>
  <c r="M84" i="3"/>
  <c r="K84" i="3"/>
  <c r="R84" i="3"/>
  <c r="P84" i="3"/>
  <c r="AI85" i="3"/>
  <c r="Y85" i="3"/>
  <c r="T85" i="3"/>
  <c r="AD85" i="3"/>
  <c r="J85" i="3"/>
  <c r="O85" i="3"/>
  <c r="E85" i="3"/>
  <c r="H85" i="3" s="1"/>
  <c r="AL84" i="3"/>
  <c r="AJ84" i="3"/>
  <c r="AG84" i="3"/>
  <c r="AE84" i="3"/>
  <c r="F84" i="3"/>
  <c r="AO85" i="3"/>
  <c r="W84" i="3"/>
  <c r="U84" i="3"/>
  <c r="L84" i="3"/>
  <c r="AM86" i="3"/>
  <c r="AH86" i="3"/>
  <c r="X86" i="3"/>
  <c r="AC86" i="3"/>
  <c r="S86" i="3"/>
  <c r="N86" i="3"/>
  <c r="I86" i="3"/>
  <c r="AN84" i="3"/>
  <c r="G84" i="3"/>
  <c r="Q84" i="3"/>
  <c r="AA84" i="3"/>
  <c r="AK84" i="3"/>
  <c r="V84" i="3"/>
  <c r="AF84" i="3"/>
  <c r="D86" i="3"/>
  <c r="C86" i="3"/>
  <c r="AB85" i="3" l="1"/>
  <c r="Z85" i="3"/>
  <c r="B91" i="3"/>
  <c r="AQ84" i="3"/>
  <c r="AR84" i="3" s="1"/>
  <c r="U85" i="3"/>
  <c r="W85" i="3"/>
  <c r="R85" i="3"/>
  <c r="P85" i="3"/>
  <c r="AO86" i="3"/>
  <c r="K85" i="3"/>
  <c r="M85" i="3"/>
  <c r="AL85" i="3"/>
  <c r="AJ85" i="3"/>
  <c r="AI86" i="3"/>
  <c r="AD86" i="3"/>
  <c r="O86" i="3"/>
  <c r="E86" i="3"/>
  <c r="H86" i="3" s="1"/>
  <c r="T86" i="3"/>
  <c r="Y86" i="3"/>
  <c r="J86" i="3"/>
  <c r="L86" i="3" s="1"/>
  <c r="F85" i="3"/>
  <c r="L85" i="3"/>
  <c r="AE85" i="3"/>
  <c r="AG85" i="3"/>
  <c r="AM87" i="3"/>
  <c r="AH87" i="3"/>
  <c r="AC87" i="3"/>
  <c r="X87" i="3"/>
  <c r="S87" i="3"/>
  <c r="N87" i="3"/>
  <c r="I87" i="3"/>
  <c r="V85" i="3"/>
  <c r="AN85" i="3"/>
  <c r="G85" i="3"/>
  <c r="AF85" i="3"/>
  <c r="AA85" i="3"/>
  <c r="Q85" i="3"/>
  <c r="AK85" i="3"/>
  <c r="C87" i="3"/>
  <c r="D87" i="3"/>
  <c r="AB86" i="3" l="1"/>
  <c r="Z86" i="3"/>
  <c r="B92" i="3"/>
  <c r="AQ85" i="3"/>
  <c r="AR85" i="3" s="1"/>
  <c r="AO87" i="3"/>
  <c r="F86" i="3"/>
  <c r="AE86" i="3"/>
  <c r="AG86" i="3"/>
  <c r="U86" i="3"/>
  <c r="W86" i="3"/>
  <c r="AJ86" i="3"/>
  <c r="AL86" i="3"/>
  <c r="AI87" i="3"/>
  <c r="AD87" i="3"/>
  <c r="Y87" i="3"/>
  <c r="O87" i="3"/>
  <c r="J87" i="3"/>
  <c r="E87" i="3"/>
  <c r="H87" i="3" s="1"/>
  <c r="T87" i="3"/>
  <c r="M86" i="3"/>
  <c r="K86" i="3"/>
  <c r="P86" i="3"/>
  <c r="R86" i="3"/>
  <c r="AM88" i="3"/>
  <c r="AC88" i="3"/>
  <c r="AH88" i="3"/>
  <c r="X88" i="3"/>
  <c r="S88" i="3"/>
  <c r="I88" i="3"/>
  <c r="N88" i="3"/>
  <c r="V86" i="3"/>
  <c r="AA86" i="3"/>
  <c r="Q86" i="3"/>
  <c r="AN86" i="3"/>
  <c r="G86" i="3"/>
  <c r="AF86" i="3"/>
  <c r="AK86" i="3"/>
  <c r="C88" i="3"/>
  <c r="D88" i="3"/>
  <c r="AB87" i="3" l="1"/>
  <c r="Z87" i="3"/>
  <c r="B93" i="3"/>
  <c r="AQ86" i="3"/>
  <c r="AR86" i="3" s="1"/>
  <c r="U87" i="3"/>
  <c r="W87" i="3"/>
  <c r="AI88" i="3"/>
  <c r="AD88" i="3"/>
  <c r="T88" i="3"/>
  <c r="Y88" i="3"/>
  <c r="O88" i="3"/>
  <c r="J88" i="3"/>
  <c r="L88" i="3" s="1"/>
  <c r="E88" i="3"/>
  <c r="H88" i="3" s="1"/>
  <c r="AO88" i="3"/>
  <c r="K87" i="3"/>
  <c r="M87" i="3"/>
  <c r="AL87" i="3"/>
  <c r="AJ87" i="3"/>
  <c r="L87" i="3"/>
  <c r="F87" i="3"/>
  <c r="R87" i="3"/>
  <c r="P87" i="3"/>
  <c r="AE87" i="3"/>
  <c r="AG87" i="3"/>
  <c r="AM89" i="3"/>
  <c r="AH89" i="3"/>
  <c r="AC89" i="3"/>
  <c r="S89" i="3"/>
  <c r="X89" i="3"/>
  <c r="N89" i="3"/>
  <c r="I89" i="3"/>
  <c r="V87" i="3"/>
  <c r="AN87" i="3"/>
  <c r="G87" i="3"/>
  <c r="AA87" i="3"/>
  <c r="Q87" i="3"/>
  <c r="AF87" i="3"/>
  <c r="AK87" i="3"/>
  <c r="D89" i="3"/>
  <c r="C89" i="3"/>
  <c r="AB88" i="3" l="1"/>
  <c r="Z88" i="3"/>
  <c r="B94" i="3"/>
  <c r="AQ87" i="3"/>
  <c r="AR87" i="3" s="1"/>
  <c r="AI89" i="3"/>
  <c r="Y89" i="3"/>
  <c r="AD89" i="3"/>
  <c r="T89" i="3"/>
  <c r="O89" i="3"/>
  <c r="J89" i="3"/>
  <c r="L89" i="3" s="1"/>
  <c r="E89" i="3"/>
  <c r="H89" i="3" s="1"/>
  <c r="R88" i="3"/>
  <c r="P88" i="3"/>
  <c r="AL88" i="3"/>
  <c r="AJ88" i="3"/>
  <c r="F88" i="3"/>
  <c r="W88" i="3"/>
  <c r="U88" i="3"/>
  <c r="AO89" i="3"/>
  <c r="K88" i="3"/>
  <c r="M88" i="3"/>
  <c r="AG88" i="3"/>
  <c r="AE88" i="3"/>
  <c r="AM90" i="3"/>
  <c r="AH90" i="3"/>
  <c r="X90" i="3"/>
  <c r="S90" i="3"/>
  <c r="AC90" i="3"/>
  <c r="N90" i="3"/>
  <c r="I90" i="3"/>
  <c r="AA88" i="3"/>
  <c r="Q88" i="3"/>
  <c r="AF88" i="3"/>
  <c r="G88" i="3"/>
  <c r="AN88" i="3"/>
  <c r="AK88" i="3"/>
  <c r="V88" i="3"/>
  <c r="C90" i="3"/>
  <c r="D90" i="3"/>
  <c r="AB89" i="3" l="1"/>
  <c r="Z89" i="3"/>
  <c r="B95" i="3"/>
  <c r="AQ88" i="3"/>
  <c r="AR88" i="3" s="1"/>
  <c r="R89" i="3"/>
  <c r="P89" i="3"/>
  <c r="AO90" i="3"/>
  <c r="U89" i="3"/>
  <c r="W89" i="3"/>
  <c r="AI90" i="3"/>
  <c r="AD90" i="3"/>
  <c r="O90" i="3"/>
  <c r="Y90" i="3"/>
  <c r="T90" i="3"/>
  <c r="E90" i="3"/>
  <c r="H90" i="3" s="1"/>
  <c r="J90" i="3"/>
  <c r="F89" i="3"/>
  <c r="AE89" i="3"/>
  <c r="AG89" i="3"/>
  <c r="M89" i="3"/>
  <c r="K89" i="3"/>
  <c r="AL89" i="3"/>
  <c r="AJ89" i="3"/>
  <c r="AM91" i="3"/>
  <c r="AH91" i="3"/>
  <c r="AC91" i="3"/>
  <c r="X91" i="3"/>
  <c r="S91" i="3"/>
  <c r="N91" i="3"/>
  <c r="I91" i="3"/>
  <c r="AK89" i="3"/>
  <c r="AA89" i="3"/>
  <c r="AF89" i="3"/>
  <c r="V89" i="3"/>
  <c r="AN89" i="3"/>
  <c r="G89" i="3"/>
  <c r="Q89" i="3"/>
  <c r="C91" i="3"/>
  <c r="D91" i="3"/>
  <c r="AB90" i="3" l="1"/>
  <c r="Z90" i="3"/>
  <c r="B96" i="3"/>
  <c r="AQ89" i="3"/>
  <c r="AR89" i="3" s="1"/>
  <c r="AD91" i="3"/>
  <c r="O91" i="3"/>
  <c r="J91" i="3"/>
  <c r="L91" i="3" s="1"/>
  <c r="AI91" i="3"/>
  <c r="Y91" i="3"/>
  <c r="T91" i="3"/>
  <c r="E91" i="3"/>
  <c r="H91" i="3" s="1"/>
  <c r="L90" i="3"/>
  <c r="K90" i="3"/>
  <c r="M90" i="3"/>
  <c r="AO91" i="3"/>
  <c r="F90" i="3"/>
  <c r="AE90" i="3"/>
  <c r="AG90" i="3"/>
  <c r="U90" i="3"/>
  <c r="W90" i="3"/>
  <c r="AL90" i="3"/>
  <c r="AJ90" i="3"/>
  <c r="R90" i="3"/>
  <c r="P90" i="3"/>
  <c r="AM92" i="3"/>
  <c r="AC92" i="3"/>
  <c r="AH92" i="3"/>
  <c r="X92" i="3"/>
  <c r="I92" i="3"/>
  <c r="S92" i="3"/>
  <c r="N92" i="3"/>
  <c r="AN90" i="3"/>
  <c r="G90" i="3"/>
  <c r="AK90" i="3"/>
  <c r="Q90" i="3"/>
  <c r="AA90" i="3"/>
  <c r="V90" i="3"/>
  <c r="AF90" i="3"/>
  <c r="C92" i="3"/>
  <c r="D92" i="3"/>
  <c r="AB91" i="3" l="1"/>
  <c r="Z91" i="3"/>
  <c r="B97" i="3"/>
  <c r="AQ90" i="3"/>
  <c r="AR90" i="3" s="1"/>
  <c r="AO92" i="3"/>
  <c r="AL91" i="3"/>
  <c r="AJ91" i="3"/>
  <c r="F91" i="3"/>
  <c r="M91" i="3"/>
  <c r="K91" i="3"/>
  <c r="U91" i="3"/>
  <c r="W91" i="3"/>
  <c r="R91" i="3"/>
  <c r="P91" i="3"/>
  <c r="AI92" i="3"/>
  <c r="Y92" i="3"/>
  <c r="T92" i="3"/>
  <c r="AD92" i="3"/>
  <c r="J92" i="3"/>
  <c r="L92" i="3" s="1"/>
  <c r="O92" i="3"/>
  <c r="E92" i="3"/>
  <c r="H92" i="3" s="1"/>
  <c r="AE91" i="3"/>
  <c r="AG91" i="3"/>
  <c r="AM93" i="3"/>
  <c r="AC93" i="3"/>
  <c r="AH93" i="3"/>
  <c r="S93" i="3"/>
  <c r="N93" i="3"/>
  <c r="X93" i="3"/>
  <c r="I93" i="3"/>
  <c r="AK91" i="3"/>
  <c r="V91" i="3"/>
  <c r="AN91" i="3"/>
  <c r="G91" i="3"/>
  <c r="AA91" i="3"/>
  <c r="Q91" i="3"/>
  <c r="AF91" i="3"/>
  <c r="D93" i="3"/>
  <c r="C93" i="3"/>
  <c r="AB92" i="3" l="1"/>
  <c r="Z92" i="3"/>
  <c r="B98" i="3"/>
  <c r="AQ91" i="3"/>
  <c r="AR91" i="3" s="1"/>
  <c r="AO93" i="3"/>
  <c r="F92" i="3"/>
  <c r="W92" i="3"/>
  <c r="U92" i="3"/>
  <c r="AI93" i="3"/>
  <c r="Y93" i="3"/>
  <c r="T93" i="3"/>
  <c r="AD93" i="3"/>
  <c r="O93" i="3"/>
  <c r="J93" i="3"/>
  <c r="E93" i="3"/>
  <c r="H93" i="3" s="1"/>
  <c r="R92" i="3"/>
  <c r="P92" i="3"/>
  <c r="M92" i="3"/>
  <c r="K92" i="3"/>
  <c r="AL92" i="3"/>
  <c r="AJ92" i="3"/>
  <c r="AG92" i="3"/>
  <c r="AE92" i="3"/>
  <c r="AM94" i="3"/>
  <c r="AH94" i="3"/>
  <c r="X94" i="3"/>
  <c r="S94" i="3"/>
  <c r="AC94" i="3"/>
  <c r="N94" i="3"/>
  <c r="I94" i="3"/>
  <c r="AK92" i="3"/>
  <c r="AA92" i="3"/>
  <c r="Q92" i="3"/>
  <c r="V92" i="3"/>
  <c r="G92" i="3"/>
  <c r="AN92" i="3"/>
  <c r="AF92" i="3"/>
  <c r="C94" i="3"/>
  <c r="D94" i="3"/>
  <c r="AB93" i="3" l="1"/>
  <c r="Z93" i="3"/>
  <c r="B99" i="3"/>
  <c r="AQ92" i="3"/>
  <c r="AR92" i="3" s="1"/>
  <c r="AI94" i="3"/>
  <c r="AD94" i="3"/>
  <c r="O94" i="3"/>
  <c r="Y94" i="3"/>
  <c r="E94" i="3"/>
  <c r="H94" i="3" s="1"/>
  <c r="T94" i="3"/>
  <c r="J94" i="3"/>
  <c r="L94" i="3" s="1"/>
  <c r="K93" i="3"/>
  <c r="M93" i="3"/>
  <c r="P93" i="3"/>
  <c r="R93" i="3"/>
  <c r="AL93" i="3"/>
  <c r="AJ93" i="3"/>
  <c r="AO94" i="3"/>
  <c r="L93" i="3"/>
  <c r="AE93" i="3"/>
  <c r="AG93" i="3"/>
  <c r="F93" i="3"/>
  <c r="U93" i="3"/>
  <c r="W93" i="3"/>
  <c r="AM95" i="3"/>
  <c r="AH95" i="3"/>
  <c r="AC95" i="3"/>
  <c r="X95" i="3"/>
  <c r="S95" i="3"/>
  <c r="N95" i="3"/>
  <c r="I95" i="3"/>
  <c r="V93" i="3"/>
  <c r="AA93" i="3"/>
  <c r="G93" i="3"/>
  <c r="AN93" i="3"/>
  <c r="AF93" i="3"/>
  <c r="Q93" i="3"/>
  <c r="AK93" i="3"/>
  <c r="C95" i="3"/>
  <c r="D95" i="3"/>
  <c r="AB94" i="3" l="1"/>
  <c r="Z94" i="3"/>
  <c r="B100" i="3"/>
  <c r="AQ93" i="3"/>
  <c r="AR93" i="3" s="1"/>
  <c r="AO95" i="3"/>
  <c r="U94" i="3"/>
  <c r="W94" i="3"/>
  <c r="F94" i="3"/>
  <c r="M94" i="3"/>
  <c r="K94" i="3"/>
  <c r="R94" i="3"/>
  <c r="P94" i="3"/>
  <c r="AE94" i="3"/>
  <c r="AG94" i="3"/>
  <c r="AI95" i="3"/>
  <c r="AD95" i="3"/>
  <c r="O95" i="3"/>
  <c r="J95" i="3"/>
  <c r="L95" i="3" s="1"/>
  <c r="E95" i="3"/>
  <c r="H95" i="3" s="1"/>
  <c r="Y95" i="3"/>
  <c r="T95" i="3"/>
  <c r="AL94" i="3"/>
  <c r="AJ94" i="3"/>
  <c r="AM96" i="3"/>
  <c r="AC96" i="3"/>
  <c r="AH96" i="3"/>
  <c r="X96" i="3"/>
  <c r="I96" i="3"/>
  <c r="S96" i="3"/>
  <c r="N96" i="3"/>
  <c r="V94" i="3"/>
  <c r="AK94" i="3"/>
  <c r="Q94" i="3"/>
  <c r="G94" i="3"/>
  <c r="AN94" i="3"/>
  <c r="AA94" i="3"/>
  <c r="AF94" i="3"/>
  <c r="C96" i="3"/>
  <c r="D96" i="3"/>
  <c r="AB95" i="3" l="1"/>
  <c r="Z95" i="3"/>
  <c r="B101" i="3"/>
  <c r="AQ94" i="3"/>
  <c r="AR94" i="3" s="1"/>
  <c r="AO96" i="3"/>
  <c r="U95" i="3"/>
  <c r="W95" i="3"/>
  <c r="R95" i="3"/>
  <c r="P95" i="3"/>
  <c r="F95" i="3"/>
  <c r="AL95" i="3"/>
  <c r="AJ95" i="3"/>
  <c r="AI96" i="3"/>
  <c r="AD96" i="3"/>
  <c r="T96" i="3"/>
  <c r="O96" i="3"/>
  <c r="J96" i="3"/>
  <c r="L96" i="3" s="1"/>
  <c r="E96" i="3"/>
  <c r="H96" i="3" s="1"/>
  <c r="Y96" i="3"/>
  <c r="K95" i="3"/>
  <c r="M95" i="3"/>
  <c r="AE95" i="3"/>
  <c r="AG95" i="3"/>
  <c r="AH97" i="3"/>
  <c r="AC97" i="3"/>
  <c r="AM97" i="3"/>
  <c r="S97" i="3"/>
  <c r="N97" i="3"/>
  <c r="I97" i="3"/>
  <c r="X97" i="3"/>
  <c r="G95" i="3"/>
  <c r="AN95" i="3"/>
  <c r="AA95" i="3"/>
  <c r="Q95" i="3"/>
  <c r="V95" i="3"/>
  <c r="AF95" i="3"/>
  <c r="AK95" i="3"/>
  <c r="D97" i="3"/>
  <c r="C97" i="3"/>
  <c r="AB96" i="3" l="1"/>
  <c r="Z96" i="3"/>
  <c r="B102" i="3"/>
  <c r="AQ95" i="3"/>
  <c r="AR95" i="3" s="1"/>
  <c r="AO97" i="3"/>
  <c r="F96" i="3"/>
  <c r="AG96" i="3"/>
  <c r="AE96" i="3"/>
  <c r="AI97" i="3"/>
  <c r="Y97" i="3"/>
  <c r="AD97" i="3"/>
  <c r="T97" i="3"/>
  <c r="O97" i="3"/>
  <c r="J97" i="3"/>
  <c r="L97" i="3" s="1"/>
  <c r="E97" i="3"/>
  <c r="H97" i="3" s="1"/>
  <c r="M96" i="3"/>
  <c r="K96" i="3"/>
  <c r="AL96" i="3"/>
  <c r="AJ96" i="3"/>
  <c r="R96" i="3"/>
  <c r="P96" i="3"/>
  <c r="W96" i="3"/>
  <c r="U96" i="3"/>
  <c r="AM98" i="3"/>
  <c r="AH98" i="3"/>
  <c r="AC98" i="3"/>
  <c r="X98" i="3"/>
  <c r="S98" i="3"/>
  <c r="N98" i="3"/>
  <c r="I98" i="3"/>
  <c r="AF96" i="3"/>
  <c r="AK96" i="3"/>
  <c r="V96" i="3"/>
  <c r="Q96" i="3"/>
  <c r="G96" i="3"/>
  <c r="AN96" i="3"/>
  <c r="AA96" i="3"/>
  <c r="D98" i="3"/>
  <c r="C98" i="3"/>
  <c r="AB97" i="3" l="1"/>
  <c r="Z97" i="3"/>
  <c r="B103" i="3"/>
  <c r="AQ96" i="3"/>
  <c r="AR96" i="3" s="1"/>
  <c r="M97" i="3"/>
  <c r="K97" i="3"/>
  <c r="AI98" i="3"/>
  <c r="AD98" i="3"/>
  <c r="Y98" i="3"/>
  <c r="O98" i="3"/>
  <c r="T98" i="3"/>
  <c r="E98" i="3"/>
  <c r="H98" i="3" s="1"/>
  <c r="J98" i="3"/>
  <c r="L98" i="3" s="1"/>
  <c r="R97" i="3"/>
  <c r="P97" i="3"/>
  <c r="AL97" i="3"/>
  <c r="AJ97" i="3"/>
  <c r="U97" i="3"/>
  <c r="W97" i="3"/>
  <c r="AO98" i="3"/>
  <c r="F97" i="3"/>
  <c r="AE97" i="3"/>
  <c r="AG97" i="3"/>
  <c r="AM99" i="3"/>
  <c r="AH99" i="3"/>
  <c r="AC99" i="3"/>
  <c r="X99" i="3"/>
  <c r="S99" i="3"/>
  <c r="N99" i="3"/>
  <c r="I99" i="3"/>
  <c r="AK97" i="3"/>
  <c r="AF97" i="3"/>
  <c r="V97" i="3"/>
  <c r="AA97" i="3"/>
  <c r="G97" i="3"/>
  <c r="AN97" i="3"/>
  <c r="Q97" i="3"/>
  <c r="C99" i="3"/>
  <c r="D99" i="3"/>
  <c r="AB98" i="3" l="1"/>
  <c r="Z98" i="3"/>
  <c r="B104" i="3"/>
  <c r="AQ97" i="3"/>
  <c r="AR97" i="3" s="1"/>
  <c r="AO99" i="3"/>
  <c r="AD99" i="3"/>
  <c r="AI99" i="3"/>
  <c r="Y99" i="3"/>
  <c r="O99" i="3"/>
  <c r="J99" i="3"/>
  <c r="L99" i="3" s="1"/>
  <c r="T99" i="3"/>
  <c r="E99" i="3"/>
  <c r="H99" i="3" s="1"/>
  <c r="U98" i="3"/>
  <c r="W98" i="3"/>
  <c r="AJ98" i="3"/>
  <c r="AL98" i="3"/>
  <c r="F98" i="3"/>
  <c r="R98" i="3"/>
  <c r="P98" i="3"/>
  <c r="M98" i="3"/>
  <c r="K98" i="3"/>
  <c r="AE98" i="3"/>
  <c r="AG98" i="3"/>
  <c r="AM100" i="3"/>
  <c r="AC100" i="3"/>
  <c r="AH100" i="3"/>
  <c r="X100" i="3"/>
  <c r="I100" i="3"/>
  <c r="S100" i="3"/>
  <c r="N100" i="3"/>
  <c r="AK98" i="3"/>
  <c r="AA98" i="3"/>
  <c r="G98" i="3"/>
  <c r="AN98" i="3"/>
  <c r="V98" i="3"/>
  <c r="Q98" i="3"/>
  <c r="AF98" i="3"/>
  <c r="D100" i="3"/>
  <c r="C100" i="3"/>
  <c r="AB99" i="3" l="1"/>
  <c r="Z99" i="3"/>
  <c r="B105" i="3"/>
  <c r="AQ98" i="3"/>
  <c r="AR98" i="3" s="1"/>
  <c r="AI100" i="3"/>
  <c r="T100" i="3"/>
  <c r="Y100" i="3"/>
  <c r="J100" i="3"/>
  <c r="L100" i="3" s="1"/>
  <c r="AD100" i="3"/>
  <c r="O100" i="3"/>
  <c r="E100" i="3"/>
  <c r="H100" i="3" s="1"/>
  <c r="AE99" i="3"/>
  <c r="AG99" i="3"/>
  <c r="R99" i="3"/>
  <c r="P99" i="3"/>
  <c r="AO100" i="3"/>
  <c r="AL99" i="3"/>
  <c r="AJ99" i="3"/>
  <c r="F99" i="3"/>
  <c r="U99" i="3"/>
  <c r="W99" i="3"/>
  <c r="M99" i="3"/>
  <c r="K99" i="3"/>
  <c r="AC101" i="3"/>
  <c r="AH101" i="3"/>
  <c r="AM101" i="3"/>
  <c r="S101" i="3"/>
  <c r="N101" i="3"/>
  <c r="I101" i="3"/>
  <c r="X101" i="3"/>
  <c r="AA99" i="3"/>
  <c r="AF99" i="3"/>
  <c r="G99" i="3"/>
  <c r="AN99" i="3"/>
  <c r="Q99" i="3"/>
  <c r="V99" i="3"/>
  <c r="AK99" i="3"/>
  <c r="C101" i="3"/>
  <c r="D101" i="3"/>
  <c r="AB100" i="3" l="1"/>
  <c r="Z100" i="3"/>
  <c r="B106" i="3"/>
  <c r="AQ99" i="3"/>
  <c r="AR99" i="3" s="1"/>
  <c r="AI101" i="3"/>
  <c r="Y101" i="3"/>
  <c r="T101" i="3"/>
  <c r="J101" i="3"/>
  <c r="L101" i="3" s="1"/>
  <c r="AD101" i="3"/>
  <c r="O101" i="3"/>
  <c r="E101" i="3"/>
  <c r="H101" i="3" s="1"/>
  <c r="AO101" i="3"/>
  <c r="M100" i="3"/>
  <c r="K100" i="3"/>
  <c r="F100" i="3"/>
  <c r="R100" i="3"/>
  <c r="P100" i="3"/>
  <c r="W100" i="3"/>
  <c r="U100" i="3"/>
  <c r="AG100" i="3"/>
  <c r="AE100" i="3"/>
  <c r="AL100" i="3"/>
  <c r="AJ100" i="3"/>
  <c r="AM102" i="3"/>
  <c r="AH102" i="3"/>
  <c r="X102" i="3"/>
  <c r="AC102" i="3"/>
  <c r="S102" i="3"/>
  <c r="N102" i="3"/>
  <c r="I102" i="3"/>
  <c r="AA100" i="3"/>
  <c r="V100" i="3"/>
  <c r="AK100" i="3"/>
  <c r="G100" i="3"/>
  <c r="AN100" i="3"/>
  <c r="Q100" i="3"/>
  <c r="AF100" i="3"/>
  <c r="D102" i="3"/>
  <c r="C102" i="3"/>
  <c r="AB101" i="3" l="1"/>
  <c r="Z101" i="3"/>
  <c r="B107" i="3"/>
  <c r="AQ100" i="3"/>
  <c r="AR100" i="3" s="1"/>
  <c r="AO102" i="3"/>
  <c r="AL101" i="3"/>
  <c r="AJ101" i="3"/>
  <c r="K101" i="3"/>
  <c r="M101" i="3"/>
  <c r="F101" i="3"/>
  <c r="U101" i="3"/>
  <c r="W101" i="3"/>
  <c r="AI102" i="3"/>
  <c r="AD102" i="3"/>
  <c r="O102" i="3"/>
  <c r="E102" i="3"/>
  <c r="H102" i="3" s="1"/>
  <c r="Y102" i="3"/>
  <c r="T102" i="3"/>
  <c r="J102" i="3"/>
  <c r="L102" i="3" s="1"/>
  <c r="R101" i="3"/>
  <c r="P101" i="3"/>
  <c r="AE101" i="3"/>
  <c r="AG101" i="3"/>
  <c r="AM103" i="3"/>
  <c r="AH103" i="3"/>
  <c r="AC103" i="3"/>
  <c r="X103" i="3"/>
  <c r="S103" i="3"/>
  <c r="N103" i="3"/>
  <c r="I103" i="3"/>
  <c r="AN101" i="3"/>
  <c r="G101" i="3"/>
  <c r="AF101" i="3"/>
  <c r="AA101" i="3"/>
  <c r="V101" i="3"/>
  <c r="Q101" i="3"/>
  <c r="AK101" i="3"/>
  <c r="D103" i="3"/>
  <c r="C103" i="3"/>
  <c r="AB102" i="3" l="1"/>
  <c r="Z102" i="3"/>
  <c r="B108" i="3"/>
  <c r="AQ101" i="3"/>
  <c r="AR101" i="3" s="1"/>
  <c r="AI103" i="3"/>
  <c r="AD103" i="3"/>
  <c r="Y103" i="3"/>
  <c r="O103" i="3"/>
  <c r="J103" i="3"/>
  <c r="L103" i="3" s="1"/>
  <c r="E103" i="3"/>
  <c r="H103" i="3" s="1"/>
  <c r="T103" i="3"/>
  <c r="F102" i="3"/>
  <c r="AO103" i="3"/>
  <c r="U102" i="3"/>
  <c r="W102" i="3"/>
  <c r="AE102" i="3"/>
  <c r="AG102" i="3"/>
  <c r="AL102" i="3"/>
  <c r="AJ102" i="3"/>
  <c r="M102" i="3"/>
  <c r="K102" i="3"/>
  <c r="R102" i="3"/>
  <c r="P102" i="3"/>
  <c r="AM104" i="3"/>
  <c r="AC104" i="3"/>
  <c r="AH104" i="3"/>
  <c r="X104" i="3"/>
  <c r="S104" i="3"/>
  <c r="I104" i="3"/>
  <c r="N104" i="3"/>
  <c r="Q102" i="3"/>
  <c r="AK102" i="3"/>
  <c r="AN102" i="3"/>
  <c r="G102" i="3"/>
  <c r="AF102" i="3"/>
  <c r="V102" i="3"/>
  <c r="AA102" i="3"/>
  <c r="C104" i="3"/>
  <c r="D104" i="3"/>
  <c r="AB103" i="3" l="1"/>
  <c r="Z103" i="3"/>
  <c r="B109" i="3"/>
  <c r="AQ102" i="3"/>
  <c r="AR102" i="3" s="1"/>
  <c r="AO104" i="3"/>
  <c r="F103" i="3"/>
  <c r="AE103" i="3"/>
  <c r="AG103" i="3"/>
  <c r="AI104" i="3"/>
  <c r="AD104" i="3"/>
  <c r="T104" i="3"/>
  <c r="Y104" i="3"/>
  <c r="O104" i="3"/>
  <c r="J104" i="3"/>
  <c r="L104" i="3" s="1"/>
  <c r="E104" i="3"/>
  <c r="H104" i="3" s="1"/>
  <c r="P103" i="3"/>
  <c r="R103" i="3"/>
  <c r="U103" i="3"/>
  <c r="W103" i="3"/>
  <c r="M103" i="3"/>
  <c r="K103" i="3"/>
  <c r="AL103" i="3"/>
  <c r="AJ103" i="3"/>
  <c r="AM105" i="3"/>
  <c r="AH105" i="3"/>
  <c r="AC105" i="3"/>
  <c r="S105" i="3"/>
  <c r="X105" i="3"/>
  <c r="N105" i="3"/>
  <c r="I105" i="3"/>
  <c r="V103" i="3"/>
  <c r="AK103" i="3"/>
  <c r="AN103" i="3"/>
  <c r="G103" i="3"/>
  <c r="AA103" i="3"/>
  <c r="Q103" i="3"/>
  <c r="AF103" i="3"/>
  <c r="D105" i="3"/>
  <c r="C105" i="3"/>
  <c r="AB104" i="3" l="1"/>
  <c r="Z104" i="3"/>
  <c r="B110" i="3"/>
  <c r="AQ103" i="3"/>
  <c r="AR103" i="3" s="1"/>
  <c r="R104" i="3"/>
  <c r="P104" i="3"/>
  <c r="AO105" i="3"/>
  <c r="F104" i="3"/>
  <c r="U104" i="3"/>
  <c r="W104" i="3"/>
  <c r="M104" i="3"/>
  <c r="K104" i="3"/>
  <c r="AG104" i="3"/>
  <c r="AE104" i="3"/>
  <c r="AI105" i="3"/>
  <c r="Y105" i="3"/>
  <c r="AD105" i="3"/>
  <c r="T105" i="3"/>
  <c r="O105" i="3"/>
  <c r="J105" i="3"/>
  <c r="L105" i="3" s="1"/>
  <c r="E105" i="3"/>
  <c r="H105" i="3" s="1"/>
  <c r="AL104" i="3"/>
  <c r="AJ104" i="3"/>
  <c r="AM106" i="3"/>
  <c r="AH106" i="3"/>
  <c r="X106" i="3"/>
  <c r="S106" i="3"/>
  <c r="AC106" i="3"/>
  <c r="N106" i="3"/>
  <c r="I106" i="3"/>
  <c r="Q104" i="3"/>
  <c r="V104" i="3"/>
  <c r="AA104" i="3"/>
  <c r="AK104" i="3"/>
  <c r="AN104" i="3"/>
  <c r="G104" i="3"/>
  <c r="AF104" i="3"/>
  <c r="D106" i="3"/>
  <c r="C106" i="3"/>
  <c r="AB105" i="3" l="1"/>
  <c r="Z105" i="3"/>
  <c r="B111" i="3"/>
  <c r="AQ104" i="3"/>
  <c r="AR104" i="3" s="1"/>
  <c r="F105" i="3"/>
  <c r="AE105" i="3"/>
  <c r="AG105" i="3"/>
  <c r="AI106" i="3"/>
  <c r="AD106" i="3"/>
  <c r="O106" i="3"/>
  <c r="T106" i="3"/>
  <c r="E106" i="3"/>
  <c r="H106" i="3" s="1"/>
  <c r="J106" i="3"/>
  <c r="Y106" i="3"/>
  <c r="M105" i="3"/>
  <c r="K105" i="3"/>
  <c r="R105" i="3"/>
  <c r="P105" i="3"/>
  <c r="AL105" i="3"/>
  <c r="AJ105" i="3"/>
  <c r="AO106" i="3"/>
  <c r="U105" i="3"/>
  <c r="W105" i="3"/>
  <c r="AM107" i="3"/>
  <c r="AH107" i="3"/>
  <c r="AC107" i="3"/>
  <c r="X107" i="3"/>
  <c r="S107" i="3"/>
  <c r="N107" i="3"/>
  <c r="I107" i="3"/>
  <c r="AA105" i="3"/>
  <c r="V105" i="3"/>
  <c r="AF105" i="3"/>
  <c r="G105" i="3"/>
  <c r="AN105" i="3"/>
  <c r="AK105" i="3"/>
  <c r="Q105" i="3"/>
  <c r="C107" i="3"/>
  <c r="D107" i="3"/>
  <c r="AB106" i="3" l="1"/>
  <c r="Z106" i="3"/>
  <c r="B112" i="3"/>
  <c r="AQ105" i="3"/>
  <c r="AR105" i="3" s="1"/>
  <c r="L106" i="3"/>
  <c r="M106" i="3"/>
  <c r="K106" i="3"/>
  <c r="AO107" i="3"/>
  <c r="U106" i="3"/>
  <c r="W106" i="3"/>
  <c r="AD107" i="3"/>
  <c r="AI107" i="3"/>
  <c r="O107" i="3"/>
  <c r="J107" i="3"/>
  <c r="L107" i="3" s="1"/>
  <c r="T107" i="3"/>
  <c r="E107" i="3"/>
  <c r="H107" i="3" s="1"/>
  <c r="Y107" i="3"/>
  <c r="R106" i="3"/>
  <c r="P106" i="3"/>
  <c r="AE106" i="3"/>
  <c r="AG106" i="3"/>
  <c r="F106" i="3"/>
  <c r="AJ106" i="3"/>
  <c r="AL106" i="3"/>
  <c r="AM108" i="3"/>
  <c r="AC108" i="3"/>
  <c r="AH108" i="3"/>
  <c r="X108" i="3"/>
  <c r="I108" i="3"/>
  <c r="S108" i="3"/>
  <c r="N108" i="3"/>
  <c r="AA106" i="3"/>
  <c r="Q106" i="3"/>
  <c r="AF106" i="3"/>
  <c r="AK106" i="3"/>
  <c r="AN106" i="3"/>
  <c r="G106" i="3"/>
  <c r="V106" i="3"/>
  <c r="C108" i="3"/>
  <c r="D108" i="3"/>
  <c r="AB107" i="3" l="1"/>
  <c r="Z107" i="3"/>
  <c r="B113" i="3"/>
  <c r="AQ106" i="3"/>
  <c r="AR106" i="3" s="1"/>
  <c r="AO108" i="3"/>
  <c r="F107" i="3"/>
  <c r="AL107" i="3"/>
  <c r="AJ107" i="3"/>
  <c r="U107" i="3"/>
  <c r="W107" i="3"/>
  <c r="AE107" i="3"/>
  <c r="AG107" i="3"/>
  <c r="K107" i="3"/>
  <c r="M107" i="3"/>
  <c r="AI108" i="3"/>
  <c r="Y108" i="3"/>
  <c r="T108" i="3"/>
  <c r="AD108" i="3"/>
  <c r="J108" i="3"/>
  <c r="O108" i="3"/>
  <c r="E108" i="3"/>
  <c r="H108" i="3" s="1"/>
  <c r="P107" i="3"/>
  <c r="R107" i="3"/>
  <c r="AM109" i="3"/>
  <c r="AC109" i="3"/>
  <c r="AH109" i="3"/>
  <c r="N109" i="3"/>
  <c r="X109" i="3"/>
  <c r="I109" i="3"/>
  <c r="S109" i="3"/>
  <c r="V107" i="3"/>
  <c r="AN107" i="3"/>
  <c r="G107" i="3"/>
  <c r="AA107" i="3"/>
  <c r="Q107" i="3"/>
  <c r="AF107" i="3"/>
  <c r="AK107" i="3"/>
  <c r="D109" i="3"/>
  <c r="C109" i="3"/>
  <c r="AB108" i="3" l="1"/>
  <c r="Z108" i="3"/>
  <c r="B114" i="3"/>
  <c r="AQ107" i="3"/>
  <c r="AR107" i="3" s="1"/>
  <c r="K108" i="3"/>
  <c r="M108" i="3"/>
  <c r="AO109" i="3"/>
  <c r="F108" i="3"/>
  <c r="W108" i="3"/>
  <c r="U108" i="3"/>
  <c r="AI109" i="3"/>
  <c r="Y109" i="3"/>
  <c r="T109" i="3"/>
  <c r="AD109" i="3"/>
  <c r="O109" i="3"/>
  <c r="J109" i="3"/>
  <c r="L109" i="3" s="1"/>
  <c r="E109" i="3"/>
  <c r="H109" i="3" s="1"/>
  <c r="R108" i="3"/>
  <c r="P108" i="3"/>
  <c r="L108" i="3"/>
  <c r="AL108" i="3"/>
  <c r="AJ108" i="3"/>
  <c r="AG108" i="3"/>
  <c r="AE108" i="3"/>
  <c r="AM110" i="3"/>
  <c r="AH110" i="3"/>
  <c r="X110" i="3"/>
  <c r="S110" i="3"/>
  <c r="N110" i="3"/>
  <c r="AC110" i="3"/>
  <c r="I110" i="3"/>
  <c r="V108" i="3"/>
  <c r="G108" i="3"/>
  <c r="AN108" i="3"/>
  <c r="AF108" i="3"/>
  <c r="AK108" i="3"/>
  <c r="Q108" i="3"/>
  <c r="AA108" i="3"/>
  <c r="D110" i="3"/>
  <c r="C110" i="3"/>
  <c r="AB109" i="3" l="1"/>
  <c r="Z109" i="3"/>
  <c r="B115" i="3"/>
  <c r="AQ108" i="3"/>
  <c r="AR108" i="3" s="1"/>
  <c r="AO110" i="3"/>
  <c r="AE109" i="3"/>
  <c r="AG109" i="3"/>
  <c r="R109" i="3"/>
  <c r="P109" i="3"/>
  <c r="AL109" i="3"/>
  <c r="AJ109" i="3"/>
  <c r="AI110" i="3"/>
  <c r="AD110" i="3"/>
  <c r="O110" i="3"/>
  <c r="Y110" i="3"/>
  <c r="E110" i="3"/>
  <c r="H110" i="3" s="1"/>
  <c r="T110" i="3"/>
  <c r="J110" i="3"/>
  <c r="L110" i="3" s="1"/>
  <c r="F109" i="3"/>
  <c r="U109" i="3"/>
  <c r="W109" i="3"/>
  <c r="K109" i="3"/>
  <c r="M109" i="3"/>
  <c r="AM111" i="3"/>
  <c r="AH111" i="3"/>
  <c r="AC111" i="3"/>
  <c r="X111" i="3"/>
  <c r="S111" i="3"/>
  <c r="N111" i="3"/>
  <c r="I111" i="3"/>
  <c r="Q109" i="3"/>
  <c r="AA109" i="3"/>
  <c r="AN109" i="3"/>
  <c r="G109" i="3"/>
  <c r="V109" i="3"/>
  <c r="AK109" i="3"/>
  <c r="AF109" i="3"/>
  <c r="C111" i="3"/>
  <c r="D111" i="3"/>
  <c r="AB110" i="3" l="1"/>
  <c r="Z110" i="3"/>
  <c r="B116" i="3"/>
  <c r="AQ109" i="3"/>
  <c r="AR109" i="3" s="1"/>
  <c r="F110" i="3"/>
  <c r="AO111" i="3"/>
  <c r="AI111" i="3"/>
  <c r="AD111" i="3"/>
  <c r="O111" i="3"/>
  <c r="Y111" i="3"/>
  <c r="J111" i="3"/>
  <c r="L111" i="3" s="1"/>
  <c r="E111" i="3"/>
  <c r="H111" i="3" s="1"/>
  <c r="T111" i="3"/>
  <c r="M110" i="3"/>
  <c r="K110" i="3"/>
  <c r="R110" i="3"/>
  <c r="P110" i="3"/>
  <c r="U110" i="3"/>
  <c r="W110" i="3"/>
  <c r="AE110" i="3"/>
  <c r="AG110" i="3"/>
  <c r="AJ110" i="3"/>
  <c r="AL110" i="3"/>
  <c r="AM112" i="3"/>
  <c r="AC112" i="3"/>
  <c r="AH112" i="3"/>
  <c r="X112" i="3"/>
  <c r="I112" i="3"/>
  <c r="S112" i="3"/>
  <c r="N112" i="3"/>
  <c r="AF110" i="3"/>
  <c r="Q110" i="3"/>
  <c r="AK110" i="3"/>
  <c r="V110" i="3"/>
  <c r="G110" i="3"/>
  <c r="AN110" i="3"/>
  <c r="AA110" i="3"/>
  <c r="C112" i="3"/>
  <c r="D112" i="3"/>
  <c r="AB111" i="3" l="1"/>
  <c r="Z111" i="3"/>
  <c r="B117" i="3"/>
  <c r="AQ110" i="3"/>
  <c r="AR110" i="3" s="1"/>
  <c r="AI112" i="3"/>
  <c r="AD112" i="3"/>
  <c r="T112" i="3"/>
  <c r="O112" i="3"/>
  <c r="Y112" i="3"/>
  <c r="J112" i="3"/>
  <c r="E112" i="3"/>
  <c r="H112" i="3" s="1"/>
  <c r="AO112" i="3"/>
  <c r="U111" i="3"/>
  <c r="W111" i="3"/>
  <c r="R111" i="3"/>
  <c r="P111" i="3"/>
  <c r="AE111" i="3"/>
  <c r="AG111" i="3"/>
  <c r="F111" i="3"/>
  <c r="K111" i="3"/>
  <c r="M111" i="3"/>
  <c r="AL111" i="3"/>
  <c r="AJ111" i="3"/>
  <c r="AH113" i="3"/>
  <c r="AC113" i="3"/>
  <c r="AM113" i="3"/>
  <c r="N113" i="3"/>
  <c r="I113" i="3"/>
  <c r="X113" i="3"/>
  <c r="S113" i="3"/>
  <c r="V111" i="3"/>
  <c r="G111" i="3"/>
  <c r="AN111" i="3"/>
  <c r="AA111" i="3"/>
  <c r="Q111" i="3"/>
  <c r="AF111" i="3"/>
  <c r="AK111" i="3"/>
  <c r="C113" i="3"/>
  <c r="D113" i="3"/>
  <c r="AB112" i="3" l="1"/>
  <c r="Z112" i="3"/>
  <c r="B118" i="3"/>
  <c r="AQ111" i="3"/>
  <c r="AR111" i="3" s="1"/>
  <c r="AI113" i="3"/>
  <c r="Y113" i="3"/>
  <c r="AD113" i="3"/>
  <c r="T113" i="3"/>
  <c r="O113" i="3"/>
  <c r="J113" i="3"/>
  <c r="E113" i="3"/>
  <c r="H113" i="3" s="1"/>
  <c r="R112" i="3"/>
  <c r="P112" i="3"/>
  <c r="AO113" i="3"/>
  <c r="F112" i="3"/>
  <c r="W112" i="3"/>
  <c r="U112" i="3"/>
  <c r="K112" i="3"/>
  <c r="M112" i="3"/>
  <c r="L112" i="3"/>
  <c r="AG112" i="3"/>
  <c r="AE112" i="3"/>
  <c r="AL112" i="3"/>
  <c r="AJ112" i="3"/>
  <c r="AM114" i="3"/>
  <c r="AH114" i="3"/>
  <c r="AC114" i="3"/>
  <c r="X114" i="3"/>
  <c r="S114" i="3"/>
  <c r="N114" i="3"/>
  <c r="I114" i="3"/>
  <c r="AF112" i="3"/>
  <c r="AK112" i="3"/>
  <c r="Q112" i="3"/>
  <c r="V112" i="3"/>
  <c r="AN112" i="3"/>
  <c r="G112" i="3"/>
  <c r="AA112" i="3"/>
  <c r="D114" i="3"/>
  <c r="C114" i="3"/>
  <c r="AB113" i="3" l="1"/>
  <c r="Z113" i="3"/>
  <c r="B119" i="3"/>
  <c r="AQ112" i="3"/>
  <c r="AR112" i="3" s="1"/>
  <c r="AI114" i="3"/>
  <c r="AD114" i="3"/>
  <c r="Y114" i="3"/>
  <c r="O114" i="3"/>
  <c r="T114" i="3"/>
  <c r="E114" i="3"/>
  <c r="H114" i="3" s="1"/>
  <c r="J114" i="3"/>
  <c r="F113" i="3"/>
  <c r="AE113" i="3"/>
  <c r="AG113" i="3"/>
  <c r="M113" i="3"/>
  <c r="K113" i="3"/>
  <c r="AO114" i="3"/>
  <c r="R113" i="3"/>
  <c r="P113" i="3"/>
  <c r="AL113" i="3"/>
  <c r="AJ113" i="3"/>
  <c r="U113" i="3"/>
  <c r="W113" i="3"/>
  <c r="L113" i="3"/>
  <c r="AM115" i="3"/>
  <c r="AH115" i="3"/>
  <c r="AC115" i="3"/>
  <c r="X115" i="3"/>
  <c r="S115" i="3"/>
  <c r="N115" i="3"/>
  <c r="I115" i="3"/>
  <c r="Q113" i="3"/>
  <c r="AA113" i="3"/>
  <c r="AN113" i="3"/>
  <c r="G113" i="3"/>
  <c r="AF113" i="3"/>
  <c r="AK113" i="3"/>
  <c r="V113" i="3"/>
  <c r="D115" i="3"/>
  <c r="C115" i="3"/>
  <c r="AB114" i="3" l="1"/>
  <c r="Z114" i="3"/>
  <c r="B120" i="3"/>
  <c r="AQ113" i="3"/>
  <c r="AR113" i="3" s="1"/>
  <c r="U114" i="3"/>
  <c r="W114" i="3"/>
  <c r="P114" i="3"/>
  <c r="R114" i="3"/>
  <c r="AO115" i="3"/>
  <c r="AD115" i="3"/>
  <c r="Y115" i="3"/>
  <c r="O115" i="3"/>
  <c r="J115" i="3"/>
  <c r="T115" i="3"/>
  <c r="E115" i="3"/>
  <c r="H115" i="3" s="1"/>
  <c r="AI115" i="3"/>
  <c r="L114" i="3"/>
  <c r="M114" i="3"/>
  <c r="K114" i="3"/>
  <c r="F114" i="3"/>
  <c r="AE114" i="3"/>
  <c r="AG114" i="3"/>
  <c r="AL114" i="3"/>
  <c r="AJ114" i="3"/>
  <c r="AM116" i="3"/>
  <c r="AC116" i="3"/>
  <c r="AH116" i="3"/>
  <c r="X116" i="3"/>
  <c r="I116" i="3"/>
  <c r="S116" i="3"/>
  <c r="N116" i="3"/>
  <c r="AF114" i="3"/>
  <c r="AA114" i="3"/>
  <c r="G114" i="3"/>
  <c r="AN114" i="3"/>
  <c r="V114" i="3"/>
  <c r="Q114" i="3"/>
  <c r="AK114" i="3"/>
  <c r="C116" i="3"/>
  <c r="D116" i="3"/>
  <c r="AB115" i="3" l="1"/>
  <c r="Z115" i="3"/>
  <c r="B121" i="3"/>
  <c r="AQ114" i="3"/>
  <c r="AR114" i="3" s="1"/>
  <c r="AL115" i="3"/>
  <c r="AJ115" i="3"/>
  <c r="F115" i="3"/>
  <c r="AO116" i="3"/>
  <c r="U115" i="3"/>
  <c r="W115" i="3"/>
  <c r="AE115" i="3"/>
  <c r="AG115" i="3"/>
  <c r="K115" i="3"/>
  <c r="M115" i="3"/>
  <c r="L115" i="3"/>
  <c r="R115" i="3"/>
  <c r="P115" i="3"/>
  <c r="AI116" i="3"/>
  <c r="T116" i="3"/>
  <c r="J116" i="3"/>
  <c r="L116" i="3" s="1"/>
  <c r="AD116" i="3"/>
  <c r="Y116" i="3"/>
  <c r="O116" i="3"/>
  <c r="E116" i="3"/>
  <c r="H116" i="3" s="1"/>
  <c r="AC117" i="3"/>
  <c r="AH117" i="3"/>
  <c r="AM117" i="3"/>
  <c r="N117" i="3"/>
  <c r="I117" i="3"/>
  <c r="X117" i="3"/>
  <c r="S117" i="3"/>
  <c r="V115" i="3"/>
  <c r="Q115" i="3"/>
  <c r="AF115" i="3"/>
  <c r="AK115" i="3"/>
  <c r="G115" i="3"/>
  <c r="AN115" i="3"/>
  <c r="AA115" i="3"/>
  <c r="D117" i="3"/>
  <c r="C117" i="3"/>
  <c r="AB116" i="3" l="1"/>
  <c r="Z116" i="3"/>
  <c r="B122" i="3"/>
  <c r="AQ115" i="3"/>
  <c r="AR115" i="3" s="1"/>
  <c r="AO117" i="3"/>
  <c r="AG116" i="3"/>
  <c r="AE116" i="3"/>
  <c r="R116" i="3"/>
  <c r="P116" i="3"/>
  <c r="W116" i="3"/>
  <c r="U116" i="3"/>
  <c r="AI117" i="3"/>
  <c r="Y117" i="3"/>
  <c r="T117" i="3"/>
  <c r="AD117" i="3"/>
  <c r="J117" i="3"/>
  <c r="L117" i="3" s="1"/>
  <c r="O117" i="3"/>
  <c r="E117" i="3"/>
  <c r="H117" i="3" s="1"/>
  <c r="F116" i="3"/>
  <c r="K116" i="3"/>
  <c r="M116" i="3"/>
  <c r="AL116" i="3"/>
  <c r="AJ116" i="3"/>
  <c r="AM118" i="3"/>
  <c r="AH118" i="3"/>
  <c r="X118" i="3"/>
  <c r="AC118" i="3"/>
  <c r="S118" i="3"/>
  <c r="N118" i="3"/>
  <c r="I118" i="3"/>
  <c r="AN116" i="3"/>
  <c r="G116" i="3"/>
  <c r="Q116" i="3"/>
  <c r="AA116" i="3"/>
  <c r="AF116" i="3"/>
  <c r="V116" i="3"/>
  <c r="AK116" i="3"/>
  <c r="C118" i="3"/>
  <c r="D118" i="3"/>
  <c r="AB117" i="3" l="1"/>
  <c r="Z117" i="3"/>
  <c r="B123" i="3"/>
  <c r="AQ116" i="3"/>
  <c r="AR116" i="3" s="1"/>
  <c r="AI118" i="3"/>
  <c r="AD118" i="3"/>
  <c r="O118" i="3"/>
  <c r="E118" i="3"/>
  <c r="H118" i="3" s="1"/>
  <c r="Y118" i="3"/>
  <c r="T118" i="3"/>
  <c r="J118" i="3"/>
  <c r="L118" i="3" s="1"/>
  <c r="AE117" i="3"/>
  <c r="AG117" i="3"/>
  <c r="F117" i="3"/>
  <c r="U117" i="3"/>
  <c r="W117" i="3"/>
  <c r="R117" i="3"/>
  <c r="P117" i="3"/>
  <c r="AO118" i="3"/>
  <c r="K117" i="3"/>
  <c r="M117" i="3"/>
  <c r="AL117" i="3"/>
  <c r="AJ117" i="3"/>
  <c r="AM119" i="3"/>
  <c r="AH119" i="3"/>
  <c r="AC119" i="3"/>
  <c r="X119" i="3"/>
  <c r="S119" i="3"/>
  <c r="N119" i="3"/>
  <c r="I119" i="3"/>
  <c r="V117" i="3"/>
  <c r="AN117" i="3"/>
  <c r="G117" i="3"/>
  <c r="AA117" i="3"/>
  <c r="AF117" i="3"/>
  <c r="Q117" i="3"/>
  <c r="AK117" i="3"/>
  <c r="C119" i="3"/>
  <c r="D119" i="3"/>
  <c r="AB118" i="3" l="1"/>
  <c r="Z118" i="3"/>
  <c r="B124" i="3"/>
  <c r="AQ117" i="3"/>
  <c r="AR117" i="3" s="1"/>
  <c r="AI119" i="3"/>
  <c r="AD119" i="3"/>
  <c r="Y119" i="3"/>
  <c r="O119" i="3"/>
  <c r="J119" i="3"/>
  <c r="L119" i="3" s="1"/>
  <c r="E119" i="3"/>
  <c r="H119" i="3" s="1"/>
  <c r="T119" i="3"/>
  <c r="F118" i="3"/>
  <c r="M118" i="3"/>
  <c r="K118" i="3"/>
  <c r="R118" i="3"/>
  <c r="P118" i="3"/>
  <c r="U118" i="3"/>
  <c r="W118" i="3"/>
  <c r="AE118" i="3"/>
  <c r="AG118" i="3"/>
  <c r="AO119" i="3"/>
  <c r="AL118" i="3"/>
  <c r="AJ118" i="3"/>
  <c r="AM120" i="3"/>
  <c r="AC120" i="3"/>
  <c r="AH120" i="3"/>
  <c r="X120" i="3"/>
  <c r="I120" i="3"/>
  <c r="S120" i="3"/>
  <c r="N120" i="3"/>
  <c r="AN118" i="3"/>
  <c r="G118" i="3"/>
  <c r="V118" i="3"/>
  <c r="AF118" i="3"/>
  <c r="AA118" i="3"/>
  <c r="Q118" i="3"/>
  <c r="AK118" i="3"/>
  <c r="D120" i="3"/>
  <c r="C120" i="3"/>
  <c r="AB119" i="3" l="1"/>
  <c r="Z119" i="3"/>
  <c r="B125" i="3"/>
  <c r="AQ118" i="3"/>
  <c r="AR118" i="3" s="1"/>
  <c r="R119" i="3"/>
  <c r="P119" i="3"/>
  <c r="AO120" i="3"/>
  <c r="U119" i="3"/>
  <c r="W119" i="3"/>
  <c r="F119" i="3"/>
  <c r="AE119" i="3"/>
  <c r="AG119" i="3"/>
  <c r="AI120" i="3"/>
  <c r="AD120" i="3"/>
  <c r="T120" i="3"/>
  <c r="Y120" i="3"/>
  <c r="O120" i="3"/>
  <c r="J120" i="3"/>
  <c r="L120" i="3" s="1"/>
  <c r="E120" i="3"/>
  <c r="H120" i="3" s="1"/>
  <c r="M119" i="3"/>
  <c r="K119" i="3"/>
  <c r="AL119" i="3"/>
  <c r="AJ119" i="3"/>
  <c r="AM121" i="3"/>
  <c r="AH121" i="3"/>
  <c r="AC121" i="3"/>
  <c r="X121" i="3"/>
  <c r="N121" i="3"/>
  <c r="I121" i="3"/>
  <c r="S121" i="3"/>
  <c r="AN119" i="3"/>
  <c r="G119" i="3"/>
  <c r="Q119" i="3"/>
  <c r="AF119" i="3"/>
  <c r="AA119" i="3"/>
  <c r="V119" i="3"/>
  <c r="AK119" i="3"/>
  <c r="D121" i="3"/>
  <c r="C121" i="3"/>
  <c r="AB120" i="3" l="1"/>
  <c r="Z120" i="3"/>
  <c r="B126" i="3"/>
  <c r="AQ119" i="3"/>
  <c r="AR119" i="3" s="1"/>
  <c r="AO121" i="3"/>
  <c r="M120" i="3"/>
  <c r="K120" i="3"/>
  <c r="AG120" i="3"/>
  <c r="AE120" i="3"/>
  <c r="R120" i="3"/>
  <c r="P120" i="3"/>
  <c r="AL120" i="3"/>
  <c r="AJ120" i="3"/>
  <c r="AI121" i="3"/>
  <c r="Y121" i="3"/>
  <c r="AD121" i="3"/>
  <c r="T121" i="3"/>
  <c r="O121" i="3"/>
  <c r="J121" i="3"/>
  <c r="L121" i="3" s="1"/>
  <c r="E121" i="3"/>
  <c r="H121" i="3" s="1"/>
  <c r="F120" i="3"/>
  <c r="U120" i="3"/>
  <c r="W120" i="3"/>
  <c r="AM122" i="3"/>
  <c r="AH122" i="3"/>
  <c r="X122" i="3"/>
  <c r="AC122" i="3"/>
  <c r="S122" i="3"/>
  <c r="N122" i="3"/>
  <c r="I122" i="3"/>
  <c r="AA120" i="3"/>
  <c r="Q120" i="3"/>
  <c r="AK120" i="3"/>
  <c r="AN120" i="3"/>
  <c r="G120" i="3"/>
  <c r="AF120" i="3"/>
  <c r="V120" i="3"/>
  <c r="D122" i="3"/>
  <c r="C122" i="3"/>
  <c r="AB121" i="3" l="1"/>
  <c r="Z121" i="3"/>
  <c r="B127" i="3"/>
  <c r="AQ120" i="3"/>
  <c r="AR120" i="3" s="1"/>
  <c r="R121" i="3"/>
  <c r="P121" i="3"/>
  <c r="AL121" i="3"/>
  <c r="AJ121" i="3"/>
  <c r="AI122" i="3"/>
  <c r="AD122" i="3"/>
  <c r="O122" i="3"/>
  <c r="Y122" i="3"/>
  <c r="T122" i="3"/>
  <c r="J122" i="3"/>
  <c r="E122" i="3"/>
  <c r="H122" i="3" s="1"/>
  <c r="U121" i="3"/>
  <c r="W121" i="3"/>
  <c r="F121" i="3"/>
  <c r="AE121" i="3"/>
  <c r="AG121" i="3"/>
  <c r="AO122" i="3"/>
  <c r="M121" i="3"/>
  <c r="K121" i="3"/>
  <c r="AM123" i="3"/>
  <c r="AH123" i="3"/>
  <c r="AC123" i="3"/>
  <c r="X123" i="3"/>
  <c r="S123" i="3"/>
  <c r="N123" i="3"/>
  <c r="I123" i="3"/>
  <c r="AF121" i="3"/>
  <c r="Q121" i="3"/>
  <c r="AK121" i="3"/>
  <c r="V121" i="3"/>
  <c r="G121" i="3"/>
  <c r="AN121" i="3"/>
  <c r="AA121" i="3"/>
  <c r="C123" i="3"/>
  <c r="D123" i="3"/>
  <c r="AB122" i="3" l="1"/>
  <c r="Z122" i="3"/>
  <c r="B128" i="3"/>
  <c r="AQ121" i="3"/>
  <c r="AR121" i="3" s="1"/>
  <c r="AO123" i="3"/>
  <c r="F122" i="3"/>
  <c r="R122" i="3"/>
  <c r="P122" i="3"/>
  <c r="AD123" i="3"/>
  <c r="O123" i="3"/>
  <c r="J123" i="3"/>
  <c r="Y123" i="3"/>
  <c r="T123" i="3"/>
  <c r="E123" i="3"/>
  <c r="H123" i="3" s="1"/>
  <c r="AI123" i="3"/>
  <c r="L122" i="3"/>
  <c r="K122" i="3"/>
  <c r="M122" i="3"/>
  <c r="AE122" i="3"/>
  <c r="AG122" i="3"/>
  <c r="U122" i="3"/>
  <c r="W122" i="3"/>
  <c r="AL122" i="3"/>
  <c r="AJ122" i="3"/>
  <c r="AM124" i="3"/>
  <c r="AC124" i="3"/>
  <c r="AH124" i="3"/>
  <c r="X124" i="3"/>
  <c r="I124" i="3"/>
  <c r="S124" i="3"/>
  <c r="N124" i="3"/>
  <c r="Q122" i="3"/>
  <c r="AN122" i="3"/>
  <c r="G122" i="3"/>
  <c r="V122" i="3"/>
  <c r="AA122" i="3"/>
  <c r="AF122" i="3"/>
  <c r="AK122" i="3"/>
  <c r="D124" i="3"/>
  <c r="C124" i="3"/>
  <c r="AB123" i="3" l="1"/>
  <c r="Z123" i="3"/>
  <c r="B129" i="3"/>
  <c r="AQ122" i="3"/>
  <c r="AR122" i="3" s="1"/>
  <c r="AO124" i="3"/>
  <c r="U123" i="3"/>
  <c r="W123" i="3"/>
  <c r="AE123" i="3"/>
  <c r="AG123" i="3"/>
  <c r="R123" i="3"/>
  <c r="P123" i="3"/>
  <c r="AI124" i="3"/>
  <c r="Y124" i="3"/>
  <c r="T124" i="3"/>
  <c r="AD124" i="3"/>
  <c r="J124" i="3"/>
  <c r="L124" i="3" s="1"/>
  <c r="O124" i="3"/>
  <c r="E124" i="3"/>
  <c r="H124" i="3" s="1"/>
  <c r="AL123" i="3"/>
  <c r="AJ123" i="3"/>
  <c r="K123" i="3"/>
  <c r="M123" i="3"/>
  <c r="L123" i="3"/>
  <c r="F123" i="3"/>
  <c r="AM125" i="3"/>
  <c r="AC125" i="3"/>
  <c r="AH125" i="3"/>
  <c r="N125" i="3"/>
  <c r="X125" i="3"/>
  <c r="I125" i="3"/>
  <c r="S125" i="3"/>
  <c r="Q123" i="3"/>
  <c r="V123" i="3"/>
  <c r="AA123" i="3"/>
  <c r="AK123" i="3"/>
  <c r="AN123" i="3"/>
  <c r="G123" i="3"/>
  <c r="AF123" i="3"/>
  <c r="D125" i="3"/>
  <c r="C125" i="3"/>
  <c r="AB124" i="3" l="1"/>
  <c r="Z124" i="3"/>
  <c r="B130" i="3"/>
  <c r="AQ123" i="3"/>
  <c r="AR123" i="3" s="1"/>
  <c r="AO125" i="3"/>
  <c r="AL124" i="3"/>
  <c r="AJ124" i="3"/>
  <c r="AI125" i="3"/>
  <c r="Y125" i="3"/>
  <c r="T125" i="3"/>
  <c r="AD125" i="3"/>
  <c r="E125" i="3"/>
  <c r="H125" i="3" s="1"/>
  <c r="O125" i="3"/>
  <c r="J125" i="3"/>
  <c r="L125" i="3" s="1"/>
  <c r="AG124" i="3"/>
  <c r="AE124" i="3"/>
  <c r="F124" i="3"/>
  <c r="W124" i="3"/>
  <c r="U124" i="3"/>
  <c r="R124" i="3"/>
  <c r="P124" i="3"/>
  <c r="K124" i="3"/>
  <c r="M124" i="3"/>
  <c r="AM126" i="3"/>
  <c r="AH126" i="3"/>
  <c r="X126" i="3"/>
  <c r="S126" i="3"/>
  <c r="N126" i="3"/>
  <c r="I126" i="3"/>
  <c r="AC126" i="3"/>
  <c r="AK124" i="3"/>
  <c r="V124" i="3"/>
  <c r="AF124" i="3"/>
  <c r="G124" i="3"/>
  <c r="AN124" i="3"/>
  <c r="Q124" i="3"/>
  <c r="AA124" i="3"/>
  <c r="C126" i="3"/>
  <c r="D126" i="3"/>
  <c r="AB125" i="3" l="1"/>
  <c r="Z125" i="3"/>
  <c r="B131" i="3"/>
  <c r="AQ124" i="3"/>
  <c r="AR124" i="3" s="1"/>
  <c r="R125" i="3"/>
  <c r="P125" i="3"/>
  <c r="K125" i="3"/>
  <c r="M125" i="3"/>
  <c r="AI126" i="3"/>
  <c r="AD126" i="3"/>
  <c r="O126" i="3"/>
  <c r="Y126" i="3"/>
  <c r="T126" i="3"/>
  <c r="E126" i="3"/>
  <c r="H126" i="3" s="1"/>
  <c r="J126" i="3"/>
  <c r="AO126" i="3"/>
  <c r="F125" i="3"/>
  <c r="AL125" i="3"/>
  <c r="AJ125" i="3"/>
  <c r="AE125" i="3"/>
  <c r="AG125" i="3"/>
  <c r="U125" i="3"/>
  <c r="W125" i="3"/>
  <c r="AM127" i="3"/>
  <c r="AH127" i="3"/>
  <c r="AC127" i="3"/>
  <c r="X127" i="3"/>
  <c r="S127" i="3"/>
  <c r="N127" i="3"/>
  <c r="I127" i="3"/>
  <c r="V125" i="3"/>
  <c r="AA125" i="3"/>
  <c r="G125" i="3"/>
  <c r="AN125" i="3"/>
  <c r="AF125" i="3"/>
  <c r="Q125" i="3"/>
  <c r="AK125" i="3"/>
  <c r="C127" i="3"/>
  <c r="D127" i="3"/>
  <c r="AB126" i="3" l="1"/>
  <c r="Z126" i="3"/>
  <c r="B132" i="3"/>
  <c r="AQ125" i="3"/>
  <c r="AR125" i="3" s="1"/>
  <c r="AI127" i="3"/>
  <c r="AD127" i="3"/>
  <c r="O127" i="3"/>
  <c r="J127" i="3"/>
  <c r="L127" i="3" s="1"/>
  <c r="E127" i="3"/>
  <c r="H127" i="3" s="1"/>
  <c r="T127" i="3"/>
  <c r="Y127" i="3"/>
  <c r="M126" i="3"/>
  <c r="K126" i="3"/>
  <c r="R126" i="3"/>
  <c r="P126" i="3"/>
  <c r="F126" i="3"/>
  <c r="AE126" i="3"/>
  <c r="AG126" i="3"/>
  <c r="L126" i="3"/>
  <c r="U126" i="3"/>
  <c r="W126" i="3"/>
  <c r="AJ126" i="3"/>
  <c r="AL126" i="3"/>
  <c r="AO127" i="3"/>
  <c r="AM128" i="3"/>
  <c r="AC128" i="3"/>
  <c r="AH128" i="3"/>
  <c r="X128" i="3"/>
  <c r="I128" i="3"/>
  <c r="S128" i="3"/>
  <c r="N128" i="3"/>
  <c r="G126" i="3"/>
  <c r="AN126" i="3"/>
  <c r="V126" i="3"/>
  <c r="AF126" i="3"/>
  <c r="AA126" i="3"/>
  <c r="Q126" i="3"/>
  <c r="AK126" i="3"/>
  <c r="C128" i="3"/>
  <c r="D128" i="3"/>
  <c r="AB127" i="3" l="1"/>
  <c r="Z127" i="3"/>
  <c r="B133" i="3"/>
  <c r="AQ126" i="3"/>
  <c r="AR126" i="3" s="1"/>
  <c r="AI128" i="3"/>
  <c r="T128" i="3"/>
  <c r="AD128" i="3"/>
  <c r="O128" i="3"/>
  <c r="J128" i="3"/>
  <c r="E128" i="3"/>
  <c r="H128" i="3" s="1"/>
  <c r="Y128" i="3"/>
  <c r="AO128" i="3"/>
  <c r="M127" i="3"/>
  <c r="K127" i="3"/>
  <c r="R127" i="3"/>
  <c r="P127" i="3"/>
  <c r="U127" i="3"/>
  <c r="W127" i="3"/>
  <c r="AE127" i="3"/>
  <c r="AG127" i="3"/>
  <c r="F127" i="3"/>
  <c r="AL127" i="3"/>
  <c r="AJ127" i="3"/>
  <c r="AH129" i="3"/>
  <c r="AC129" i="3"/>
  <c r="AM129" i="3"/>
  <c r="N129" i="3"/>
  <c r="I129" i="3"/>
  <c r="X129" i="3"/>
  <c r="S129" i="3"/>
  <c r="AA127" i="3"/>
  <c r="G127" i="3"/>
  <c r="AN127" i="3"/>
  <c r="Q127" i="3"/>
  <c r="AF127" i="3"/>
  <c r="V127" i="3"/>
  <c r="AK127" i="3"/>
  <c r="D129" i="3"/>
  <c r="C129" i="3"/>
  <c r="AB128" i="3" l="1"/>
  <c r="Z128" i="3"/>
  <c r="B134" i="3"/>
  <c r="AQ127" i="3"/>
  <c r="AR127" i="3" s="1"/>
  <c r="AO129" i="3"/>
  <c r="AG128" i="3"/>
  <c r="AE128" i="3"/>
  <c r="F128" i="3"/>
  <c r="W128" i="3"/>
  <c r="U128" i="3"/>
  <c r="M128" i="3"/>
  <c r="K128" i="3"/>
  <c r="AL128" i="3"/>
  <c r="AJ128" i="3"/>
  <c r="AI129" i="3"/>
  <c r="Y129" i="3"/>
  <c r="T129" i="3"/>
  <c r="O129" i="3"/>
  <c r="J129" i="3"/>
  <c r="AD129" i="3"/>
  <c r="E129" i="3"/>
  <c r="H129" i="3" s="1"/>
  <c r="R128" i="3"/>
  <c r="P128" i="3"/>
  <c r="L128" i="3"/>
  <c r="AM130" i="3"/>
  <c r="AH130" i="3"/>
  <c r="AC130" i="3"/>
  <c r="X130" i="3"/>
  <c r="S130" i="3"/>
  <c r="N130" i="3"/>
  <c r="I130" i="3"/>
  <c r="AA128" i="3"/>
  <c r="V128" i="3"/>
  <c r="G128" i="3"/>
  <c r="AN128" i="3"/>
  <c r="Q128" i="3"/>
  <c r="AF128" i="3"/>
  <c r="AK128" i="3"/>
  <c r="D130" i="3"/>
  <c r="C130" i="3"/>
  <c r="AB129" i="3" l="1"/>
  <c r="Z129" i="3"/>
  <c r="B135" i="3"/>
  <c r="AQ128" i="3"/>
  <c r="AR128" i="3" s="1"/>
  <c r="M129" i="3"/>
  <c r="K129" i="3"/>
  <c r="AL129" i="3"/>
  <c r="AJ129" i="3"/>
  <c r="U129" i="3"/>
  <c r="W129" i="3"/>
  <c r="AE129" i="3"/>
  <c r="AG129" i="3"/>
  <c r="L129" i="3"/>
  <c r="P129" i="3"/>
  <c r="R129" i="3"/>
  <c r="AI130" i="3"/>
  <c r="Y130" i="3"/>
  <c r="O130" i="3"/>
  <c r="T130" i="3"/>
  <c r="E130" i="3"/>
  <c r="H130" i="3" s="1"/>
  <c r="J130" i="3"/>
  <c r="AD130" i="3"/>
  <c r="F129" i="3"/>
  <c r="AO130" i="3"/>
  <c r="AM131" i="3"/>
  <c r="AH131" i="3"/>
  <c r="AC131" i="3"/>
  <c r="X131" i="3"/>
  <c r="S131" i="3"/>
  <c r="N131" i="3"/>
  <c r="I131" i="3"/>
  <c r="G129" i="3"/>
  <c r="AN129" i="3"/>
  <c r="AF129" i="3"/>
  <c r="AK129" i="3"/>
  <c r="AA129" i="3"/>
  <c r="V129" i="3"/>
  <c r="Q129" i="3"/>
  <c r="C131" i="3"/>
  <c r="D131" i="3"/>
  <c r="AB130" i="3" l="1"/>
  <c r="Z130" i="3"/>
  <c r="B136" i="3"/>
  <c r="AQ129" i="3"/>
  <c r="AR129" i="3" s="1"/>
  <c r="AI131" i="3"/>
  <c r="AD131" i="3"/>
  <c r="Y131" i="3"/>
  <c r="O131" i="3"/>
  <c r="J131" i="3"/>
  <c r="T131" i="3"/>
  <c r="E131" i="3"/>
  <c r="H131" i="3" s="1"/>
  <c r="U130" i="3"/>
  <c r="W130" i="3"/>
  <c r="AE130" i="3"/>
  <c r="AG130" i="3"/>
  <c r="R130" i="3"/>
  <c r="P130" i="3"/>
  <c r="L130" i="3"/>
  <c r="M130" i="3"/>
  <c r="K130" i="3"/>
  <c r="AO131" i="3"/>
  <c r="F130" i="3"/>
  <c r="AL130" i="3"/>
  <c r="AJ130" i="3"/>
  <c r="AM132" i="3"/>
  <c r="AC132" i="3"/>
  <c r="AH132" i="3"/>
  <c r="X132" i="3"/>
  <c r="I132" i="3"/>
  <c r="S132" i="3"/>
  <c r="N132" i="3"/>
  <c r="Q130" i="3"/>
  <c r="AF130" i="3"/>
  <c r="AK130" i="3"/>
  <c r="AA130" i="3"/>
  <c r="G130" i="3"/>
  <c r="AN130" i="3"/>
  <c r="V130" i="3"/>
  <c r="C132" i="3"/>
  <c r="D132" i="3"/>
  <c r="AB131" i="3" l="1"/>
  <c r="Z131" i="3"/>
  <c r="B137" i="3"/>
  <c r="AQ130" i="3"/>
  <c r="AR130" i="3" s="1"/>
  <c r="U131" i="3"/>
  <c r="W131" i="3"/>
  <c r="K131" i="3"/>
  <c r="M131" i="3"/>
  <c r="AO132" i="3"/>
  <c r="L131" i="3"/>
  <c r="R131" i="3"/>
  <c r="P131" i="3"/>
  <c r="F131" i="3"/>
  <c r="AE131" i="3"/>
  <c r="AG131" i="3"/>
  <c r="AI132" i="3"/>
  <c r="AD132" i="3"/>
  <c r="T132" i="3"/>
  <c r="Y132" i="3"/>
  <c r="J132" i="3"/>
  <c r="L132" i="3" s="1"/>
  <c r="E132" i="3"/>
  <c r="H132" i="3" s="1"/>
  <c r="O132" i="3"/>
  <c r="AL131" i="3"/>
  <c r="AJ131" i="3"/>
  <c r="AC133" i="3"/>
  <c r="AH133" i="3"/>
  <c r="AM133" i="3"/>
  <c r="N133" i="3"/>
  <c r="I133" i="3"/>
  <c r="X133" i="3"/>
  <c r="S133" i="3"/>
  <c r="AA131" i="3"/>
  <c r="AF131" i="3"/>
  <c r="G131" i="3"/>
  <c r="AN131" i="3"/>
  <c r="V131" i="3"/>
  <c r="Q131" i="3"/>
  <c r="AK131" i="3"/>
  <c r="C133" i="3"/>
  <c r="D133" i="3"/>
  <c r="AB132" i="3" l="1"/>
  <c r="Z132" i="3"/>
  <c r="B138" i="3"/>
  <c r="AQ131" i="3"/>
  <c r="AR131" i="3" s="1"/>
  <c r="AO133" i="3"/>
  <c r="F132" i="3"/>
  <c r="AG132" i="3"/>
  <c r="AE132" i="3"/>
  <c r="M132" i="3"/>
  <c r="K132" i="3"/>
  <c r="AL132" i="3"/>
  <c r="AJ132" i="3"/>
  <c r="AI133" i="3"/>
  <c r="Y133" i="3"/>
  <c r="AD133" i="3"/>
  <c r="T133" i="3"/>
  <c r="J133" i="3"/>
  <c r="L133" i="3" s="1"/>
  <c r="E133" i="3"/>
  <c r="H133" i="3" s="1"/>
  <c r="O133" i="3"/>
  <c r="R132" i="3"/>
  <c r="P132" i="3"/>
  <c r="W132" i="3"/>
  <c r="U132" i="3"/>
  <c r="AM134" i="3"/>
  <c r="AH134" i="3"/>
  <c r="X134" i="3"/>
  <c r="AC134" i="3"/>
  <c r="S134" i="3"/>
  <c r="N134" i="3"/>
  <c r="I134" i="3"/>
  <c r="AF132" i="3"/>
  <c r="G132" i="3"/>
  <c r="AN132" i="3"/>
  <c r="AA132" i="3"/>
  <c r="V132" i="3"/>
  <c r="Q132" i="3"/>
  <c r="AK132" i="3"/>
  <c r="C134" i="3"/>
  <c r="D134" i="3"/>
  <c r="AB133" i="3" l="1"/>
  <c r="Z133" i="3"/>
  <c r="B139" i="3"/>
  <c r="AQ132" i="3"/>
  <c r="AR132" i="3" s="1"/>
  <c r="U133" i="3"/>
  <c r="W133" i="3"/>
  <c r="R133" i="3"/>
  <c r="P133" i="3"/>
  <c r="AE133" i="3"/>
  <c r="AG133" i="3"/>
  <c r="O134" i="3"/>
  <c r="AI134" i="3"/>
  <c r="AD134" i="3"/>
  <c r="Y134" i="3"/>
  <c r="T134" i="3"/>
  <c r="J134" i="3"/>
  <c r="E134" i="3"/>
  <c r="H134" i="3" s="1"/>
  <c r="K133" i="3"/>
  <c r="M133" i="3"/>
  <c r="AL133" i="3"/>
  <c r="AJ133" i="3"/>
  <c r="AO134" i="3"/>
  <c r="F133" i="3"/>
  <c r="AM135" i="3"/>
  <c r="AH135" i="3"/>
  <c r="AC135" i="3"/>
  <c r="X135" i="3"/>
  <c r="S135" i="3"/>
  <c r="N135" i="3"/>
  <c r="I135" i="3"/>
  <c r="AF133" i="3"/>
  <c r="AK133" i="3"/>
  <c r="Q133" i="3"/>
  <c r="V133" i="3"/>
  <c r="AN133" i="3"/>
  <c r="G133" i="3"/>
  <c r="AA133" i="3"/>
  <c r="D135" i="3"/>
  <c r="C135" i="3"/>
  <c r="AB134" i="3" l="1"/>
  <c r="Z134" i="3"/>
  <c r="B140" i="3"/>
  <c r="AQ133" i="3"/>
  <c r="AR133" i="3" s="1"/>
  <c r="F134" i="3"/>
  <c r="AE134" i="3"/>
  <c r="AG134" i="3"/>
  <c r="AI135" i="3"/>
  <c r="AD135" i="3"/>
  <c r="Y135" i="3"/>
  <c r="O135" i="3"/>
  <c r="J135" i="3"/>
  <c r="E135" i="3"/>
  <c r="H135" i="3" s="1"/>
  <c r="T135" i="3"/>
  <c r="M134" i="3"/>
  <c r="K134" i="3"/>
  <c r="AL134" i="3"/>
  <c r="AJ134" i="3"/>
  <c r="AO135" i="3"/>
  <c r="U134" i="3"/>
  <c r="W134" i="3"/>
  <c r="R134" i="3"/>
  <c r="P134" i="3"/>
  <c r="L134" i="3"/>
  <c r="AM136" i="3"/>
  <c r="AC136" i="3"/>
  <c r="AH136" i="3"/>
  <c r="X136" i="3"/>
  <c r="I136" i="3"/>
  <c r="S136" i="3"/>
  <c r="N136" i="3"/>
  <c r="AN134" i="3"/>
  <c r="G134" i="3"/>
  <c r="V134" i="3"/>
  <c r="AF134" i="3"/>
  <c r="Q134" i="3"/>
  <c r="AA134" i="3"/>
  <c r="AK134" i="3"/>
  <c r="D136" i="3"/>
  <c r="C136" i="3"/>
  <c r="AB135" i="3" l="1"/>
  <c r="Z135" i="3"/>
  <c r="B141" i="3"/>
  <c r="AQ134" i="3"/>
  <c r="AR134" i="3" s="1"/>
  <c r="AO136" i="3"/>
  <c r="U135" i="3"/>
  <c r="W135" i="3"/>
  <c r="AI136" i="3"/>
  <c r="T136" i="3"/>
  <c r="Y136" i="3"/>
  <c r="O136" i="3"/>
  <c r="AD136" i="3"/>
  <c r="J136" i="3"/>
  <c r="L136" i="3" s="1"/>
  <c r="E136" i="3"/>
  <c r="H136" i="3" s="1"/>
  <c r="F135" i="3"/>
  <c r="AE135" i="3"/>
  <c r="AG135" i="3"/>
  <c r="M135" i="3"/>
  <c r="K135" i="3"/>
  <c r="AL135" i="3"/>
  <c r="AJ135" i="3"/>
  <c r="P135" i="3"/>
  <c r="R135" i="3"/>
  <c r="L135" i="3"/>
  <c r="AM137" i="3"/>
  <c r="AH137" i="3"/>
  <c r="AC137" i="3"/>
  <c r="X137" i="3"/>
  <c r="N137" i="3"/>
  <c r="I137" i="3"/>
  <c r="S137" i="3"/>
  <c r="AF135" i="3"/>
  <c r="AK135" i="3"/>
  <c r="Q135" i="3"/>
  <c r="V135" i="3"/>
  <c r="AN135" i="3"/>
  <c r="G135" i="3"/>
  <c r="AA135" i="3"/>
  <c r="D137" i="3"/>
  <c r="C137" i="3"/>
  <c r="AB136" i="3" l="1"/>
  <c r="Z136" i="3"/>
  <c r="B142" i="3"/>
  <c r="AQ135" i="3"/>
  <c r="AR135" i="3" s="1"/>
  <c r="AO137" i="3"/>
  <c r="K136" i="3"/>
  <c r="M136" i="3"/>
  <c r="U136" i="3"/>
  <c r="W136" i="3"/>
  <c r="AI137" i="3"/>
  <c r="Y137" i="3"/>
  <c r="AD137" i="3"/>
  <c r="T137" i="3"/>
  <c r="O137" i="3"/>
  <c r="J137" i="3"/>
  <c r="L137" i="3" s="1"/>
  <c r="E137" i="3"/>
  <c r="H137" i="3" s="1"/>
  <c r="AG136" i="3"/>
  <c r="AE136" i="3"/>
  <c r="AL136" i="3"/>
  <c r="AJ136" i="3"/>
  <c r="R136" i="3"/>
  <c r="P136" i="3"/>
  <c r="F136" i="3"/>
  <c r="AM138" i="3"/>
  <c r="AH138" i="3"/>
  <c r="X138" i="3"/>
  <c r="AC138" i="3"/>
  <c r="S138" i="3"/>
  <c r="N138" i="3"/>
  <c r="I138" i="3"/>
  <c r="V136" i="3"/>
  <c r="AF136" i="3"/>
  <c r="AK136" i="3"/>
  <c r="AN136" i="3"/>
  <c r="G136" i="3"/>
  <c r="AA136" i="3"/>
  <c r="Q136" i="3"/>
  <c r="C138" i="3"/>
  <c r="D138" i="3"/>
  <c r="AB137" i="3" l="1"/>
  <c r="Z137" i="3"/>
  <c r="B143" i="3"/>
  <c r="AQ136" i="3"/>
  <c r="AR136" i="3" s="1"/>
  <c r="AO138" i="3"/>
  <c r="AI138" i="3"/>
  <c r="O138" i="3"/>
  <c r="AD138" i="3"/>
  <c r="T138" i="3"/>
  <c r="Y138" i="3"/>
  <c r="J138" i="3"/>
  <c r="E138" i="3"/>
  <c r="H138" i="3" s="1"/>
  <c r="F137" i="3"/>
  <c r="AE137" i="3"/>
  <c r="AG137" i="3"/>
  <c r="M137" i="3"/>
  <c r="K137" i="3"/>
  <c r="R137" i="3"/>
  <c r="P137" i="3"/>
  <c r="AL137" i="3"/>
  <c r="AJ137" i="3"/>
  <c r="U137" i="3"/>
  <c r="W137" i="3"/>
  <c r="C139" i="3"/>
  <c r="AM139" i="3"/>
  <c r="AH139" i="3"/>
  <c r="AC139" i="3"/>
  <c r="X139" i="3"/>
  <c r="S139" i="3"/>
  <c r="N139" i="3"/>
  <c r="I139" i="3"/>
  <c r="AK137" i="3"/>
  <c r="Q137" i="3"/>
  <c r="AF137" i="3"/>
  <c r="V137" i="3"/>
  <c r="AN137" i="3"/>
  <c r="G137" i="3"/>
  <c r="AA137" i="3"/>
  <c r="D139" i="3"/>
  <c r="AB138" i="3" l="1"/>
  <c r="Z138" i="3"/>
  <c r="B144" i="3"/>
  <c r="AQ137" i="3"/>
  <c r="AR137" i="3" s="1"/>
  <c r="AO139" i="3"/>
  <c r="U138" i="3"/>
  <c r="W138" i="3"/>
  <c r="F138" i="3"/>
  <c r="AE138" i="3"/>
  <c r="AG138" i="3"/>
  <c r="L138" i="3"/>
  <c r="K138" i="3"/>
  <c r="M138" i="3"/>
  <c r="R138" i="3"/>
  <c r="P138" i="3"/>
  <c r="AD139" i="3"/>
  <c r="O139" i="3"/>
  <c r="AI139" i="3"/>
  <c r="J139" i="3"/>
  <c r="T139" i="3"/>
  <c r="E139" i="3"/>
  <c r="H139" i="3" s="1"/>
  <c r="Y139" i="3"/>
  <c r="AJ138" i="3"/>
  <c r="AL138" i="3"/>
  <c r="AM140" i="3"/>
  <c r="AC140" i="3"/>
  <c r="AH140" i="3"/>
  <c r="X140" i="3"/>
  <c r="I140" i="3"/>
  <c r="S140" i="3"/>
  <c r="N140" i="3"/>
  <c r="AK138" i="3"/>
  <c r="Q138" i="3"/>
  <c r="V138" i="3"/>
  <c r="AA138" i="3"/>
  <c r="AN138" i="3"/>
  <c r="G138" i="3"/>
  <c r="AF138" i="3"/>
  <c r="C140" i="3"/>
  <c r="D140" i="3"/>
  <c r="AB139" i="3" l="1"/>
  <c r="Z139" i="3"/>
  <c r="B145" i="3"/>
  <c r="AQ138" i="3"/>
  <c r="AR138" i="3" s="1"/>
  <c r="AI140" i="3"/>
  <c r="Y140" i="3"/>
  <c r="T140" i="3"/>
  <c r="J140" i="3"/>
  <c r="AD140" i="3"/>
  <c r="O140" i="3"/>
  <c r="E140" i="3"/>
  <c r="H140" i="3" s="1"/>
  <c r="AO140" i="3"/>
  <c r="F139" i="3"/>
  <c r="R139" i="3"/>
  <c r="P139" i="3"/>
  <c r="K139" i="3"/>
  <c r="M139" i="3"/>
  <c r="U139" i="3"/>
  <c r="W139" i="3"/>
  <c r="AE139" i="3"/>
  <c r="AG139" i="3"/>
  <c r="AL139" i="3"/>
  <c r="AJ139" i="3"/>
  <c r="L139" i="3"/>
  <c r="AM141" i="3"/>
  <c r="AC141" i="3"/>
  <c r="AH141" i="3"/>
  <c r="N141" i="3"/>
  <c r="X141" i="3"/>
  <c r="I141" i="3"/>
  <c r="S141" i="3"/>
  <c r="AA139" i="3"/>
  <c r="V139" i="3"/>
  <c r="AN139" i="3"/>
  <c r="G139" i="3"/>
  <c r="AF139" i="3"/>
  <c r="Q139" i="3"/>
  <c r="AK139" i="3"/>
  <c r="C141" i="3"/>
  <c r="D141" i="3"/>
  <c r="AB140" i="3" l="1"/>
  <c r="Z140" i="3"/>
  <c r="B146" i="3"/>
  <c r="AQ139" i="3"/>
  <c r="AR139" i="3" s="1"/>
  <c r="L140" i="3"/>
  <c r="M140" i="3"/>
  <c r="K140" i="3"/>
  <c r="AI141" i="3"/>
  <c r="Y141" i="3"/>
  <c r="T141" i="3"/>
  <c r="E141" i="3"/>
  <c r="H141" i="3" s="1"/>
  <c r="AD141" i="3"/>
  <c r="O141" i="3"/>
  <c r="J141" i="3"/>
  <c r="L141" i="3" s="1"/>
  <c r="AO141" i="3"/>
  <c r="F140" i="3"/>
  <c r="W140" i="3"/>
  <c r="U140" i="3"/>
  <c r="R140" i="3"/>
  <c r="P140" i="3"/>
  <c r="AG140" i="3"/>
  <c r="AE140" i="3"/>
  <c r="AL140" i="3"/>
  <c r="AJ140" i="3"/>
  <c r="AM142" i="3"/>
  <c r="AH142" i="3"/>
  <c r="X142" i="3"/>
  <c r="AC142" i="3"/>
  <c r="S142" i="3"/>
  <c r="N142" i="3"/>
  <c r="I142" i="3"/>
  <c r="AK140" i="3"/>
  <c r="V140" i="3"/>
  <c r="Q140" i="3"/>
  <c r="AF140" i="3"/>
  <c r="G140" i="3"/>
  <c r="AN140" i="3"/>
  <c r="AA140" i="3"/>
  <c r="D142" i="3"/>
  <c r="C142" i="3"/>
  <c r="AB141" i="3" l="1"/>
  <c r="Z141" i="3"/>
  <c r="B147" i="3"/>
  <c r="AQ140" i="3"/>
  <c r="AR140" i="3" s="1"/>
  <c r="AO142" i="3"/>
  <c r="AI142" i="3"/>
  <c r="AD142" i="3"/>
  <c r="Y142" i="3"/>
  <c r="O142" i="3"/>
  <c r="T142" i="3"/>
  <c r="E142" i="3"/>
  <c r="H142" i="3" s="1"/>
  <c r="J142" i="3"/>
  <c r="L142" i="3" s="1"/>
  <c r="AE141" i="3"/>
  <c r="AG141" i="3"/>
  <c r="AL141" i="3"/>
  <c r="AJ141" i="3"/>
  <c r="F141" i="3"/>
  <c r="K141" i="3"/>
  <c r="M141" i="3"/>
  <c r="U141" i="3"/>
  <c r="W141" i="3"/>
  <c r="R141" i="3"/>
  <c r="P141" i="3"/>
  <c r="AM143" i="3"/>
  <c r="AH143" i="3"/>
  <c r="AC143" i="3"/>
  <c r="X143" i="3"/>
  <c r="S143" i="3"/>
  <c r="N143" i="3"/>
  <c r="I143" i="3"/>
  <c r="AN141" i="3"/>
  <c r="G141" i="3"/>
  <c r="AF141" i="3"/>
  <c r="AA141" i="3"/>
  <c r="Q141" i="3"/>
  <c r="AK141" i="3"/>
  <c r="V141" i="3"/>
  <c r="C143" i="3"/>
  <c r="D143" i="3"/>
  <c r="AB142" i="3" l="1"/>
  <c r="Z142" i="3"/>
  <c r="B148" i="3"/>
  <c r="AQ141" i="3"/>
  <c r="AR141" i="3" s="1"/>
  <c r="F142" i="3"/>
  <c r="AO143" i="3"/>
  <c r="R142" i="3"/>
  <c r="P142" i="3"/>
  <c r="AD143" i="3"/>
  <c r="Y143" i="3"/>
  <c r="J143" i="3"/>
  <c r="L143" i="3" s="1"/>
  <c r="AI143" i="3"/>
  <c r="O143" i="3"/>
  <c r="E143" i="3"/>
  <c r="H143" i="3" s="1"/>
  <c r="T143" i="3"/>
  <c r="M142" i="3"/>
  <c r="K142" i="3"/>
  <c r="AE142" i="3"/>
  <c r="AG142" i="3"/>
  <c r="U142" i="3"/>
  <c r="W142" i="3"/>
  <c r="AL142" i="3"/>
  <c r="AJ142" i="3"/>
  <c r="AM144" i="3"/>
  <c r="AC144" i="3"/>
  <c r="AH144" i="3"/>
  <c r="X144" i="3"/>
  <c r="I144" i="3"/>
  <c r="S144" i="3"/>
  <c r="N144" i="3"/>
  <c r="G142" i="3"/>
  <c r="AN142" i="3"/>
  <c r="AF142" i="3"/>
  <c r="V142" i="3"/>
  <c r="Q142" i="3"/>
  <c r="AK142" i="3"/>
  <c r="AA142" i="3"/>
  <c r="D144" i="3"/>
  <c r="C144" i="3"/>
  <c r="AB143" i="3" l="1"/>
  <c r="Z143" i="3"/>
  <c r="B149" i="3"/>
  <c r="AQ142" i="3"/>
  <c r="AR142" i="3" s="1"/>
  <c r="F143" i="3"/>
  <c r="AI144" i="3"/>
  <c r="T144" i="3"/>
  <c r="AD144" i="3"/>
  <c r="Y144" i="3"/>
  <c r="J144" i="3"/>
  <c r="L144" i="3" s="1"/>
  <c r="O144" i="3"/>
  <c r="E144" i="3"/>
  <c r="H144" i="3" s="1"/>
  <c r="AO144" i="3"/>
  <c r="R143" i="3"/>
  <c r="P143" i="3"/>
  <c r="AE143" i="3"/>
  <c r="AG143" i="3"/>
  <c r="AL143" i="3"/>
  <c r="AJ143" i="3"/>
  <c r="U143" i="3"/>
  <c r="W143" i="3"/>
  <c r="M143" i="3"/>
  <c r="K143" i="3"/>
  <c r="AH145" i="3"/>
  <c r="AC145" i="3"/>
  <c r="AM145" i="3"/>
  <c r="N145" i="3"/>
  <c r="I145" i="3"/>
  <c r="X145" i="3"/>
  <c r="S145" i="3"/>
  <c r="AN143" i="3"/>
  <c r="G143" i="3"/>
  <c r="AA143" i="3"/>
  <c r="Q143" i="3"/>
  <c r="AF143" i="3"/>
  <c r="V143" i="3"/>
  <c r="AK143" i="3"/>
  <c r="D145" i="3"/>
  <c r="C145" i="3"/>
  <c r="AB144" i="3" l="1"/>
  <c r="Z144" i="3"/>
  <c r="B150" i="3"/>
  <c r="AQ143" i="3"/>
  <c r="AR143" i="3" s="1"/>
  <c r="R144" i="3"/>
  <c r="P144" i="3"/>
  <c r="W144" i="3"/>
  <c r="U144" i="3"/>
  <c r="AI145" i="3"/>
  <c r="Y145" i="3"/>
  <c r="T145" i="3"/>
  <c r="AD145" i="3"/>
  <c r="J145" i="3"/>
  <c r="O145" i="3"/>
  <c r="E145" i="3"/>
  <c r="H145" i="3" s="1"/>
  <c r="AO145" i="3"/>
  <c r="K144" i="3"/>
  <c r="M144" i="3"/>
  <c r="AL144" i="3"/>
  <c r="AJ144" i="3"/>
  <c r="F144" i="3"/>
  <c r="AG144" i="3"/>
  <c r="AE144" i="3"/>
  <c r="AM146" i="3"/>
  <c r="AH146" i="3"/>
  <c r="AC146" i="3"/>
  <c r="X146" i="3"/>
  <c r="S146" i="3"/>
  <c r="N146" i="3"/>
  <c r="I146" i="3"/>
  <c r="AF144" i="3"/>
  <c r="AK144" i="3"/>
  <c r="Q144" i="3"/>
  <c r="V144" i="3"/>
  <c r="AN144" i="3"/>
  <c r="G144" i="3"/>
  <c r="AA144" i="3"/>
  <c r="C146" i="3"/>
  <c r="D146" i="3"/>
  <c r="AB145" i="3" l="1"/>
  <c r="Z145" i="3"/>
  <c r="B151" i="3"/>
  <c r="AQ144" i="3"/>
  <c r="AR144" i="3" s="1"/>
  <c r="AO146" i="3"/>
  <c r="M145" i="3"/>
  <c r="K145" i="3"/>
  <c r="AI146" i="3"/>
  <c r="Y146" i="3"/>
  <c r="T146" i="3"/>
  <c r="O146" i="3"/>
  <c r="AD146" i="3"/>
  <c r="E146" i="3"/>
  <c r="H146" i="3" s="1"/>
  <c r="J146" i="3"/>
  <c r="AE145" i="3"/>
  <c r="AG145" i="3"/>
  <c r="F145" i="3"/>
  <c r="U145" i="3"/>
  <c r="W145" i="3"/>
  <c r="L145" i="3"/>
  <c r="R145" i="3"/>
  <c r="P145" i="3"/>
  <c r="AL145" i="3"/>
  <c r="AJ145" i="3"/>
  <c r="AM147" i="3"/>
  <c r="AH147" i="3"/>
  <c r="AC147" i="3"/>
  <c r="X147" i="3"/>
  <c r="S147" i="3"/>
  <c r="N147" i="3"/>
  <c r="I147" i="3"/>
  <c r="G145" i="3"/>
  <c r="AN145" i="3"/>
  <c r="AA145" i="3"/>
  <c r="Q145" i="3"/>
  <c r="AF145" i="3"/>
  <c r="V145" i="3"/>
  <c r="AK145" i="3"/>
  <c r="C147" i="3"/>
  <c r="D147" i="3"/>
  <c r="AB146" i="3" l="1"/>
  <c r="Z146" i="3"/>
  <c r="B152" i="3"/>
  <c r="AQ145" i="3"/>
  <c r="AR145" i="3" s="1"/>
  <c r="AO147" i="3"/>
  <c r="F146" i="3"/>
  <c r="AD147" i="3"/>
  <c r="AI147" i="3"/>
  <c r="Y147" i="3"/>
  <c r="J147" i="3"/>
  <c r="L147" i="3" s="1"/>
  <c r="T147" i="3"/>
  <c r="O147" i="3"/>
  <c r="E147" i="3"/>
  <c r="H147" i="3" s="1"/>
  <c r="AE146" i="3"/>
  <c r="AG146" i="3"/>
  <c r="AL146" i="3"/>
  <c r="AJ146" i="3"/>
  <c r="P146" i="3"/>
  <c r="R146" i="3"/>
  <c r="L146" i="3"/>
  <c r="K146" i="3"/>
  <c r="M146" i="3"/>
  <c r="U146" i="3"/>
  <c r="W146" i="3"/>
  <c r="AM148" i="3"/>
  <c r="AC148" i="3"/>
  <c r="AH148" i="3"/>
  <c r="X148" i="3"/>
  <c r="I148" i="3"/>
  <c r="S148" i="3"/>
  <c r="N148" i="3"/>
  <c r="AA146" i="3"/>
  <c r="G146" i="3"/>
  <c r="AN146" i="3"/>
  <c r="V146" i="3"/>
  <c r="AF146" i="3"/>
  <c r="Q146" i="3"/>
  <c r="AK146" i="3"/>
  <c r="C148" i="3"/>
  <c r="D148" i="3"/>
  <c r="AB147" i="3" l="1"/>
  <c r="Z147" i="3"/>
  <c r="B153" i="3"/>
  <c r="AQ146" i="3"/>
  <c r="AR146" i="3" s="1"/>
  <c r="AO148" i="3"/>
  <c r="AE147" i="3"/>
  <c r="AG147" i="3"/>
  <c r="M147" i="3"/>
  <c r="K147" i="3"/>
  <c r="AD148" i="3"/>
  <c r="T148" i="3"/>
  <c r="AI148" i="3"/>
  <c r="J148" i="3"/>
  <c r="L148" i="3" s="1"/>
  <c r="O148" i="3"/>
  <c r="E148" i="3"/>
  <c r="H148" i="3" s="1"/>
  <c r="Y148" i="3"/>
  <c r="U147" i="3"/>
  <c r="W147" i="3"/>
  <c r="F147" i="3"/>
  <c r="R147" i="3"/>
  <c r="P147" i="3"/>
  <c r="AL147" i="3"/>
  <c r="AJ147" i="3"/>
  <c r="AC149" i="3"/>
  <c r="AH149" i="3"/>
  <c r="AM149" i="3"/>
  <c r="N149" i="3"/>
  <c r="I149" i="3"/>
  <c r="X149" i="3"/>
  <c r="S149" i="3"/>
  <c r="AN147" i="3"/>
  <c r="G147" i="3"/>
  <c r="AA147" i="3"/>
  <c r="V147" i="3"/>
  <c r="AF147" i="3"/>
  <c r="Q147" i="3"/>
  <c r="AK147" i="3"/>
  <c r="D149" i="3"/>
  <c r="C149" i="3"/>
  <c r="AB148" i="3" l="1"/>
  <c r="Z148" i="3"/>
  <c r="B154" i="3"/>
  <c r="AQ147" i="3"/>
  <c r="AR147" i="3" s="1"/>
  <c r="AO149" i="3"/>
  <c r="AL148" i="3"/>
  <c r="AJ148" i="3"/>
  <c r="F148" i="3"/>
  <c r="W148" i="3"/>
  <c r="U148" i="3"/>
  <c r="AG148" i="3"/>
  <c r="AE148" i="3"/>
  <c r="R148" i="3"/>
  <c r="P148" i="3"/>
  <c r="AI149" i="3"/>
  <c r="Y149" i="3"/>
  <c r="AD149" i="3"/>
  <c r="T149" i="3"/>
  <c r="O149" i="3"/>
  <c r="J149" i="3"/>
  <c r="L149" i="3" s="1"/>
  <c r="E149" i="3"/>
  <c r="H149" i="3" s="1"/>
  <c r="M148" i="3"/>
  <c r="K148" i="3"/>
  <c r="AM150" i="3"/>
  <c r="AH150" i="3"/>
  <c r="X150" i="3"/>
  <c r="AC150" i="3"/>
  <c r="S150" i="3"/>
  <c r="N150" i="3"/>
  <c r="I150" i="3"/>
  <c r="AF148" i="3"/>
  <c r="Q148" i="3"/>
  <c r="V148" i="3"/>
  <c r="AA148" i="3"/>
  <c r="G148" i="3"/>
  <c r="AN148" i="3"/>
  <c r="AK148" i="3"/>
  <c r="C150" i="3"/>
  <c r="D150" i="3"/>
  <c r="AB149" i="3" l="1"/>
  <c r="Z149" i="3"/>
  <c r="B155" i="3"/>
  <c r="AQ148" i="3"/>
  <c r="AR148" i="3" s="1"/>
  <c r="U149" i="3"/>
  <c r="W149" i="3"/>
  <c r="AO150" i="3"/>
  <c r="K149" i="3"/>
  <c r="M149" i="3"/>
  <c r="AI150" i="3"/>
  <c r="O150" i="3"/>
  <c r="AD150" i="3"/>
  <c r="T150" i="3"/>
  <c r="Y150" i="3"/>
  <c r="E150" i="3"/>
  <c r="H150" i="3" s="1"/>
  <c r="J150" i="3"/>
  <c r="R149" i="3"/>
  <c r="P149" i="3"/>
  <c r="AL149" i="3"/>
  <c r="AJ149" i="3"/>
  <c r="F149" i="3"/>
  <c r="AE149" i="3"/>
  <c r="AG149" i="3"/>
  <c r="AM151" i="3"/>
  <c r="AH151" i="3"/>
  <c r="AC151" i="3"/>
  <c r="X151" i="3"/>
  <c r="S151" i="3"/>
  <c r="N151" i="3"/>
  <c r="I151" i="3"/>
  <c r="AA149" i="3"/>
  <c r="AF149" i="3"/>
  <c r="Q149" i="3"/>
  <c r="AN149" i="3"/>
  <c r="G149" i="3"/>
  <c r="AK149" i="3"/>
  <c r="V149" i="3"/>
  <c r="C151" i="3"/>
  <c r="D151" i="3"/>
  <c r="AB150" i="3" l="1"/>
  <c r="Z150" i="3"/>
  <c r="B156" i="3"/>
  <c r="AQ149" i="3"/>
  <c r="AR149" i="3" s="1"/>
  <c r="M150" i="3"/>
  <c r="K150" i="3"/>
  <c r="AE150" i="3"/>
  <c r="AG150" i="3"/>
  <c r="AD151" i="3"/>
  <c r="Y151" i="3"/>
  <c r="J151" i="3"/>
  <c r="O151" i="3"/>
  <c r="E151" i="3"/>
  <c r="H151" i="3" s="1"/>
  <c r="AI151" i="3"/>
  <c r="T151" i="3"/>
  <c r="F150" i="3"/>
  <c r="P150" i="3"/>
  <c r="R150" i="3"/>
  <c r="AL150" i="3"/>
  <c r="AJ150" i="3"/>
  <c r="AO151" i="3"/>
  <c r="L150" i="3"/>
  <c r="U150" i="3"/>
  <c r="W150" i="3"/>
  <c r="AM152" i="3"/>
  <c r="AC152" i="3"/>
  <c r="AH152" i="3"/>
  <c r="X152" i="3"/>
  <c r="I152" i="3"/>
  <c r="S152" i="3"/>
  <c r="N152" i="3"/>
  <c r="Q150" i="3"/>
  <c r="AN150" i="3"/>
  <c r="G150" i="3"/>
  <c r="V150" i="3"/>
  <c r="AF150" i="3"/>
  <c r="AA150" i="3"/>
  <c r="AK150" i="3"/>
  <c r="D152" i="3"/>
  <c r="C152" i="3"/>
  <c r="AB151" i="3" l="1"/>
  <c r="Z151" i="3"/>
  <c r="B157" i="3"/>
  <c r="AQ150" i="3"/>
  <c r="AO152" i="3"/>
  <c r="U151" i="3"/>
  <c r="W151" i="3"/>
  <c r="L151" i="3"/>
  <c r="M151" i="3"/>
  <c r="K151" i="3"/>
  <c r="AJ151" i="3"/>
  <c r="AL151" i="3"/>
  <c r="T152" i="3"/>
  <c r="Y152" i="3"/>
  <c r="J152" i="3"/>
  <c r="L152" i="3" s="1"/>
  <c r="E152" i="3"/>
  <c r="H152" i="3" s="1"/>
  <c r="O152" i="3"/>
  <c r="AI152" i="3"/>
  <c r="AD152" i="3"/>
  <c r="AR150" i="3"/>
  <c r="F151" i="3"/>
  <c r="AE151" i="3"/>
  <c r="AG151" i="3"/>
  <c r="R151" i="3"/>
  <c r="P151" i="3"/>
  <c r="AM153" i="3"/>
  <c r="AH153" i="3"/>
  <c r="AC153" i="3"/>
  <c r="X153" i="3"/>
  <c r="N153" i="3"/>
  <c r="I153" i="3"/>
  <c r="S153" i="3"/>
  <c r="Q151" i="3"/>
  <c r="AF151" i="3"/>
  <c r="G151" i="3"/>
  <c r="AN151" i="3"/>
  <c r="V151" i="3"/>
  <c r="AA151" i="3"/>
  <c r="AK151" i="3"/>
  <c r="C153" i="3"/>
  <c r="D153" i="3"/>
  <c r="AB152" i="3" l="1"/>
  <c r="Z152" i="3"/>
  <c r="B158" i="3"/>
  <c r="AQ151" i="3"/>
  <c r="AR151" i="3" s="1"/>
  <c r="AL152" i="3"/>
  <c r="AJ152" i="3"/>
  <c r="AI153" i="3"/>
  <c r="Y153" i="3"/>
  <c r="AD153" i="3"/>
  <c r="T153" i="3"/>
  <c r="J153" i="3"/>
  <c r="L153" i="3" s="1"/>
  <c r="E153" i="3"/>
  <c r="H153" i="3" s="1"/>
  <c r="O153" i="3"/>
  <c r="AO153" i="3"/>
  <c r="R152" i="3"/>
  <c r="P152" i="3"/>
  <c r="U152" i="3"/>
  <c r="W152" i="3"/>
  <c r="M152" i="3"/>
  <c r="K152" i="3"/>
  <c r="F152" i="3"/>
  <c r="AG152" i="3"/>
  <c r="AE152" i="3"/>
  <c r="AM154" i="3"/>
  <c r="AH154" i="3"/>
  <c r="X154" i="3"/>
  <c r="AC154" i="3"/>
  <c r="S154" i="3"/>
  <c r="N154" i="3"/>
  <c r="I154" i="3"/>
  <c r="V152" i="3"/>
  <c r="AA152" i="3"/>
  <c r="G152" i="3"/>
  <c r="AN152" i="3"/>
  <c r="AF152" i="3"/>
  <c r="Q152" i="3"/>
  <c r="AK152" i="3"/>
  <c r="D154" i="3"/>
  <c r="C154" i="3"/>
  <c r="AB153" i="3" l="1"/>
  <c r="Z153" i="3"/>
  <c r="B159" i="3"/>
  <c r="AQ152" i="3"/>
  <c r="AR152" i="3" s="1"/>
  <c r="M153" i="3"/>
  <c r="K153" i="3"/>
  <c r="AL153" i="3"/>
  <c r="AJ153" i="3"/>
  <c r="U153" i="3"/>
  <c r="W153" i="3"/>
  <c r="F153" i="3"/>
  <c r="AI154" i="3"/>
  <c r="AD154" i="3"/>
  <c r="Y154" i="3"/>
  <c r="T154" i="3"/>
  <c r="O154" i="3"/>
  <c r="J154" i="3"/>
  <c r="E154" i="3"/>
  <c r="H154" i="3" s="1"/>
  <c r="AO154" i="3"/>
  <c r="R153" i="3"/>
  <c r="P153" i="3"/>
  <c r="AE153" i="3"/>
  <c r="AG153" i="3"/>
  <c r="AM155" i="3"/>
  <c r="AH155" i="3"/>
  <c r="AC155" i="3"/>
  <c r="X155" i="3"/>
  <c r="S155" i="3"/>
  <c r="N155" i="3"/>
  <c r="I155" i="3"/>
  <c r="AA153" i="3"/>
  <c r="G153" i="3"/>
  <c r="AN153" i="3"/>
  <c r="AK153" i="3"/>
  <c r="Q153" i="3"/>
  <c r="V153" i="3"/>
  <c r="AF153" i="3"/>
  <c r="C155" i="3"/>
  <c r="D155" i="3"/>
  <c r="AB154" i="3" l="1"/>
  <c r="Z154" i="3"/>
  <c r="B160" i="3"/>
  <c r="AQ153" i="3"/>
  <c r="AR153" i="3" s="1"/>
  <c r="M154" i="3"/>
  <c r="K154" i="3"/>
  <c r="AE154" i="3"/>
  <c r="AG154" i="3"/>
  <c r="L154" i="3"/>
  <c r="AD155" i="3"/>
  <c r="AI155" i="3"/>
  <c r="J155" i="3"/>
  <c r="Y155" i="3"/>
  <c r="T155" i="3"/>
  <c r="O155" i="3"/>
  <c r="E155" i="3"/>
  <c r="H155" i="3" s="1"/>
  <c r="R154" i="3"/>
  <c r="P154" i="3"/>
  <c r="AJ154" i="3"/>
  <c r="AL154" i="3"/>
  <c r="U154" i="3"/>
  <c r="W154" i="3"/>
  <c r="AO155" i="3"/>
  <c r="F154" i="3"/>
  <c r="AM156" i="3"/>
  <c r="AC156" i="3"/>
  <c r="AH156" i="3"/>
  <c r="X156" i="3"/>
  <c r="I156" i="3"/>
  <c r="S156" i="3"/>
  <c r="N156" i="3"/>
  <c r="AK154" i="3"/>
  <c r="Q154" i="3"/>
  <c r="AA154" i="3"/>
  <c r="V154" i="3"/>
  <c r="AN154" i="3"/>
  <c r="G154" i="3"/>
  <c r="AF154" i="3"/>
  <c r="C156" i="3"/>
  <c r="D156" i="3"/>
  <c r="AB155" i="3" l="1"/>
  <c r="Z155" i="3"/>
  <c r="B161" i="3"/>
  <c r="AQ154" i="3"/>
  <c r="AR154" i="3" s="1"/>
  <c r="Y156" i="3"/>
  <c r="T156" i="3"/>
  <c r="AI156" i="3"/>
  <c r="AD156" i="3"/>
  <c r="J156" i="3"/>
  <c r="O156" i="3"/>
  <c r="E156" i="3"/>
  <c r="H156" i="3" s="1"/>
  <c r="F155" i="3"/>
  <c r="AO156" i="3"/>
  <c r="P155" i="3"/>
  <c r="R155" i="3"/>
  <c r="AL155" i="3"/>
  <c r="AJ155" i="3"/>
  <c r="U155" i="3"/>
  <c r="W155" i="3"/>
  <c r="AE155" i="3"/>
  <c r="AG155" i="3"/>
  <c r="M155" i="3"/>
  <c r="K155" i="3"/>
  <c r="L155" i="3"/>
  <c r="AH157" i="3"/>
  <c r="AM157" i="3"/>
  <c r="AC157" i="3"/>
  <c r="N157" i="3"/>
  <c r="X157" i="3"/>
  <c r="I157" i="3"/>
  <c r="S157" i="3"/>
  <c r="Q155" i="3"/>
  <c r="AK155" i="3"/>
  <c r="G155" i="3"/>
  <c r="AN155" i="3"/>
  <c r="AA155" i="3"/>
  <c r="V155" i="3"/>
  <c r="AF155" i="3"/>
  <c r="D157" i="3"/>
  <c r="C157" i="3"/>
  <c r="AB156" i="3" l="1"/>
  <c r="Z156" i="3"/>
  <c r="B162" i="3"/>
  <c r="AQ155" i="3"/>
  <c r="AR155" i="3" s="1"/>
  <c r="F156" i="3"/>
  <c r="AL156" i="3"/>
  <c r="AJ156" i="3"/>
  <c r="AI157" i="3"/>
  <c r="Y157" i="3"/>
  <c r="T157" i="3"/>
  <c r="AD157" i="3"/>
  <c r="E157" i="3"/>
  <c r="H157" i="3" s="1"/>
  <c r="O157" i="3"/>
  <c r="J157" i="3"/>
  <c r="L157" i="3" s="1"/>
  <c r="R156" i="3"/>
  <c r="P156" i="3"/>
  <c r="W156" i="3"/>
  <c r="U156" i="3"/>
  <c r="M156" i="3"/>
  <c r="K156" i="3"/>
  <c r="AO157" i="3"/>
  <c r="AG156" i="3"/>
  <c r="AE156" i="3"/>
  <c r="L156" i="3"/>
  <c r="C158" i="3"/>
  <c r="AM158" i="3"/>
  <c r="AH158" i="3"/>
  <c r="X158" i="3"/>
  <c r="S158" i="3"/>
  <c r="AC158" i="3"/>
  <c r="N158" i="3"/>
  <c r="I158" i="3"/>
  <c r="AF156" i="3"/>
  <c r="V156" i="3"/>
  <c r="Q156" i="3"/>
  <c r="G156" i="3"/>
  <c r="AN156" i="3"/>
  <c r="AA156" i="3"/>
  <c r="AK156" i="3"/>
  <c r="D158" i="3"/>
  <c r="AB157" i="3" l="1"/>
  <c r="Z157" i="3"/>
  <c r="B163" i="3"/>
  <c r="AQ156" i="3"/>
  <c r="AR156" i="3" s="1"/>
  <c r="AE157" i="3"/>
  <c r="AG157" i="3"/>
  <c r="AO158" i="3"/>
  <c r="K157" i="3"/>
  <c r="M157" i="3"/>
  <c r="U157" i="3"/>
  <c r="W157" i="3"/>
  <c r="P157" i="3"/>
  <c r="R157" i="3"/>
  <c r="AI158" i="3"/>
  <c r="AD158" i="3"/>
  <c r="Y158" i="3"/>
  <c r="O158" i="3"/>
  <c r="T158" i="3"/>
  <c r="E158" i="3"/>
  <c r="H158" i="3" s="1"/>
  <c r="J158" i="3"/>
  <c r="L158" i="3" s="1"/>
  <c r="F157" i="3"/>
  <c r="AL157" i="3"/>
  <c r="AJ157" i="3"/>
  <c r="AM159" i="3"/>
  <c r="AH159" i="3"/>
  <c r="AC159" i="3"/>
  <c r="X159" i="3"/>
  <c r="S159" i="3"/>
  <c r="N159" i="3"/>
  <c r="I159" i="3"/>
  <c r="V157" i="3"/>
  <c r="G157" i="3"/>
  <c r="AN157" i="3"/>
  <c r="AF157" i="3"/>
  <c r="AA157" i="3"/>
  <c r="Q157" i="3"/>
  <c r="AK157" i="3"/>
  <c r="D159" i="3"/>
  <c r="C159" i="3"/>
  <c r="AB158" i="3" l="1"/>
  <c r="Z158" i="3"/>
  <c r="B164" i="3"/>
  <c r="AQ157" i="3"/>
  <c r="AR157" i="3" s="1"/>
  <c r="AD159" i="3"/>
  <c r="AI159" i="3"/>
  <c r="J159" i="3"/>
  <c r="O159" i="3"/>
  <c r="E159" i="3"/>
  <c r="H159" i="3" s="1"/>
  <c r="Y159" i="3"/>
  <c r="T159" i="3"/>
  <c r="F158" i="3"/>
  <c r="AE158" i="3"/>
  <c r="AG158" i="3"/>
  <c r="U158" i="3"/>
  <c r="W158" i="3"/>
  <c r="AL158" i="3"/>
  <c r="AJ158" i="3"/>
  <c r="R158" i="3"/>
  <c r="P158" i="3"/>
  <c r="AO159" i="3"/>
  <c r="M158" i="3"/>
  <c r="K158" i="3"/>
  <c r="AM160" i="3"/>
  <c r="AC160" i="3"/>
  <c r="AH160" i="3"/>
  <c r="X160" i="3"/>
  <c r="I160" i="3"/>
  <c r="S160" i="3"/>
  <c r="N160" i="3"/>
  <c r="V158" i="3"/>
  <c r="AF158" i="3"/>
  <c r="G158" i="3"/>
  <c r="AN158" i="3"/>
  <c r="Q158" i="3"/>
  <c r="AK158" i="3"/>
  <c r="AA158" i="3"/>
  <c r="C160" i="3"/>
  <c r="D160" i="3"/>
  <c r="AB159" i="3" l="1"/>
  <c r="Z159" i="3"/>
  <c r="B165" i="3"/>
  <c r="AQ158" i="3"/>
  <c r="AR158" i="3" s="1"/>
  <c r="F159" i="3"/>
  <c r="R159" i="3"/>
  <c r="P159" i="3"/>
  <c r="U159" i="3"/>
  <c r="W159" i="3"/>
  <c r="L159" i="3"/>
  <c r="K159" i="3"/>
  <c r="M159" i="3"/>
  <c r="T160" i="3"/>
  <c r="AD160" i="3"/>
  <c r="AI160" i="3"/>
  <c r="J160" i="3"/>
  <c r="Y160" i="3"/>
  <c r="O160" i="3"/>
  <c r="E160" i="3"/>
  <c r="H160" i="3" s="1"/>
  <c r="AO160" i="3"/>
  <c r="AL159" i="3"/>
  <c r="AJ159" i="3"/>
  <c r="AE159" i="3"/>
  <c r="AG159" i="3"/>
  <c r="AH161" i="3"/>
  <c r="AC161" i="3"/>
  <c r="AM161" i="3"/>
  <c r="N161" i="3"/>
  <c r="I161" i="3"/>
  <c r="X161" i="3"/>
  <c r="S161" i="3"/>
  <c r="AK159" i="3"/>
  <c r="Q159" i="3"/>
  <c r="AF159" i="3"/>
  <c r="V159" i="3"/>
  <c r="G159" i="3"/>
  <c r="AN159" i="3"/>
  <c r="AA159" i="3"/>
  <c r="D161" i="3"/>
  <c r="C161" i="3"/>
  <c r="AB160" i="3" l="1"/>
  <c r="Z160" i="3"/>
  <c r="B166" i="3"/>
  <c r="AQ159" i="3"/>
  <c r="AR159" i="3" s="1"/>
  <c r="AO161" i="3"/>
  <c r="W160" i="3"/>
  <c r="U160" i="3"/>
  <c r="AI161" i="3"/>
  <c r="Y161" i="3"/>
  <c r="T161" i="3"/>
  <c r="AD161" i="3"/>
  <c r="J161" i="3"/>
  <c r="L161" i="3" s="1"/>
  <c r="O161" i="3"/>
  <c r="E161" i="3"/>
  <c r="H161" i="3" s="1"/>
  <c r="K160" i="3"/>
  <c r="M160" i="3"/>
  <c r="L160" i="3"/>
  <c r="F160" i="3"/>
  <c r="AL160" i="3"/>
  <c r="AJ160" i="3"/>
  <c r="R160" i="3"/>
  <c r="P160" i="3"/>
  <c r="AG160" i="3"/>
  <c r="AE160" i="3"/>
  <c r="AM162" i="3"/>
  <c r="AH162" i="3"/>
  <c r="AC162" i="3"/>
  <c r="X162" i="3"/>
  <c r="S162" i="3"/>
  <c r="N162" i="3"/>
  <c r="I162" i="3"/>
  <c r="Q160" i="3"/>
  <c r="AK160" i="3"/>
  <c r="AF160" i="3"/>
  <c r="V160" i="3"/>
  <c r="G160" i="3"/>
  <c r="AN160" i="3"/>
  <c r="AA160" i="3"/>
  <c r="D162" i="3"/>
  <c r="C162" i="3"/>
  <c r="AB161" i="3" l="1"/>
  <c r="Z161" i="3"/>
  <c r="B167" i="3"/>
  <c r="AQ160" i="3"/>
  <c r="AR160" i="3" s="1"/>
  <c r="AO162" i="3"/>
  <c r="M161" i="3"/>
  <c r="K161" i="3"/>
  <c r="AL161" i="3"/>
  <c r="AJ161" i="3"/>
  <c r="U161" i="3"/>
  <c r="W161" i="3"/>
  <c r="AI162" i="3"/>
  <c r="Y162" i="3"/>
  <c r="T162" i="3"/>
  <c r="O162" i="3"/>
  <c r="E162" i="3"/>
  <c r="H162" i="3" s="1"/>
  <c r="AD162" i="3"/>
  <c r="J162" i="3"/>
  <c r="AE161" i="3"/>
  <c r="AG161" i="3"/>
  <c r="F161" i="3"/>
  <c r="R161" i="3"/>
  <c r="P161" i="3"/>
  <c r="AM163" i="3"/>
  <c r="AH163" i="3"/>
  <c r="AC163" i="3"/>
  <c r="X163" i="3"/>
  <c r="S163" i="3"/>
  <c r="N163" i="3"/>
  <c r="I163" i="3"/>
  <c r="V161" i="3"/>
  <c r="Q161" i="3"/>
  <c r="AN161" i="3"/>
  <c r="G161" i="3"/>
  <c r="AA161" i="3"/>
  <c r="AF161" i="3"/>
  <c r="AK161" i="3"/>
  <c r="C163" i="3"/>
  <c r="D163" i="3"/>
  <c r="AB162" i="3" l="1"/>
  <c r="Z162" i="3"/>
  <c r="B168" i="3"/>
  <c r="AQ161" i="3"/>
  <c r="AR161" i="3" s="1"/>
  <c r="AO163" i="3"/>
  <c r="AE162" i="3"/>
  <c r="AG162" i="3"/>
  <c r="F162" i="3"/>
  <c r="AL162" i="3"/>
  <c r="AJ162" i="3"/>
  <c r="AD163" i="3"/>
  <c r="AI163" i="3"/>
  <c r="Y163" i="3"/>
  <c r="J163" i="3"/>
  <c r="L163" i="3" s="1"/>
  <c r="T163" i="3"/>
  <c r="O163" i="3"/>
  <c r="E163" i="3"/>
  <c r="H163" i="3" s="1"/>
  <c r="R162" i="3"/>
  <c r="P162" i="3"/>
  <c r="L162" i="3"/>
  <c r="M162" i="3"/>
  <c r="K162" i="3"/>
  <c r="U162" i="3"/>
  <c r="W162" i="3"/>
  <c r="AM164" i="3"/>
  <c r="AC164" i="3"/>
  <c r="AH164" i="3"/>
  <c r="X164" i="3"/>
  <c r="I164" i="3"/>
  <c r="S164" i="3"/>
  <c r="N164" i="3"/>
  <c r="AA162" i="3"/>
  <c r="V162" i="3"/>
  <c r="AN162" i="3"/>
  <c r="G162" i="3"/>
  <c r="AF162" i="3"/>
  <c r="Q162" i="3"/>
  <c r="AK162" i="3"/>
  <c r="C164" i="3"/>
  <c r="D164" i="3"/>
  <c r="AB163" i="3" l="1"/>
  <c r="Z163" i="3"/>
  <c r="B169" i="3"/>
  <c r="AQ162" i="3"/>
  <c r="AR162" i="3" s="1"/>
  <c r="AD164" i="3"/>
  <c r="T164" i="3"/>
  <c r="AI164" i="3"/>
  <c r="Y164" i="3"/>
  <c r="J164" i="3"/>
  <c r="O164" i="3"/>
  <c r="E164" i="3"/>
  <c r="H164" i="3" s="1"/>
  <c r="R163" i="3"/>
  <c r="P163" i="3"/>
  <c r="AL163" i="3"/>
  <c r="AJ163" i="3"/>
  <c r="AO164" i="3"/>
  <c r="U163" i="3"/>
  <c r="W163" i="3"/>
  <c r="AE163" i="3"/>
  <c r="AG163" i="3"/>
  <c r="M163" i="3"/>
  <c r="K163" i="3"/>
  <c r="F163" i="3"/>
  <c r="AH165" i="3"/>
  <c r="AC165" i="3"/>
  <c r="AM165" i="3"/>
  <c r="N165" i="3"/>
  <c r="I165" i="3"/>
  <c r="X165" i="3"/>
  <c r="S165" i="3"/>
  <c r="V163" i="3"/>
  <c r="Q163" i="3"/>
  <c r="AK163" i="3"/>
  <c r="AF163" i="3"/>
  <c r="AN163" i="3"/>
  <c r="G163" i="3"/>
  <c r="AA163" i="3"/>
  <c r="D165" i="3"/>
  <c r="C165" i="3"/>
  <c r="AB164" i="3" l="1"/>
  <c r="Z164" i="3"/>
  <c r="B170" i="3"/>
  <c r="AQ163" i="3"/>
  <c r="AR163" i="3" s="1"/>
  <c r="AO165" i="3"/>
  <c r="F164" i="3"/>
  <c r="AL164" i="3"/>
  <c r="AJ164" i="3"/>
  <c r="AI165" i="3"/>
  <c r="Y165" i="3"/>
  <c r="AD165" i="3"/>
  <c r="T165" i="3"/>
  <c r="O165" i="3"/>
  <c r="J165" i="3"/>
  <c r="L165" i="3" s="1"/>
  <c r="E165" i="3"/>
  <c r="H165" i="3" s="1"/>
  <c r="R164" i="3"/>
  <c r="P164" i="3"/>
  <c r="W164" i="3"/>
  <c r="U164" i="3"/>
  <c r="M164" i="3"/>
  <c r="K164" i="3"/>
  <c r="AG164" i="3"/>
  <c r="AE164" i="3"/>
  <c r="L164" i="3"/>
  <c r="AM166" i="3"/>
  <c r="AH166" i="3"/>
  <c r="X166" i="3"/>
  <c r="AC166" i="3"/>
  <c r="S166" i="3"/>
  <c r="N166" i="3"/>
  <c r="I166" i="3"/>
  <c r="V164" i="3"/>
  <c r="AF164" i="3"/>
  <c r="Q164" i="3"/>
  <c r="AA164" i="3"/>
  <c r="AN164" i="3"/>
  <c r="G164" i="3"/>
  <c r="AK164" i="3"/>
  <c r="C166" i="3"/>
  <c r="D166" i="3"/>
  <c r="AB165" i="3" l="1"/>
  <c r="Z165" i="3"/>
  <c r="B171" i="3"/>
  <c r="AQ164" i="3"/>
  <c r="AR164" i="3" s="1"/>
  <c r="AO166" i="3"/>
  <c r="AI166" i="3"/>
  <c r="AD166" i="3"/>
  <c r="O166" i="3"/>
  <c r="Y166" i="3"/>
  <c r="T166" i="3"/>
  <c r="J166" i="3"/>
  <c r="L166" i="3" s="1"/>
  <c r="E166" i="3"/>
  <c r="H166" i="3" s="1"/>
  <c r="U165" i="3"/>
  <c r="W165" i="3"/>
  <c r="R165" i="3"/>
  <c r="P165" i="3"/>
  <c r="F165" i="3"/>
  <c r="AE165" i="3"/>
  <c r="AG165" i="3"/>
  <c r="M165" i="3"/>
  <c r="K165" i="3"/>
  <c r="AL165" i="3"/>
  <c r="AJ165" i="3"/>
  <c r="AM167" i="3"/>
  <c r="AH167" i="3"/>
  <c r="AC167" i="3"/>
  <c r="X167" i="3"/>
  <c r="S167" i="3"/>
  <c r="N167" i="3"/>
  <c r="I167" i="3"/>
  <c r="AF165" i="3"/>
  <c r="AK165" i="3"/>
  <c r="V165" i="3"/>
  <c r="Q165" i="3"/>
  <c r="AN165" i="3"/>
  <c r="G165" i="3"/>
  <c r="AA165" i="3"/>
  <c r="D167" i="3"/>
  <c r="C167" i="3"/>
  <c r="AB166" i="3" l="1"/>
  <c r="Z166" i="3"/>
  <c r="B172" i="3"/>
  <c r="AQ165" i="3"/>
  <c r="AR165" i="3" s="1"/>
  <c r="AO167" i="3"/>
  <c r="F166" i="3"/>
  <c r="R166" i="3"/>
  <c r="P166" i="3"/>
  <c r="M166" i="3"/>
  <c r="K166" i="3"/>
  <c r="AE166" i="3"/>
  <c r="AG166" i="3"/>
  <c r="AD167" i="3"/>
  <c r="Y167" i="3"/>
  <c r="J167" i="3"/>
  <c r="O167" i="3"/>
  <c r="E167" i="3"/>
  <c r="H167" i="3" s="1"/>
  <c r="AI167" i="3"/>
  <c r="T167" i="3"/>
  <c r="U166" i="3"/>
  <c r="W166" i="3"/>
  <c r="AJ166" i="3"/>
  <c r="AL166" i="3"/>
  <c r="AM168" i="3"/>
  <c r="AC168" i="3"/>
  <c r="AH168" i="3"/>
  <c r="X168" i="3"/>
  <c r="I168" i="3"/>
  <c r="S168" i="3"/>
  <c r="N168" i="3"/>
  <c r="AK166" i="3"/>
  <c r="AF166" i="3"/>
  <c r="Q166" i="3"/>
  <c r="AA166" i="3"/>
  <c r="AN166" i="3"/>
  <c r="G166" i="3"/>
  <c r="V166" i="3"/>
  <c r="C168" i="3"/>
  <c r="D168" i="3"/>
  <c r="AB167" i="3" l="1"/>
  <c r="Z167" i="3"/>
  <c r="B173" i="3"/>
  <c r="AQ166" i="3"/>
  <c r="AR166" i="3" s="1"/>
  <c r="U167" i="3"/>
  <c r="W167" i="3"/>
  <c r="L167" i="3"/>
  <c r="K167" i="3"/>
  <c r="M167" i="3"/>
  <c r="T168" i="3"/>
  <c r="Y168" i="3"/>
  <c r="AD168" i="3"/>
  <c r="J168" i="3"/>
  <c r="L168" i="3" s="1"/>
  <c r="E168" i="3"/>
  <c r="H168" i="3" s="1"/>
  <c r="AI168" i="3"/>
  <c r="O168" i="3"/>
  <c r="F167" i="3"/>
  <c r="AL167" i="3"/>
  <c r="AJ167" i="3"/>
  <c r="AE167" i="3"/>
  <c r="AG167" i="3"/>
  <c r="AO168" i="3"/>
  <c r="R167" i="3"/>
  <c r="P167" i="3"/>
  <c r="AM169" i="3"/>
  <c r="AH169" i="3"/>
  <c r="AC169" i="3"/>
  <c r="X169" i="3"/>
  <c r="N169" i="3"/>
  <c r="I169" i="3"/>
  <c r="S169" i="3"/>
  <c r="AA167" i="3"/>
  <c r="G167" i="3"/>
  <c r="AN167" i="3"/>
  <c r="AF167" i="3"/>
  <c r="Q167" i="3"/>
  <c r="V167" i="3"/>
  <c r="AK167" i="3"/>
  <c r="C169" i="3"/>
  <c r="D169" i="3"/>
  <c r="AB168" i="3" l="1"/>
  <c r="Z168" i="3"/>
  <c r="B174" i="3"/>
  <c r="AQ167" i="3"/>
  <c r="AR167" i="3" s="1"/>
  <c r="F168" i="3"/>
  <c r="W168" i="3"/>
  <c r="U168" i="3"/>
  <c r="AO169" i="3"/>
  <c r="R168" i="3"/>
  <c r="P168" i="3"/>
  <c r="AG168" i="3"/>
  <c r="AE168" i="3"/>
  <c r="AL168" i="3"/>
  <c r="AJ168" i="3"/>
  <c r="AI169" i="3"/>
  <c r="Y169" i="3"/>
  <c r="AD169" i="3"/>
  <c r="T169" i="3"/>
  <c r="J169" i="3"/>
  <c r="L169" i="3" s="1"/>
  <c r="E169" i="3"/>
  <c r="H169" i="3" s="1"/>
  <c r="O169" i="3"/>
  <c r="M168" i="3"/>
  <c r="K168" i="3"/>
  <c r="AM170" i="3"/>
  <c r="AH170" i="3"/>
  <c r="X170" i="3"/>
  <c r="AC170" i="3"/>
  <c r="S170" i="3"/>
  <c r="N170" i="3"/>
  <c r="I170" i="3"/>
  <c r="G168" i="3"/>
  <c r="AN168" i="3"/>
  <c r="AA168" i="3"/>
  <c r="Q168" i="3"/>
  <c r="AF168" i="3"/>
  <c r="V168" i="3"/>
  <c r="AK168" i="3"/>
  <c r="D170" i="3"/>
  <c r="C170" i="3"/>
  <c r="AB169" i="3" l="1"/>
  <c r="Z169" i="3"/>
  <c r="B175" i="3"/>
  <c r="AQ168" i="3"/>
  <c r="AR168" i="3" s="1"/>
  <c r="R169" i="3"/>
  <c r="P169" i="3"/>
  <c r="AE169" i="3"/>
  <c r="AG169" i="3"/>
  <c r="F169" i="3"/>
  <c r="AI170" i="3"/>
  <c r="AD170" i="3"/>
  <c r="T170" i="3"/>
  <c r="O170" i="3"/>
  <c r="J170" i="3"/>
  <c r="Y170" i="3"/>
  <c r="E170" i="3"/>
  <c r="H170" i="3" s="1"/>
  <c r="M169" i="3"/>
  <c r="K169" i="3"/>
  <c r="AL169" i="3"/>
  <c r="AJ169" i="3"/>
  <c r="AO170" i="3"/>
  <c r="U169" i="3"/>
  <c r="W169" i="3"/>
  <c r="AM171" i="3"/>
  <c r="AH171" i="3"/>
  <c r="AC171" i="3"/>
  <c r="X171" i="3"/>
  <c r="S171" i="3"/>
  <c r="N171" i="3"/>
  <c r="I171" i="3"/>
  <c r="AF169" i="3"/>
  <c r="AN169" i="3"/>
  <c r="G169" i="3"/>
  <c r="Q169" i="3"/>
  <c r="AK169" i="3"/>
  <c r="V169" i="3"/>
  <c r="AA169" i="3"/>
  <c r="D171" i="3"/>
  <c r="C171" i="3"/>
  <c r="AB170" i="3" l="1"/>
  <c r="Z170" i="3"/>
  <c r="B176" i="3"/>
  <c r="AQ169" i="3"/>
  <c r="AR169" i="3" s="1"/>
  <c r="AD171" i="3"/>
  <c r="AI171" i="3"/>
  <c r="J171" i="3"/>
  <c r="L171" i="3" s="1"/>
  <c r="T171" i="3"/>
  <c r="O171" i="3"/>
  <c r="E171" i="3"/>
  <c r="H171" i="3" s="1"/>
  <c r="Y171" i="3"/>
  <c r="K170" i="3"/>
  <c r="M170" i="3"/>
  <c r="AL170" i="3"/>
  <c r="AJ170" i="3"/>
  <c r="R170" i="3"/>
  <c r="P170" i="3"/>
  <c r="F170" i="3"/>
  <c r="U170" i="3"/>
  <c r="W170" i="3"/>
  <c r="AO171" i="3"/>
  <c r="AE170" i="3"/>
  <c r="AG170" i="3"/>
  <c r="L170" i="3"/>
  <c r="AM172" i="3"/>
  <c r="AC172" i="3"/>
  <c r="AH172" i="3"/>
  <c r="X172" i="3"/>
  <c r="I172" i="3"/>
  <c r="S172" i="3"/>
  <c r="N172" i="3"/>
  <c r="AF170" i="3"/>
  <c r="AK170" i="3"/>
  <c r="Q170" i="3"/>
  <c r="AA170" i="3"/>
  <c r="G170" i="3"/>
  <c r="AN170" i="3"/>
  <c r="V170" i="3"/>
  <c r="C172" i="3"/>
  <c r="D172" i="3"/>
  <c r="AB171" i="3" l="1"/>
  <c r="Z171" i="3"/>
  <c r="B177" i="3"/>
  <c r="AQ170" i="3"/>
  <c r="AR170" i="3" s="1"/>
  <c r="Y172" i="3"/>
  <c r="T172" i="3"/>
  <c r="AI172" i="3"/>
  <c r="J172" i="3"/>
  <c r="L172" i="3" s="1"/>
  <c r="O172" i="3"/>
  <c r="AD172" i="3"/>
  <c r="E172" i="3"/>
  <c r="H172" i="3" s="1"/>
  <c r="AO172" i="3"/>
  <c r="U171" i="3"/>
  <c r="W171" i="3"/>
  <c r="P171" i="3"/>
  <c r="R171" i="3"/>
  <c r="M171" i="3"/>
  <c r="K171" i="3"/>
  <c r="F171" i="3"/>
  <c r="AL171" i="3"/>
  <c r="AJ171" i="3"/>
  <c r="AE171" i="3"/>
  <c r="AG171" i="3"/>
  <c r="AH173" i="3"/>
  <c r="AM173" i="3"/>
  <c r="AC173" i="3"/>
  <c r="N173" i="3"/>
  <c r="X173" i="3"/>
  <c r="I173" i="3"/>
  <c r="S173" i="3"/>
  <c r="V171" i="3"/>
  <c r="AA171" i="3"/>
  <c r="AN171" i="3"/>
  <c r="G171" i="3"/>
  <c r="AF171" i="3"/>
  <c r="Q171" i="3"/>
  <c r="AK171" i="3"/>
  <c r="D173" i="3"/>
  <c r="C173" i="3"/>
  <c r="AB172" i="3" l="1"/>
  <c r="Z172" i="3"/>
  <c r="B178" i="3"/>
  <c r="AQ171" i="3"/>
  <c r="AR171" i="3" s="1"/>
  <c r="AO173" i="3"/>
  <c r="M172" i="3"/>
  <c r="K172" i="3"/>
  <c r="F172" i="3"/>
  <c r="AL172" i="3"/>
  <c r="AJ172" i="3"/>
  <c r="R172" i="3"/>
  <c r="P172" i="3"/>
  <c r="AI173" i="3"/>
  <c r="Y173" i="3"/>
  <c r="T173" i="3"/>
  <c r="E173" i="3"/>
  <c r="H173" i="3" s="1"/>
  <c r="O173" i="3"/>
  <c r="J173" i="3"/>
  <c r="AD173" i="3"/>
  <c r="AG172" i="3"/>
  <c r="AE172" i="3"/>
  <c r="W172" i="3"/>
  <c r="U172" i="3"/>
  <c r="AM174" i="3"/>
  <c r="AH174" i="3"/>
  <c r="X174" i="3"/>
  <c r="S174" i="3"/>
  <c r="N174" i="3"/>
  <c r="AC174" i="3"/>
  <c r="I174" i="3"/>
  <c r="AK172" i="3"/>
  <c r="AF172" i="3"/>
  <c r="V172" i="3"/>
  <c r="Q172" i="3"/>
  <c r="AN172" i="3"/>
  <c r="G172" i="3"/>
  <c r="AA172" i="3"/>
  <c r="C174" i="3"/>
  <c r="D174" i="3"/>
  <c r="AB173" i="3" l="1"/>
  <c r="Z173" i="3"/>
  <c r="B179" i="3"/>
  <c r="AQ172" i="3"/>
  <c r="AR172" i="3" s="1"/>
  <c r="R173" i="3"/>
  <c r="P173" i="3"/>
  <c r="AI174" i="3"/>
  <c r="AD174" i="3"/>
  <c r="Y174" i="3"/>
  <c r="O174" i="3"/>
  <c r="T174" i="3"/>
  <c r="E174" i="3"/>
  <c r="H174" i="3" s="1"/>
  <c r="J174" i="3"/>
  <c r="AE173" i="3"/>
  <c r="AG173" i="3"/>
  <c r="U173" i="3"/>
  <c r="W173" i="3"/>
  <c r="K173" i="3"/>
  <c r="M173" i="3"/>
  <c r="AL173" i="3"/>
  <c r="AJ173" i="3"/>
  <c r="AO174" i="3"/>
  <c r="L173" i="3"/>
  <c r="F173" i="3"/>
  <c r="AM175" i="3"/>
  <c r="AH175" i="3"/>
  <c r="AC175" i="3"/>
  <c r="X175" i="3"/>
  <c r="S175" i="3"/>
  <c r="N175" i="3"/>
  <c r="I175" i="3"/>
  <c r="AF173" i="3"/>
  <c r="Q173" i="3"/>
  <c r="V173" i="3"/>
  <c r="AK173" i="3"/>
  <c r="AN173" i="3"/>
  <c r="G173" i="3"/>
  <c r="AA173" i="3"/>
  <c r="D175" i="3"/>
  <c r="C175" i="3"/>
  <c r="AB174" i="3" l="1"/>
  <c r="Z174" i="3"/>
  <c r="B180" i="3"/>
  <c r="AQ173" i="3"/>
  <c r="AR173" i="3" s="1"/>
  <c r="AO175" i="3"/>
  <c r="F174" i="3"/>
  <c r="AE174" i="3"/>
  <c r="AG174" i="3"/>
  <c r="R174" i="3"/>
  <c r="P174" i="3"/>
  <c r="M174" i="3"/>
  <c r="K174" i="3"/>
  <c r="AD175" i="3"/>
  <c r="AI175" i="3"/>
  <c r="Y175" i="3"/>
  <c r="J175" i="3"/>
  <c r="O175" i="3"/>
  <c r="E175" i="3"/>
  <c r="H175" i="3" s="1"/>
  <c r="T175" i="3"/>
  <c r="L174" i="3"/>
  <c r="U174" i="3"/>
  <c r="W174" i="3"/>
  <c r="AL174" i="3"/>
  <c r="AJ174" i="3"/>
  <c r="AM176" i="3"/>
  <c r="AC176" i="3"/>
  <c r="AH176" i="3"/>
  <c r="X176" i="3"/>
  <c r="I176" i="3"/>
  <c r="S176" i="3"/>
  <c r="N176" i="3"/>
  <c r="AA174" i="3"/>
  <c r="G174" i="3"/>
  <c r="AN174" i="3"/>
  <c r="V174" i="3"/>
  <c r="AF174" i="3"/>
  <c r="Q174" i="3"/>
  <c r="AK174" i="3"/>
  <c r="C176" i="3"/>
  <c r="D176" i="3"/>
  <c r="AB175" i="3" l="1"/>
  <c r="Z175" i="3"/>
  <c r="B181" i="3"/>
  <c r="AQ174" i="3"/>
  <c r="AR174" i="3" s="1"/>
  <c r="M175" i="3"/>
  <c r="K175" i="3"/>
  <c r="T176" i="3"/>
  <c r="AD176" i="3"/>
  <c r="AI176" i="3"/>
  <c r="Y176" i="3"/>
  <c r="J176" i="3"/>
  <c r="L176" i="3" s="1"/>
  <c r="O176" i="3"/>
  <c r="E176" i="3"/>
  <c r="H176" i="3" s="1"/>
  <c r="AO176" i="3"/>
  <c r="U175" i="3"/>
  <c r="W175" i="3"/>
  <c r="L175" i="3"/>
  <c r="F175" i="3"/>
  <c r="AL175" i="3"/>
  <c r="AJ175" i="3"/>
  <c r="R175" i="3"/>
  <c r="P175" i="3"/>
  <c r="AE175" i="3"/>
  <c r="AG175" i="3"/>
  <c r="AH177" i="3"/>
  <c r="AC177" i="3"/>
  <c r="AM177" i="3"/>
  <c r="N177" i="3"/>
  <c r="I177" i="3"/>
  <c r="X177" i="3"/>
  <c r="S177" i="3"/>
  <c r="Q175" i="3"/>
  <c r="AF175" i="3"/>
  <c r="V175" i="3"/>
  <c r="AK175" i="3"/>
  <c r="G175" i="3"/>
  <c r="AN175" i="3"/>
  <c r="AA175" i="3"/>
  <c r="C177" i="3"/>
  <c r="D177" i="3"/>
  <c r="AB176" i="3" l="1"/>
  <c r="Z176" i="3"/>
  <c r="B182" i="3"/>
  <c r="AQ175" i="3"/>
  <c r="AR175" i="3" s="1"/>
  <c r="AI177" i="3"/>
  <c r="Y177" i="3"/>
  <c r="T177" i="3"/>
  <c r="AD177" i="3"/>
  <c r="J177" i="3"/>
  <c r="L177" i="3" s="1"/>
  <c r="O177" i="3"/>
  <c r="E177" i="3"/>
  <c r="H177" i="3" s="1"/>
  <c r="AO177" i="3"/>
  <c r="M176" i="3"/>
  <c r="K176" i="3"/>
  <c r="W176" i="3"/>
  <c r="U176" i="3"/>
  <c r="R176" i="3"/>
  <c r="P176" i="3"/>
  <c r="F176" i="3"/>
  <c r="AL176" i="3"/>
  <c r="AJ176" i="3"/>
  <c r="AG176" i="3"/>
  <c r="AE176" i="3"/>
  <c r="AM178" i="3"/>
  <c r="AH178" i="3"/>
  <c r="AC178" i="3"/>
  <c r="X178" i="3"/>
  <c r="S178" i="3"/>
  <c r="N178" i="3"/>
  <c r="I178" i="3"/>
  <c r="V176" i="3"/>
  <c r="AN176" i="3"/>
  <c r="G176" i="3"/>
  <c r="Q176" i="3"/>
  <c r="AF176" i="3"/>
  <c r="AA176" i="3"/>
  <c r="AK176" i="3"/>
  <c r="C178" i="3"/>
  <c r="D178" i="3"/>
  <c r="AB177" i="3" l="1"/>
  <c r="Z177" i="3"/>
  <c r="B183" i="3"/>
  <c r="AQ176" i="3"/>
  <c r="AR176" i="3" s="1"/>
  <c r="AI178" i="3"/>
  <c r="Y178" i="3"/>
  <c r="T178" i="3"/>
  <c r="O178" i="3"/>
  <c r="AD178" i="3"/>
  <c r="E178" i="3"/>
  <c r="H178" i="3" s="1"/>
  <c r="J178" i="3"/>
  <c r="L178" i="3" s="1"/>
  <c r="AE177" i="3"/>
  <c r="AG177" i="3"/>
  <c r="F177" i="3"/>
  <c r="U177" i="3"/>
  <c r="W177" i="3"/>
  <c r="P177" i="3"/>
  <c r="R177" i="3"/>
  <c r="AO178" i="3"/>
  <c r="M177" i="3"/>
  <c r="K177" i="3"/>
  <c r="AL177" i="3"/>
  <c r="AJ177" i="3"/>
  <c r="AM179" i="3"/>
  <c r="AH179" i="3"/>
  <c r="AC179" i="3"/>
  <c r="X179" i="3"/>
  <c r="S179" i="3"/>
  <c r="N179" i="3"/>
  <c r="I179" i="3"/>
  <c r="AN177" i="3"/>
  <c r="G177" i="3"/>
  <c r="AF177" i="3"/>
  <c r="AA177" i="3"/>
  <c r="AK177" i="3"/>
  <c r="V177" i="3"/>
  <c r="Q177" i="3"/>
  <c r="C179" i="3"/>
  <c r="D179" i="3"/>
  <c r="AB178" i="3" l="1"/>
  <c r="Z178" i="3"/>
  <c r="B184" i="3"/>
  <c r="AQ177" i="3"/>
  <c r="AR177" i="3" s="1"/>
  <c r="AO179" i="3"/>
  <c r="P178" i="3"/>
  <c r="R178" i="3"/>
  <c r="AD179" i="3"/>
  <c r="AI179" i="3"/>
  <c r="Y179" i="3"/>
  <c r="J179" i="3"/>
  <c r="L179" i="3" s="1"/>
  <c r="T179" i="3"/>
  <c r="O179" i="3"/>
  <c r="E179" i="3"/>
  <c r="H179" i="3" s="1"/>
  <c r="K178" i="3"/>
  <c r="M178" i="3"/>
  <c r="U178" i="3"/>
  <c r="W178" i="3"/>
  <c r="AE178" i="3"/>
  <c r="AG178" i="3"/>
  <c r="F178" i="3"/>
  <c r="AL178" i="3"/>
  <c r="AJ178" i="3"/>
  <c r="AM180" i="3"/>
  <c r="AH180" i="3"/>
  <c r="AC180" i="3"/>
  <c r="X180" i="3"/>
  <c r="I180" i="3"/>
  <c r="S180" i="3"/>
  <c r="N180" i="3"/>
  <c r="AN178" i="3"/>
  <c r="G178" i="3"/>
  <c r="V178" i="3"/>
  <c r="Q178" i="3"/>
  <c r="AK178" i="3"/>
  <c r="AF178" i="3"/>
  <c r="AA178" i="3"/>
  <c r="C180" i="3"/>
  <c r="D180" i="3"/>
  <c r="AB179" i="3" l="1"/>
  <c r="Z179" i="3"/>
  <c r="B185" i="3"/>
  <c r="AQ178" i="3"/>
  <c r="AR178" i="3" s="1"/>
  <c r="R179" i="3"/>
  <c r="P179" i="3"/>
  <c r="U179" i="3"/>
  <c r="W179" i="3"/>
  <c r="AE179" i="3"/>
  <c r="AG179" i="3"/>
  <c r="AD180" i="3"/>
  <c r="T180" i="3"/>
  <c r="AI180" i="3"/>
  <c r="J180" i="3"/>
  <c r="Y180" i="3"/>
  <c r="O180" i="3"/>
  <c r="E180" i="3"/>
  <c r="H180" i="3" s="1"/>
  <c r="M179" i="3"/>
  <c r="K179" i="3"/>
  <c r="AO180" i="3"/>
  <c r="F179" i="3"/>
  <c r="AL179" i="3"/>
  <c r="AJ179" i="3"/>
  <c r="AH181" i="3"/>
  <c r="AM181" i="3"/>
  <c r="AC181" i="3"/>
  <c r="N181" i="3"/>
  <c r="I181" i="3"/>
  <c r="X181" i="3"/>
  <c r="S181" i="3"/>
  <c r="Q179" i="3"/>
  <c r="AK179" i="3"/>
  <c r="AF179" i="3"/>
  <c r="G179" i="3"/>
  <c r="AN179" i="3"/>
  <c r="V179" i="3"/>
  <c r="AA179" i="3"/>
  <c r="C181" i="3"/>
  <c r="D181" i="3"/>
  <c r="AB180" i="3" l="1"/>
  <c r="Z180" i="3"/>
  <c r="B186" i="3"/>
  <c r="AQ179" i="3"/>
  <c r="AR179" i="3" s="1"/>
  <c r="R180" i="3"/>
  <c r="P180" i="3"/>
  <c r="AI181" i="3"/>
  <c r="Y181" i="3"/>
  <c r="AD181" i="3"/>
  <c r="T181" i="3"/>
  <c r="O181" i="3"/>
  <c r="J181" i="3"/>
  <c r="E181" i="3"/>
  <c r="H181" i="3" s="1"/>
  <c r="AG180" i="3"/>
  <c r="AE180" i="3"/>
  <c r="AL180" i="3"/>
  <c r="AJ180" i="3"/>
  <c r="AO181" i="3"/>
  <c r="M180" i="3"/>
  <c r="K180" i="3"/>
  <c r="L180" i="3"/>
  <c r="F180" i="3"/>
  <c r="W180" i="3"/>
  <c r="U180" i="3"/>
  <c r="AM182" i="3"/>
  <c r="AH182" i="3"/>
  <c r="X182" i="3"/>
  <c r="S182" i="3"/>
  <c r="N182" i="3"/>
  <c r="AC182" i="3"/>
  <c r="I182" i="3"/>
  <c r="V180" i="3"/>
  <c r="AN180" i="3"/>
  <c r="G180" i="3"/>
  <c r="AA180" i="3"/>
  <c r="Q180" i="3"/>
  <c r="AF180" i="3"/>
  <c r="AK180" i="3"/>
  <c r="D182" i="3"/>
  <c r="C182" i="3"/>
  <c r="AB181" i="3" l="1"/>
  <c r="Z181" i="3"/>
  <c r="B187" i="3"/>
  <c r="AQ180" i="3"/>
  <c r="AR180" i="3" s="1"/>
  <c r="AI182" i="3"/>
  <c r="O182" i="3"/>
  <c r="AD182" i="3"/>
  <c r="Y182" i="3"/>
  <c r="T182" i="3"/>
  <c r="J182" i="3"/>
  <c r="E182" i="3"/>
  <c r="H182" i="3" s="1"/>
  <c r="M181" i="3"/>
  <c r="K181" i="3"/>
  <c r="L181" i="3"/>
  <c r="R181" i="3"/>
  <c r="P181" i="3"/>
  <c r="AL181" i="3"/>
  <c r="AJ181" i="3"/>
  <c r="AO182" i="3"/>
  <c r="U181" i="3"/>
  <c r="W181" i="3"/>
  <c r="F181" i="3"/>
  <c r="AE181" i="3"/>
  <c r="AG181" i="3"/>
  <c r="AM183" i="3"/>
  <c r="AH183" i="3"/>
  <c r="AC183" i="3"/>
  <c r="X183" i="3"/>
  <c r="S183" i="3"/>
  <c r="N183" i="3"/>
  <c r="I183" i="3"/>
  <c r="V181" i="3"/>
  <c r="AA181" i="3"/>
  <c r="AF181" i="3"/>
  <c r="G181" i="3"/>
  <c r="AN181" i="3"/>
  <c r="Q181" i="3"/>
  <c r="AK181" i="3"/>
  <c r="C183" i="3"/>
  <c r="D183" i="3"/>
  <c r="AB182" i="3" l="1"/>
  <c r="Z182" i="3"/>
  <c r="B188" i="3"/>
  <c r="AQ181" i="3"/>
  <c r="AR181" i="3" s="1"/>
  <c r="AO183" i="3"/>
  <c r="M182" i="3"/>
  <c r="K182" i="3"/>
  <c r="L182" i="3"/>
  <c r="F182" i="3"/>
  <c r="AE182" i="3"/>
  <c r="AG182" i="3"/>
  <c r="R182" i="3"/>
  <c r="P182" i="3"/>
  <c r="AD183" i="3"/>
  <c r="Y183" i="3"/>
  <c r="J183" i="3"/>
  <c r="L183" i="3" s="1"/>
  <c r="O183" i="3"/>
  <c r="E183" i="3"/>
  <c r="H183" i="3" s="1"/>
  <c r="AI183" i="3"/>
  <c r="T183" i="3"/>
  <c r="U182" i="3"/>
  <c r="W182" i="3"/>
  <c r="AL182" i="3"/>
  <c r="AJ182" i="3"/>
  <c r="AM184" i="3"/>
  <c r="AH184" i="3"/>
  <c r="AC184" i="3"/>
  <c r="X184" i="3"/>
  <c r="I184" i="3"/>
  <c r="S184" i="3"/>
  <c r="N184" i="3"/>
  <c r="AF182" i="3"/>
  <c r="AA182" i="3"/>
  <c r="Q182" i="3"/>
  <c r="AK182" i="3"/>
  <c r="G182" i="3"/>
  <c r="AN182" i="3"/>
  <c r="V182" i="3"/>
  <c r="C184" i="3"/>
  <c r="D184" i="3"/>
  <c r="AB183" i="3" l="1"/>
  <c r="Z183" i="3"/>
  <c r="B189" i="3"/>
  <c r="AQ182" i="3"/>
  <c r="F183" i="3"/>
  <c r="T184" i="3"/>
  <c r="Y184" i="3"/>
  <c r="J184" i="3"/>
  <c r="L184" i="3" s="1"/>
  <c r="E184" i="3"/>
  <c r="H184" i="3" s="1"/>
  <c r="AD184" i="3"/>
  <c r="O184" i="3"/>
  <c r="AI184" i="3"/>
  <c r="U183" i="3"/>
  <c r="W183" i="3"/>
  <c r="K183" i="3"/>
  <c r="M183" i="3"/>
  <c r="AO184" i="3"/>
  <c r="AL183" i="3"/>
  <c r="AJ183" i="3"/>
  <c r="AE183" i="3"/>
  <c r="AG183" i="3"/>
  <c r="R183" i="3"/>
  <c r="P183" i="3"/>
  <c r="AR182" i="3"/>
  <c r="AM185" i="3"/>
  <c r="AH185" i="3"/>
  <c r="AC185" i="3"/>
  <c r="X185" i="3"/>
  <c r="N185" i="3"/>
  <c r="I185" i="3"/>
  <c r="S185" i="3"/>
  <c r="V183" i="3"/>
  <c r="AF183" i="3"/>
  <c r="G183" i="3"/>
  <c r="AN183" i="3"/>
  <c r="AA183" i="3"/>
  <c r="Q183" i="3"/>
  <c r="AK183" i="3"/>
  <c r="D185" i="3"/>
  <c r="C185" i="3"/>
  <c r="AB184" i="3" l="1"/>
  <c r="Z184" i="3"/>
  <c r="B190" i="3"/>
  <c r="AQ183" i="3"/>
  <c r="AR183" i="3" s="1"/>
  <c r="AO185" i="3"/>
  <c r="AG184" i="3"/>
  <c r="AE184" i="3"/>
  <c r="W184" i="3"/>
  <c r="U184" i="3"/>
  <c r="AI185" i="3"/>
  <c r="Y185" i="3"/>
  <c r="AD185" i="3"/>
  <c r="T185" i="3"/>
  <c r="J185" i="3"/>
  <c r="L185" i="3" s="1"/>
  <c r="E185" i="3"/>
  <c r="H185" i="3" s="1"/>
  <c r="O185" i="3"/>
  <c r="F184" i="3"/>
  <c r="M184" i="3"/>
  <c r="K184" i="3"/>
  <c r="AL184" i="3"/>
  <c r="AJ184" i="3"/>
  <c r="R184" i="3"/>
  <c r="P184" i="3"/>
  <c r="AM186" i="3"/>
  <c r="AH186" i="3"/>
  <c r="X186" i="3"/>
  <c r="AC186" i="3"/>
  <c r="S186" i="3"/>
  <c r="N186" i="3"/>
  <c r="I186" i="3"/>
  <c r="AF184" i="3"/>
  <c r="AN184" i="3"/>
  <c r="G184" i="3"/>
  <c r="AA184" i="3"/>
  <c r="AK184" i="3"/>
  <c r="Q184" i="3"/>
  <c r="V184" i="3"/>
  <c r="C186" i="3"/>
  <c r="D186" i="3"/>
  <c r="AB185" i="3" l="1"/>
  <c r="Z185" i="3"/>
  <c r="B191" i="3"/>
  <c r="AQ184" i="3"/>
  <c r="AR184" i="3" s="1"/>
  <c r="AO186" i="3"/>
  <c r="U185" i="3"/>
  <c r="W185" i="3"/>
  <c r="AI186" i="3"/>
  <c r="AD186" i="3"/>
  <c r="Y186" i="3"/>
  <c r="T186" i="3"/>
  <c r="O186" i="3"/>
  <c r="J186" i="3"/>
  <c r="E186" i="3"/>
  <c r="H186" i="3" s="1"/>
  <c r="R185" i="3"/>
  <c r="P185" i="3"/>
  <c r="AE185" i="3"/>
  <c r="AG185" i="3"/>
  <c r="F185" i="3"/>
  <c r="M185" i="3"/>
  <c r="K185" i="3"/>
  <c r="AL185" i="3"/>
  <c r="AJ185" i="3"/>
  <c r="AM187" i="3"/>
  <c r="AH187" i="3"/>
  <c r="AC187" i="3"/>
  <c r="X187" i="3"/>
  <c r="S187" i="3"/>
  <c r="N187" i="3"/>
  <c r="I187" i="3"/>
  <c r="Q185" i="3"/>
  <c r="G185" i="3"/>
  <c r="AN185" i="3"/>
  <c r="AK185" i="3"/>
  <c r="AA185" i="3"/>
  <c r="V185" i="3"/>
  <c r="AF185" i="3"/>
  <c r="C187" i="3"/>
  <c r="D187" i="3"/>
  <c r="AB186" i="3" l="1"/>
  <c r="Z186" i="3"/>
  <c r="B192" i="3"/>
  <c r="AQ185" i="3"/>
  <c r="AR185" i="3" s="1"/>
  <c r="AO187" i="3"/>
  <c r="M186" i="3"/>
  <c r="K186" i="3"/>
  <c r="AE186" i="3"/>
  <c r="AG186" i="3"/>
  <c r="AD187" i="3"/>
  <c r="AI187" i="3"/>
  <c r="J187" i="3"/>
  <c r="L187" i="3" s="1"/>
  <c r="Y187" i="3"/>
  <c r="T187" i="3"/>
  <c r="O187" i="3"/>
  <c r="E187" i="3"/>
  <c r="H187" i="3" s="1"/>
  <c r="R186" i="3"/>
  <c r="P186" i="3"/>
  <c r="AL186" i="3"/>
  <c r="AJ186" i="3"/>
  <c r="L186" i="3"/>
  <c r="U186" i="3"/>
  <c r="W186" i="3"/>
  <c r="F186" i="3"/>
  <c r="AM188" i="3"/>
  <c r="AH188" i="3"/>
  <c r="AC188" i="3"/>
  <c r="X188" i="3"/>
  <c r="I188" i="3"/>
  <c r="S188" i="3"/>
  <c r="N188" i="3"/>
  <c r="AA186" i="3"/>
  <c r="Q186" i="3"/>
  <c r="G186" i="3"/>
  <c r="AN186" i="3"/>
  <c r="AF186" i="3"/>
  <c r="V186" i="3"/>
  <c r="AK186" i="3"/>
  <c r="D188" i="3"/>
  <c r="C188" i="3"/>
  <c r="AB187" i="3" l="1"/>
  <c r="Z187" i="3"/>
  <c r="B193" i="3"/>
  <c r="AQ186" i="3"/>
  <c r="AR186" i="3" s="1"/>
  <c r="AO188" i="3"/>
  <c r="F187" i="3"/>
  <c r="M187" i="3"/>
  <c r="K187" i="3"/>
  <c r="R187" i="3"/>
  <c r="P187" i="3"/>
  <c r="AL187" i="3"/>
  <c r="AJ187" i="3"/>
  <c r="Y188" i="3"/>
  <c r="T188" i="3"/>
  <c r="AI188" i="3"/>
  <c r="AD188" i="3"/>
  <c r="J188" i="3"/>
  <c r="O188" i="3"/>
  <c r="E188" i="3"/>
  <c r="H188" i="3" s="1"/>
  <c r="U187" i="3"/>
  <c r="W187" i="3"/>
  <c r="AE187" i="3"/>
  <c r="AG187" i="3"/>
  <c r="AH189" i="3"/>
  <c r="AM189" i="3"/>
  <c r="AC189" i="3"/>
  <c r="N189" i="3"/>
  <c r="X189" i="3"/>
  <c r="I189" i="3"/>
  <c r="S189" i="3"/>
  <c r="Q187" i="3"/>
  <c r="AA187" i="3"/>
  <c r="V187" i="3"/>
  <c r="AK187" i="3"/>
  <c r="AN187" i="3"/>
  <c r="G187" i="3"/>
  <c r="AF187" i="3"/>
  <c r="C189" i="3"/>
  <c r="D189" i="3"/>
  <c r="AB188" i="3" l="1"/>
  <c r="Z188" i="3"/>
  <c r="B194" i="3"/>
  <c r="AQ187" i="3"/>
  <c r="AR187" i="3" s="1"/>
  <c r="AI189" i="3"/>
  <c r="Y189" i="3"/>
  <c r="T189" i="3"/>
  <c r="AD189" i="3"/>
  <c r="E189" i="3"/>
  <c r="H189" i="3" s="1"/>
  <c r="O189" i="3"/>
  <c r="J189" i="3"/>
  <c r="L189" i="3" s="1"/>
  <c r="AO189" i="3"/>
  <c r="F188" i="3"/>
  <c r="AL188" i="3"/>
  <c r="AJ188" i="3"/>
  <c r="R188" i="3"/>
  <c r="P188" i="3"/>
  <c r="W188" i="3"/>
  <c r="U188" i="3"/>
  <c r="K188" i="3"/>
  <c r="M188" i="3"/>
  <c r="L188" i="3"/>
  <c r="AG188" i="3"/>
  <c r="AE188" i="3"/>
  <c r="AM190" i="3"/>
  <c r="AH190" i="3"/>
  <c r="X190" i="3"/>
  <c r="S190" i="3"/>
  <c r="AC190" i="3"/>
  <c r="N190" i="3"/>
  <c r="I190" i="3"/>
  <c r="G188" i="3"/>
  <c r="AN188" i="3"/>
  <c r="V188" i="3"/>
  <c r="Q188" i="3"/>
  <c r="AK188" i="3"/>
  <c r="AA188" i="3"/>
  <c r="AF188" i="3"/>
  <c r="D190" i="3"/>
  <c r="C190" i="3"/>
  <c r="AB189" i="3" l="1"/>
  <c r="Z189" i="3"/>
  <c r="B195" i="3"/>
  <c r="AQ188" i="3"/>
  <c r="AR188" i="3" s="1"/>
  <c r="AI190" i="3"/>
  <c r="AD190" i="3"/>
  <c r="Y190" i="3"/>
  <c r="O190" i="3"/>
  <c r="T190" i="3"/>
  <c r="E190" i="3"/>
  <c r="H190" i="3" s="1"/>
  <c r="J190" i="3"/>
  <c r="L190" i="3" s="1"/>
  <c r="AE189" i="3"/>
  <c r="AG189" i="3"/>
  <c r="M189" i="3"/>
  <c r="K189" i="3"/>
  <c r="U189" i="3"/>
  <c r="W189" i="3"/>
  <c r="F189" i="3"/>
  <c r="AO190" i="3"/>
  <c r="R189" i="3"/>
  <c r="P189" i="3"/>
  <c r="AL189" i="3"/>
  <c r="AJ189" i="3"/>
  <c r="AM191" i="3"/>
  <c r="AH191" i="3"/>
  <c r="AC191" i="3"/>
  <c r="X191" i="3"/>
  <c r="S191" i="3"/>
  <c r="N191" i="3"/>
  <c r="I191" i="3"/>
  <c r="Q189" i="3"/>
  <c r="G189" i="3"/>
  <c r="AN189" i="3"/>
  <c r="AF189" i="3"/>
  <c r="AA189" i="3"/>
  <c r="V189" i="3"/>
  <c r="AK189" i="3"/>
  <c r="C191" i="3"/>
  <c r="D191" i="3"/>
  <c r="AB190" i="3" l="1"/>
  <c r="Z190" i="3"/>
  <c r="B196" i="3"/>
  <c r="AQ189" i="3"/>
  <c r="AR189" i="3" s="1"/>
  <c r="AO191" i="3"/>
  <c r="AD191" i="3"/>
  <c r="AI191" i="3"/>
  <c r="J191" i="3"/>
  <c r="L191" i="3" s="1"/>
  <c r="O191" i="3"/>
  <c r="E191" i="3"/>
  <c r="H191" i="3" s="1"/>
  <c r="T191" i="3"/>
  <c r="Y191" i="3"/>
  <c r="R190" i="3"/>
  <c r="P190" i="3"/>
  <c r="M190" i="3"/>
  <c r="K190" i="3"/>
  <c r="F190" i="3"/>
  <c r="AE190" i="3"/>
  <c r="AG190" i="3"/>
  <c r="U190" i="3"/>
  <c r="W190" i="3"/>
  <c r="AJ190" i="3"/>
  <c r="AL190" i="3"/>
  <c r="AM192" i="3"/>
  <c r="AH192" i="3"/>
  <c r="AC192" i="3"/>
  <c r="X192" i="3"/>
  <c r="I192" i="3"/>
  <c r="S192" i="3"/>
  <c r="N192" i="3"/>
  <c r="AF190" i="3"/>
  <c r="AK190" i="3"/>
  <c r="V190" i="3"/>
  <c r="Q190" i="3"/>
  <c r="AN190" i="3"/>
  <c r="G190" i="3"/>
  <c r="AA190" i="3"/>
  <c r="D192" i="3"/>
  <c r="C192" i="3"/>
  <c r="AB191" i="3" l="1"/>
  <c r="Z191" i="3"/>
  <c r="B197" i="3"/>
  <c r="AQ190" i="3"/>
  <c r="AR190" i="3" s="1"/>
  <c r="AO192" i="3"/>
  <c r="AL191" i="3"/>
  <c r="AJ191" i="3"/>
  <c r="F191" i="3"/>
  <c r="AE191" i="3"/>
  <c r="AG191" i="3"/>
  <c r="R191" i="3"/>
  <c r="P191" i="3"/>
  <c r="U191" i="3"/>
  <c r="W191" i="3"/>
  <c r="T192" i="3"/>
  <c r="AD192" i="3"/>
  <c r="AI192" i="3"/>
  <c r="J192" i="3"/>
  <c r="O192" i="3"/>
  <c r="E192" i="3"/>
  <c r="H192" i="3" s="1"/>
  <c r="Y192" i="3"/>
  <c r="K191" i="3"/>
  <c r="M191" i="3"/>
  <c r="AH193" i="3"/>
  <c r="AM193" i="3"/>
  <c r="AC193" i="3"/>
  <c r="N193" i="3"/>
  <c r="I193" i="3"/>
  <c r="X193" i="3"/>
  <c r="S193" i="3"/>
  <c r="V191" i="3"/>
  <c r="AF191" i="3"/>
  <c r="Q191" i="3"/>
  <c r="AK191" i="3"/>
  <c r="G191" i="3"/>
  <c r="AN191" i="3"/>
  <c r="AA191" i="3"/>
  <c r="C193" i="3"/>
  <c r="D193" i="3"/>
  <c r="AB192" i="3" l="1"/>
  <c r="Z192" i="3"/>
  <c r="B198" i="3"/>
  <c r="AQ191" i="3"/>
  <c r="AR191" i="3" s="1"/>
  <c r="AO193" i="3"/>
  <c r="R192" i="3"/>
  <c r="P192" i="3"/>
  <c r="W192" i="3"/>
  <c r="U192" i="3"/>
  <c r="M192" i="3"/>
  <c r="K192" i="3"/>
  <c r="L192" i="3"/>
  <c r="AI193" i="3"/>
  <c r="Y193" i="3"/>
  <c r="T193" i="3"/>
  <c r="J193" i="3"/>
  <c r="AD193" i="3"/>
  <c r="O193" i="3"/>
  <c r="E193" i="3"/>
  <c r="H193" i="3" s="1"/>
  <c r="AL192" i="3"/>
  <c r="AJ192" i="3"/>
  <c r="F192" i="3"/>
  <c r="AG192" i="3"/>
  <c r="AE192" i="3"/>
  <c r="AM194" i="3"/>
  <c r="AH194" i="3"/>
  <c r="X194" i="3"/>
  <c r="S194" i="3"/>
  <c r="N194" i="3"/>
  <c r="AC194" i="3"/>
  <c r="I194" i="3"/>
  <c r="AK192" i="3"/>
  <c r="V192" i="3"/>
  <c r="G192" i="3"/>
  <c r="AN192" i="3"/>
  <c r="AA192" i="3"/>
  <c r="Q192" i="3"/>
  <c r="AF192" i="3"/>
  <c r="C194" i="3"/>
  <c r="D194" i="3"/>
  <c r="AB193" i="3" l="1"/>
  <c r="Z193" i="3"/>
  <c r="B199" i="3"/>
  <c r="AQ192" i="3"/>
  <c r="AR192" i="3" s="1"/>
  <c r="AO194" i="3"/>
  <c r="AI194" i="3"/>
  <c r="Y194" i="3"/>
  <c r="T194" i="3"/>
  <c r="O194" i="3"/>
  <c r="E194" i="3"/>
  <c r="H194" i="3" s="1"/>
  <c r="J194" i="3"/>
  <c r="AD194" i="3"/>
  <c r="F193" i="3"/>
  <c r="U193" i="3"/>
  <c r="W193" i="3"/>
  <c r="R193" i="3"/>
  <c r="P193" i="3"/>
  <c r="AE193" i="3"/>
  <c r="AG193" i="3"/>
  <c r="AL193" i="3"/>
  <c r="AJ193" i="3"/>
  <c r="M193" i="3"/>
  <c r="K193" i="3"/>
  <c r="L193" i="3"/>
  <c r="AM195" i="3"/>
  <c r="AH195" i="3"/>
  <c r="AC195" i="3"/>
  <c r="X195" i="3"/>
  <c r="S195" i="3"/>
  <c r="N195" i="3"/>
  <c r="I195" i="3"/>
  <c r="V193" i="3"/>
  <c r="AF193" i="3"/>
  <c r="AN193" i="3"/>
  <c r="G193" i="3"/>
  <c r="AA193" i="3"/>
  <c r="Q193" i="3"/>
  <c r="AK193" i="3"/>
  <c r="D195" i="3"/>
  <c r="C195" i="3"/>
  <c r="AB194" i="3" l="1"/>
  <c r="Z194" i="3"/>
  <c r="B200" i="3"/>
  <c r="B201" i="3"/>
  <c r="AQ193" i="3"/>
  <c r="AR193" i="3" s="1"/>
  <c r="AO195" i="3"/>
  <c r="AD195" i="3"/>
  <c r="AI195" i="3"/>
  <c r="Y195" i="3"/>
  <c r="J195" i="3"/>
  <c r="L195" i="3" s="1"/>
  <c r="T195" i="3"/>
  <c r="O195" i="3"/>
  <c r="E195" i="3"/>
  <c r="H195" i="3" s="1"/>
  <c r="AE194" i="3"/>
  <c r="AG194" i="3"/>
  <c r="U194" i="3"/>
  <c r="W194" i="3"/>
  <c r="K194" i="3"/>
  <c r="M194" i="3"/>
  <c r="AJ194" i="3"/>
  <c r="AL194" i="3"/>
  <c r="F194" i="3"/>
  <c r="L194" i="3"/>
  <c r="R194" i="3"/>
  <c r="P194" i="3"/>
  <c r="AM196" i="3"/>
  <c r="AH196" i="3"/>
  <c r="AC196" i="3"/>
  <c r="X196" i="3"/>
  <c r="I196" i="3"/>
  <c r="S196" i="3"/>
  <c r="N196" i="3"/>
  <c r="Q194" i="3"/>
  <c r="AK194" i="3"/>
  <c r="V194" i="3"/>
  <c r="AN194" i="3"/>
  <c r="G194" i="3"/>
  <c r="AA194" i="3"/>
  <c r="AF194" i="3"/>
  <c r="D196" i="3"/>
  <c r="C196" i="3"/>
  <c r="AB195" i="3" l="1"/>
  <c r="Z195" i="3"/>
  <c r="AQ194" i="3"/>
  <c r="AR194" i="3" s="1"/>
  <c r="F195" i="3"/>
  <c r="AO196" i="3"/>
  <c r="R195" i="3"/>
  <c r="P195" i="3"/>
  <c r="AL195" i="3"/>
  <c r="AJ195" i="3"/>
  <c r="AD196" i="3"/>
  <c r="T196" i="3"/>
  <c r="AI196" i="3"/>
  <c r="Y196" i="3"/>
  <c r="J196" i="3"/>
  <c r="L196" i="3" s="1"/>
  <c r="O196" i="3"/>
  <c r="E196" i="3"/>
  <c r="H196" i="3" s="1"/>
  <c r="U195" i="3"/>
  <c r="W195" i="3"/>
  <c r="AE195" i="3"/>
  <c r="AG195" i="3"/>
  <c r="K195" i="3"/>
  <c r="M195" i="3"/>
  <c r="AH197" i="3"/>
  <c r="AM197" i="3"/>
  <c r="AC197" i="3"/>
  <c r="N197" i="3"/>
  <c r="I197" i="3"/>
  <c r="X197" i="3"/>
  <c r="S197" i="3"/>
  <c r="AF195" i="3"/>
  <c r="AA195" i="3"/>
  <c r="AN195" i="3"/>
  <c r="G195" i="3"/>
  <c r="Q195" i="3"/>
  <c r="V195" i="3"/>
  <c r="AK195" i="3"/>
  <c r="C197" i="3"/>
  <c r="D197" i="3"/>
  <c r="AB196" i="3" l="1"/>
  <c r="Z196" i="3"/>
  <c r="AQ195" i="3"/>
  <c r="AR195" i="3" s="1"/>
  <c r="AI197" i="3"/>
  <c r="Y197" i="3"/>
  <c r="AD197" i="3"/>
  <c r="T197" i="3"/>
  <c r="O197" i="3"/>
  <c r="J197" i="3"/>
  <c r="L197" i="3" s="1"/>
  <c r="E197" i="3"/>
  <c r="H197" i="3" s="1"/>
  <c r="AO197" i="3"/>
  <c r="F196" i="3"/>
  <c r="AL196" i="3"/>
  <c r="AJ196" i="3"/>
  <c r="R196" i="3"/>
  <c r="P196" i="3"/>
  <c r="W196" i="3"/>
  <c r="U196" i="3"/>
  <c r="M196" i="3"/>
  <c r="K196" i="3"/>
  <c r="AG196" i="3"/>
  <c r="AE196" i="3"/>
  <c r="AM198" i="3"/>
  <c r="AH198" i="3"/>
  <c r="X198" i="3"/>
  <c r="S198" i="3"/>
  <c r="N198" i="3"/>
  <c r="AC198" i="3"/>
  <c r="I198" i="3"/>
  <c r="AA196" i="3"/>
  <c r="AF196" i="3"/>
  <c r="G196" i="3"/>
  <c r="AN196" i="3"/>
  <c r="Q196" i="3"/>
  <c r="AK196" i="3"/>
  <c r="V196" i="3"/>
  <c r="D198" i="3"/>
  <c r="C198" i="3"/>
  <c r="AB197" i="3" l="1"/>
  <c r="Z197" i="3"/>
  <c r="AQ196" i="3"/>
  <c r="AR196" i="3" s="1"/>
  <c r="F197" i="3"/>
  <c r="AE197" i="3"/>
  <c r="AG197" i="3"/>
  <c r="U197" i="3"/>
  <c r="W197" i="3"/>
  <c r="AI198" i="3"/>
  <c r="AD198" i="3"/>
  <c r="O198" i="3"/>
  <c r="Y198" i="3"/>
  <c r="T198" i="3"/>
  <c r="J198" i="3"/>
  <c r="E198" i="3"/>
  <c r="H198" i="3" s="1"/>
  <c r="M197" i="3"/>
  <c r="K197" i="3"/>
  <c r="AO198" i="3"/>
  <c r="R197" i="3"/>
  <c r="P197" i="3"/>
  <c r="AL197" i="3"/>
  <c r="AJ197" i="3"/>
  <c r="AM199" i="3"/>
  <c r="AH199" i="3"/>
  <c r="AC199" i="3"/>
  <c r="X199" i="3"/>
  <c r="S199" i="3"/>
  <c r="N199" i="3"/>
  <c r="I199" i="3"/>
  <c r="Q197" i="3"/>
  <c r="V197" i="3"/>
  <c r="AA197" i="3"/>
  <c r="G197" i="3"/>
  <c r="AN197" i="3"/>
  <c r="AF197" i="3"/>
  <c r="AK197" i="3"/>
  <c r="D199" i="3"/>
  <c r="C199" i="3"/>
  <c r="AB198" i="3" l="1"/>
  <c r="Z198" i="3"/>
  <c r="AQ197" i="3"/>
  <c r="AR197" i="3" s="1"/>
  <c r="U198" i="3"/>
  <c r="W198" i="3"/>
  <c r="AL198" i="3"/>
  <c r="AJ198" i="3"/>
  <c r="F198" i="3"/>
  <c r="P198" i="3"/>
  <c r="R198" i="3"/>
  <c r="AD199" i="3"/>
  <c r="Y199" i="3"/>
  <c r="J199" i="3"/>
  <c r="O199" i="3"/>
  <c r="E199" i="3"/>
  <c r="H199" i="3" s="1"/>
  <c r="AI199" i="3"/>
  <c r="T199" i="3"/>
  <c r="AO199" i="3"/>
  <c r="M198" i="3"/>
  <c r="K198" i="3"/>
  <c r="AE198" i="3"/>
  <c r="AG198" i="3"/>
  <c r="L198" i="3"/>
  <c r="AM200" i="3"/>
  <c r="AH200" i="3"/>
  <c r="AC200" i="3"/>
  <c r="X200" i="3"/>
  <c r="I200" i="3"/>
  <c r="S200" i="3"/>
  <c r="N200" i="3"/>
  <c r="G198" i="3"/>
  <c r="AN198" i="3"/>
  <c r="V198" i="3"/>
  <c r="AF198" i="3"/>
  <c r="AK198" i="3"/>
  <c r="AA198" i="3"/>
  <c r="Q198" i="3"/>
  <c r="D200" i="3"/>
  <c r="C200" i="3"/>
  <c r="AB199" i="3" l="1"/>
  <c r="Z199" i="3"/>
  <c r="AQ198" i="3"/>
  <c r="AR198" i="3" s="1"/>
  <c r="AO200" i="3"/>
  <c r="AL199" i="3"/>
  <c r="AJ199" i="3"/>
  <c r="U199" i="3"/>
  <c r="W199" i="3"/>
  <c r="T200" i="3"/>
  <c r="Y200" i="3"/>
  <c r="AD200" i="3"/>
  <c r="J200" i="3"/>
  <c r="L200" i="3" s="1"/>
  <c r="E200" i="3"/>
  <c r="H200" i="3" s="1"/>
  <c r="AI200" i="3"/>
  <c r="O200" i="3"/>
  <c r="F199" i="3"/>
  <c r="AE199" i="3"/>
  <c r="AG199" i="3"/>
  <c r="P199" i="3"/>
  <c r="R199" i="3"/>
  <c r="M199" i="3"/>
  <c r="K199" i="3"/>
  <c r="L199" i="3"/>
  <c r="AM201" i="3"/>
  <c r="AH201" i="3"/>
  <c r="AC201" i="3"/>
  <c r="X201" i="3"/>
  <c r="N201" i="3"/>
  <c r="I201" i="3"/>
  <c r="S201" i="3"/>
  <c r="Q199" i="3"/>
  <c r="AA199" i="3"/>
  <c r="V199" i="3"/>
  <c r="AK199" i="3"/>
  <c r="G199" i="3"/>
  <c r="AN199" i="3"/>
  <c r="AF199" i="3"/>
  <c r="C201" i="3"/>
  <c r="D201" i="3"/>
  <c r="L8" i="3"/>
  <c r="G8" i="3"/>
  <c r="AB200" i="3" l="1"/>
  <c r="Z200" i="3"/>
  <c r="AQ199" i="3"/>
  <c r="AR199" i="3" s="1"/>
  <c r="AO201" i="3"/>
  <c r="AG200" i="3"/>
  <c r="AE200" i="3"/>
  <c r="AL200" i="3"/>
  <c r="AJ200" i="3"/>
  <c r="F200" i="3"/>
  <c r="W200" i="3"/>
  <c r="U200" i="3"/>
  <c r="AI201" i="3"/>
  <c r="Y201" i="3"/>
  <c r="AD201" i="3"/>
  <c r="T201" i="3"/>
  <c r="J201" i="3"/>
  <c r="L201" i="3" s="1"/>
  <c r="E201" i="3"/>
  <c r="H201" i="3" s="1"/>
  <c r="O201" i="3"/>
  <c r="M200" i="3"/>
  <c r="K200" i="3"/>
  <c r="R200" i="3"/>
  <c r="P200" i="3"/>
  <c r="AA200" i="3"/>
  <c r="Q200" i="3"/>
  <c r="AK200" i="3"/>
  <c r="AF200" i="3"/>
  <c r="AN200" i="3"/>
  <c r="G200" i="3"/>
  <c r="V200" i="3"/>
  <c r="AB201" i="3" l="1"/>
  <c r="Z201" i="3"/>
  <c r="AQ200" i="3"/>
  <c r="AR200" i="3" s="1"/>
  <c r="F201" i="3"/>
  <c r="AL201" i="3"/>
  <c r="AJ201" i="3"/>
  <c r="M201" i="3"/>
  <c r="K201" i="3"/>
  <c r="U201" i="3"/>
  <c r="W201" i="3"/>
  <c r="R201" i="3"/>
  <c r="P201" i="3"/>
  <c r="AE201" i="3"/>
  <c r="AG201" i="3"/>
  <c r="Q201" i="3"/>
  <c r="AA201" i="3"/>
  <c r="G201" i="3"/>
  <c r="AN201" i="3"/>
  <c r="AK201" i="3"/>
  <c r="V201" i="3"/>
  <c r="AF201" i="3"/>
  <c r="V8" i="3"/>
  <c r="AQ201" i="3" l="1"/>
  <c r="AR201" i="3" s="1"/>
  <c r="AO8" i="3"/>
  <c r="Q8" i="3"/>
  <c r="AR8" i="3"/>
</calcChain>
</file>

<file path=xl/sharedStrings.xml><?xml version="1.0" encoding="utf-8"?>
<sst xmlns="http://schemas.openxmlformats.org/spreadsheetml/2006/main" count="437" uniqueCount="237">
  <si>
    <t>Date</t>
  </si>
  <si>
    <t>Badge Number</t>
  </si>
  <si>
    <t>Daily Total Hours</t>
  </si>
  <si>
    <t>Clock In 1</t>
  </si>
  <si>
    <t>Clock In 2</t>
  </si>
  <si>
    <t>Clock Out 2</t>
  </si>
  <si>
    <t>Clock Out 1</t>
  </si>
  <si>
    <t>Paste Vanquish Report in A1</t>
  </si>
  <si>
    <t>Break</t>
  </si>
  <si>
    <t>Total Hours Calculated</t>
  </si>
  <si>
    <t>Break Deducted</t>
  </si>
  <si>
    <t>Total Paid Hours</t>
  </si>
  <si>
    <t>Name</t>
  </si>
  <si>
    <t>Monther Aldalal</t>
  </si>
  <si>
    <t>IVANETE SANTOS</t>
  </si>
  <si>
    <t xml:space="preserve">Overtime Predictor </t>
  </si>
  <si>
    <t>Week Starting:</t>
  </si>
  <si>
    <t>Week Ending:</t>
  </si>
  <si>
    <t>Mon</t>
  </si>
  <si>
    <t>Tue</t>
  </si>
  <si>
    <t>Wed</t>
  </si>
  <si>
    <t>Thu</t>
  </si>
  <si>
    <t>Fri</t>
  </si>
  <si>
    <t>Sat</t>
  </si>
  <si>
    <t>Sun</t>
  </si>
  <si>
    <t>Total</t>
  </si>
  <si>
    <t>Xtra</t>
  </si>
  <si>
    <t>Schedule</t>
  </si>
  <si>
    <t>Mon - Thu @ 10.5</t>
  </si>
  <si>
    <t>Tue - Thu @ 8.5</t>
  </si>
  <si>
    <t>Scheduled Shifts</t>
  </si>
  <si>
    <t>Wed - Sat @ 9.5</t>
  </si>
  <si>
    <t>Friday - Wed @ 7</t>
  </si>
  <si>
    <t>Sat - Sun @ 12</t>
  </si>
  <si>
    <t>Sch-Hrs</t>
  </si>
  <si>
    <t>Wrk-Hrs</t>
  </si>
  <si>
    <t>Scheduled Hours</t>
  </si>
  <si>
    <t>Predicted Hours</t>
  </si>
  <si>
    <t>Actual Current Hours</t>
  </si>
  <si>
    <t>Overtime Prediction</t>
  </si>
  <si>
    <t>Future Hours</t>
  </si>
  <si>
    <t>Standard Shift Length</t>
  </si>
  <si>
    <t>MICHELLE DOUGHTY</t>
  </si>
  <si>
    <t>OTHER STAFF</t>
  </si>
  <si>
    <t>TOMASZ WOJCIK</t>
  </si>
  <si>
    <t>ASSISTANT SUPERVISORS</t>
  </si>
  <si>
    <t>LASZLO SZAKOS</t>
  </si>
  <si>
    <t>QC &amp; TECHNICAL</t>
  </si>
  <si>
    <t>ERIKA ORSOS</t>
  </si>
  <si>
    <t>PREP B</t>
  </si>
  <si>
    <t>RENATA VOJAK</t>
  </si>
  <si>
    <t>ANITA ROPOLI</t>
  </si>
  <si>
    <t>SEAL &amp; SEND</t>
  </si>
  <si>
    <t>MICHAL KUKURUK</t>
  </si>
  <si>
    <t>HYGIENE</t>
  </si>
  <si>
    <t>MUHAMMAD FAISAL JAVED</t>
  </si>
  <si>
    <t>ASSISTANT SUPERVISOR B</t>
  </si>
  <si>
    <t>AGNES GORSKI</t>
  </si>
  <si>
    <t>ALDRUTE VIRBULE</t>
  </si>
  <si>
    <t>KAMILA DZUGAJ</t>
  </si>
  <si>
    <t>ANDRZEJ KRZYZYNSKI</t>
  </si>
  <si>
    <t>EWELINA KRZYZYNKSA (SKIBA)</t>
  </si>
  <si>
    <t>WAYNE HAYES</t>
  </si>
  <si>
    <t>DESPATCH</t>
  </si>
  <si>
    <t>PIOTR LANDOWSKI</t>
  </si>
  <si>
    <t>MARIN DUMA</t>
  </si>
  <si>
    <t>ROMICA COMSA</t>
  </si>
  <si>
    <t>MARCIN ROGAWSKI</t>
  </si>
  <si>
    <t>HYGIENE B</t>
  </si>
  <si>
    <t>NICOLETA LABONTU (COZMA)</t>
  </si>
  <si>
    <t>CHARGRILL</t>
  </si>
  <si>
    <t>MARIUS-CONSTANTIN LABONTU</t>
  </si>
  <si>
    <t>ISTVAN-SZILARD BALAZS</t>
  </si>
  <si>
    <t>FRANK KOJO SAGOE</t>
  </si>
  <si>
    <t>ALLAN STEFAN GUNDY</t>
  </si>
  <si>
    <t>ANDREI SENDREA</t>
  </si>
  <si>
    <t>HIGH RISK PACKING</t>
  </si>
  <si>
    <t>BARTLOMIEJ KOSICKI</t>
  </si>
  <si>
    <t>HALINA CIBOROWSKA</t>
  </si>
  <si>
    <t>JERZY CIBOROWSKI</t>
  </si>
  <si>
    <t>IULIAN RUSU</t>
  </si>
  <si>
    <t>ZANETA HENZEL</t>
  </si>
  <si>
    <t xml:space="preserve">TATIANA COMAN (LEFTER) </t>
  </si>
  <si>
    <t>ROXANA OSTAFE</t>
  </si>
  <si>
    <t>STEFAN-EMIL PURNICHI</t>
  </si>
  <si>
    <t>ROASTING</t>
  </si>
  <si>
    <t>LAURENTIU PADURARIU</t>
  </si>
  <si>
    <t>LARISA-FLORENTINA MANDIUC</t>
  </si>
  <si>
    <t>CONSTANTIN MARCEL COJOCARU</t>
  </si>
  <si>
    <t>BLANCHING</t>
  </si>
  <si>
    <t>EWELINA TERESA KAMYCZEK</t>
  </si>
  <si>
    <t>MUHAMMAD WAQUAS</t>
  </si>
  <si>
    <t>GEORGE CONSTANTIN STANCIULESCU</t>
  </si>
  <si>
    <t>GOODS IN B</t>
  </si>
  <si>
    <t>IONUT-MARIAN IRIMIA</t>
  </si>
  <si>
    <t>VEACESLAV GAIVAS</t>
  </si>
  <si>
    <t>CONSTANTIN -FLORIN CODREANU</t>
  </si>
  <si>
    <t>HIGH CARE RAW B</t>
  </si>
  <si>
    <t>ANGELICA CARMEN ARSENE</t>
  </si>
  <si>
    <t>DESMOND ALLEN</t>
  </si>
  <si>
    <t>FLOOR TEAM-HIGH RISK COOKING</t>
  </si>
  <si>
    <t>DANIELA-ELENA DRINGA</t>
  </si>
  <si>
    <t>MARTA GLODZ</t>
  </si>
  <si>
    <t>IONUT ALEXANDRU VASILE</t>
  </si>
  <si>
    <t>ANDREEA-ADELINA DOBRA</t>
  </si>
  <si>
    <t>MARCIN PIOTR HOC</t>
  </si>
  <si>
    <t>MAREK LEWKOWICZ</t>
  </si>
  <si>
    <t>MEDIUM CARE B</t>
  </si>
  <si>
    <t>FLORIN-ADRIAN IUSTIUC</t>
  </si>
  <si>
    <t>DELCHE BUROVSKI</t>
  </si>
  <si>
    <t>ANDRIAN COJOCARI</t>
  </si>
  <si>
    <t>LAURENTIU DURDUN</t>
  </si>
  <si>
    <t>LUIZA-ANDREEA CAZACU</t>
  </si>
  <si>
    <t>CONSTANTIN-CATALIN CALDARARIU</t>
  </si>
  <si>
    <t>ROXANA-PATRISIA ROTARIU</t>
  </si>
  <si>
    <t>STEFAN DANUT ROTARIU</t>
  </si>
  <si>
    <t>GOODS IN</t>
  </si>
  <si>
    <t>DIMITAR TODORANOV</t>
  </si>
  <si>
    <t>VICTOR GEGEA</t>
  </si>
  <si>
    <t>CRISTIAN BILERU</t>
  </si>
  <si>
    <t>ANA-MARIA STAVIAN</t>
  </si>
  <si>
    <t>FLORIN-DANIEL MIHAI</t>
  </si>
  <si>
    <t>COSTEL JAJITA</t>
  </si>
  <si>
    <t>ANDREI-STEFAN MORUZ</t>
  </si>
  <si>
    <t>CONSTANTIN EUGEN VLADOI</t>
  </si>
  <si>
    <t>ANDREI-CRISTIAN TARNAUCEANU</t>
  </si>
  <si>
    <t>VIKTOR KEGAJ</t>
  </si>
  <si>
    <t>RAFAL KRZYSZTOF MISZTAL</t>
  </si>
  <si>
    <t>EMILS CIMINS</t>
  </si>
  <si>
    <t>ALEXANDRU-IONUT SURMEI</t>
  </si>
  <si>
    <t>ELENA HIRS</t>
  </si>
  <si>
    <t>YOAN PENKOV</t>
  </si>
  <si>
    <t>MICHAEL SUNDERLAND</t>
  </si>
  <si>
    <t>AARON THEO NASH</t>
  </si>
  <si>
    <t>MUHAMMAD WASEEM</t>
  </si>
  <si>
    <t>MEDIUM CARE</t>
  </si>
  <si>
    <t>GALIN TSANKOV STOYANOV</t>
  </si>
  <si>
    <t>ELENA-CRISTINA DIACONESCU</t>
  </si>
  <si>
    <t>KARIM KHAN</t>
  </si>
  <si>
    <t>SANDRA-LARISA BARNA</t>
  </si>
  <si>
    <t>DANIELA CAZACU</t>
  </si>
  <si>
    <t>GABRIELA STANCIULESCU</t>
  </si>
  <si>
    <t>GEORGE VASILE BRADIN</t>
  </si>
  <si>
    <t>DANIEL RASHKOV ASENOV</t>
  </si>
  <si>
    <t>ELLA BULAH</t>
  </si>
  <si>
    <t>ANURA RANITH FERNANDO LIYANAGE</t>
  </si>
  <si>
    <t>DOMENICO ROMANO</t>
  </si>
  <si>
    <t>CONSTANTI CRISTIAN BORONTIS</t>
  </si>
  <si>
    <t>TATIANA-GABRIELA PALAMARIU</t>
  </si>
  <si>
    <t>CONSTANTIN MADALIN ZLATARU</t>
  </si>
  <si>
    <t>TINKA KOSTADINOVA ASENOVA</t>
  </si>
  <si>
    <t>DIANA MAYALGESA FAUR</t>
  </si>
  <si>
    <t>CRISTIAN SABIN URS</t>
  </si>
  <si>
    <t>LAURA ANDREEA SAUCA</t>
  </si>
  <si>
    <t>MIREL ANDREI MOISA</t>
  </si>
  <si>
    <t>GABRIEL CALDARARIU</t>
  </si>
  <si>
    <t>RAYMOND MOLNAR</t>
  </si>
  <si>
    <t>PETRISOR ZALINSCHI</t>
  </si>
  <si>
    <t>FLORIN CLAUDIU CIOBANEL</t>
  </si>
  <si>
    <t>MIOARA ELENA PETRESCU</t>
  </si>
  <si>
    <t>SAMANTHA REEVE</t>
  </si>
  <si>
    <t>JAMES MUCHEN MA</t>
  </si>
  <si>
    <t>JAKUB TRZCINSKI</t>
  </si>
  <si>
    <t>DORINA LEFTER</t>
  </si>
  <si>
    <t>GEORGE EPURE</t>
  </si>
  <si>
    <t>FERENC BALOGH</t>
  </si>
  <si>
    <t>IONEL NICOLAE</t>
  </si>
  <si>
    <t>MOHAMMAD RAFIQ</t>
  </si>
  <si>
    <t>ANTONY LEWIS LAING</t>
  </si>
  <si>
    <t>NELIA ALEXANDRA BUIAC</t>
  </si>
  <si>
    <t>VIORICA PIRJOL</t>
  </si>
  <si>
    <t>PETRO CAUSHI</t>
  </si>
  <si>
    <t>ENTRIT RETZEPAI</t>
  </si>
  <si>
    <t>RADOSLAW ROBERT SIKORSKI</t>
  </si>
  <si>
    <t>CHEORGHE DANUT CAZACU</t>
  </si>
  <si>
    <t>MAGDALENA CIULEJA</t>
  </si>
  <si>
    <t>AIDA BUDAC</t>
  </si>
  <si>
    <t>NESAR MUSTAID</t>
  </si>
  <si>
    <t>GIANI NELU FLOCA</t>
  </si>
  <si>
    <t>ANETA MARIA OSIP</t>
  </si>
  <si>
    <t>MILLIE ELIZA BELL</t>
  </si>
  <si>
    <t>SEBASTIAN DUMITRU PALAMARIU</t>
  </si>
  <si>
    <t>CRISTINA OSTAFE</t>
  </si>
  <si>
    <t>ROBEL LAGADA</t>
  </si>
  <si>
    <t>NEONILA FAIKUN</t>
  </si>
  <si>
    <t>JOSHUA THEO KIMUYU</t>
  </si>
  <si>
    <t>MOHAMED EL MEHEDHEBI</t>
  </si>
  <si>
    <t>MIHAI MARIUS CRIHAN</t>
  </si>
  <si>
    <t>COSMIN FLORIAN OANCEA</t>
  </si>
  <si>
    <t>LIAM CORBALLY</t>
  </si>
  <si>
    <t>CAMRON GILMAN</t>
  </si>
  <si>
    <t>COURTNEY KIMUYU</t>
  </si>
  <si>
    <t>JESSE CURRIE</t>
  </si>
  <si>
    <t>EMILIAN WILK</t>
  </si>
  <si>
    <t>ROBERT MURDOCK</t>
  </si>
  <si>
    <t>MARIUS BOGDAN RAFALSKI</t>
  </si>
  <si>
    <t>GHEORGHITA FLOREA</t>
  </si>
  <si>
    <t>FRANK IZEVBOKUN IZEVBOKUN</t>
  </si>
  <si>
    <t>ADRIAN CODREANU</t>
  </si>
  <si>
    <t>ROBERT STASZEWSKI</t>
  </si>
  <si>
    <t>FLORINA SIMONA CHIUARU</t>
  </si>
  <si>
    <t>SAMIN KARIMI</t>
  </si>
  <si>
    <t>HERDI AHMED</t>
  </si>
  <si>
    <t>LIAM JAMES BRENNAN</t>
  </si>
  <si>
    <t>SIMONA FLORENTINA COMSA</t>
  </si>
  <si>
    <t>PIUS ONUOHA DAVID</t>
  </si>
  <si>
    <t>ALINA-ELENA IRICU</t>
  </si>
  <si>
    <t>EWA SPEJNA</t>
  </si>
  <si>
    <t>MARIAN NANESCU</t>
  </si>
  <si>
    <t>PETER JOHN</t>
  </si>
  <si>
    <t>DANIELA VOICU</t>
  </si>
  <si>
    <t>ADRIAN RUSU</t>
  </si>
  <si>
    <t>MAYA SPASOVA</t>
  </si>
  <si>
    <t>OSKARS STEPINS</t>
  </si>
  <si>
    <t>UZUAZOKARO MARK MARIA AGATEMOR</t>
  </si>
  <si>
    <t>MASSA ZEIKAN SAGNIA</t>
  </si>
  <si>
    <t xml:space="preserve">AFRAN AHMED </t>
  </si>
  <si>
    <t>FLAVIUS MIHAITA CURCAN</t>
  </si>
  <si>
    <t>ANN MARIA TONY</t>
  </si>
  <si>
    <t>ASMA RAFIQUE</t>
  </si>
  <si>
    <t>BEATA HARMATI</t>
  </si>
  <si>
    <t>VIKTORAS SKULTINAS</t>
  </si>
  <si>
    <t>HASAAM HARIS ZAHEER</t>
  </si>
  <si>
    <t>ESTHER OSAYOMORE OMOREGBE</t>
  </si>
  <si>
    <t>DANUT CALIMAN</t>
  </si>
  <si>
    <t>ANIMOTU BELLO</t>
  </si>
  <si>
    <t>DIANA DRAGHICIU</t>
  </si>
  <si>
    <t>HARRY GREGG</t>
  </si>
  <si>
    <t>MOHAMED HELAL</t>
  </si>
  <si>
    <t>ELENA TONCEA</t>
  </si>
  <si>
    <t>VALENTINA TILEVA</t>
  </si>
  <si>
    <t>KIERAN MCLAREN</t>
  </si>
  <si>
    <t>LAVINIA LUIZA ADAM</t>
  </si>
  <si>
    <t>NATALIA BINCZYK</t>
  </si>
  <si>
    <t>BEN WINFIELD</t>
  </si>
  <si>
    <t>HASAN SKENDERAJ</t>
  </si>
  <si>
    <t>Department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</si>
</sst>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41414"/>
      <name val="Calibri"/>
      <family val="2"/>
      <scheme val="minor"/>
    </font>
    <font>
      <b/>
      <i/>
      <u/>
      <sz val="2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CCFF99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20" fontId="0" fillId="0" borderId="0" xfId="0" applyNumberFormat="1"/>
    <xf numFmtId="0" fontId="0" fillId="0" borderId="0" xfId="0" applyNumberFormat="1"/>
    <xf numFmtId="2" fontId="0" fillId="0" borderId="0" xfId="0" applyNumberFormat="1"/>
    <xf numFmtId="0" fontId="1" fillId="2" borderId="1" xfId="0" applyNumberFormat="1" applyFont="1" applyFill="1" applyBorder="1" applyAlignment="1">
      <alignment horizontal="center" vertical="center"/>
    </xf>
    <xf numFmtId="0" fontId="1" fillId="2" borderId="3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1" fillId="2" borderId="2" xfId="0" applyNumberFormat="1" applyFont="1" applyFill="1" applyBorder="1" applyAlignment="1">
      <alignment horizontal="center" vertical="center"/>
    </xf>
    <xf numFmtId="0" fontId="1" fillId="2" borderId="4" xfId="0" applyNumberFormat="1" applyFont="1" applyFill="1" applyBorder="1" applyAlignment="1">
      <alignment horizontal="center" vertical="center"/>
    </xf>
    <xf numFmtId="0" fontId="0" fillId="0" borderId="1" xfId="0" applyBorder="1"/>
    <xf numFmtId="0" fontId="0" fillId="2" borderId="1" xfId="0" applyFill="1" applyBorder="1"/>
    <xf numFmtId="0" fontId="0" fillId="2" borderId="6" xfId="0" applyFill="1" applyBorder="1"/>
    <xf numFmtId="0" fontId="1" fillId="2" borderId="1" xfId="0" applyNumberFormat="1" applyFont="1" applyFill="1" applyBorder="1" applyAlignment="1">
      <alignment horizontal="right"/>
    </xf>
    <xf numFmtId="0" fontId="0" fillId="0" borderId="0" xfId="0" applyNumberFormat="1" applyAlignment="1">
      <alignment horizontal="right"/>
    </xf>
    <xf numFmtId="20" fontId="1" fillId="2" borderId="1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14" fontId="3" fillId="0" borderId="0" xfId="0" applyNumberFormat="1" applyFont="1"/>
    <xf numFmtId="0" fontId="0" fillId="0" borderId="0" xfId="0" applyFill="1"/>
    <xf numFmtId="0" fontId="1" fillId="2" borderId="22" xfId="0" applyNumberFormat="1" applyFont="1" applyFill="1" applyBorder="1" applyAlignment="1">
      <alignment horizontal="center" vertical="center"/>
    </xf>
    <xf numFmtId="0" fontId="1" fillId="2" borderId="23" xfId="0" applyNumberFormat="1" applyFont="1" applyFill="1" applyBorder="1" applyAlignment="1">
      <alignment horizontal="center" vertical="center"/>
    </xf>
    <xf numFmtId="0" fontId="1" fillId="2" borderId="24" xfId="0" applyNumberFormat="1" applyFont="1" applyFill="1" applyBorder="1" applyAlignment="1">
      <alignment horizontal="center" vertical="center"/>
    </xf>
    <xf numFmtId="0" fontId="1" fillId="2" borderId="25" xfId="0" applyNumberFormat="1" applyFont="1" applyFill="1" applyBorder="1" applyAlignment="1">
      <alignment horizontal="center" vertical="center"/>
    </xf>
    <xf numFmtId="0" fontId="0" fillId="0" borderId="21" xfId="0" applyBorder="1"/>
    <xf numFmtId="2" fontId="0" fillId="0" borderId="0" xfId="0" applyNumberFormat="1" applyBorder="1"/>
    <xf numFmtId="2" fontId="0" fillId="0" borderId="1" xfId="0" applyNumberFormat="1" applyBorder="1"/>
    <xf numFmtId="0" fontId="0" fillId="0" borderId="4" xfId="0" applyBorder="1"/>
    <xf numFmtId="0" fontId="0" fillId="0" borderId="7" xfId="0" applyBorder="1"/>
    <xf numFmtId="2" fontId="0" fillId="0" borderId="8" xfId="0" applyNumberFormat="1" applyBorder="1"/>
    <xf numFmtId="2" fontId="0" fillId="0" borderId="9" xfId="0" applyNumberFormat="1" applyBorder="1"/>
    <xf numFmtId="0" fontId="0" fillId="0" borderId="10" xfId="0" applyBorder="1"/>
    <xf numFmtId="2" fontId="0" fillId="0" borderId="11" xfId="0" applyNumberFormat="1" applyBorder="1"/>
    <xf numFmtId="0" fontId="0" fillId="0" borderId="12" xfId="0" applyBorder="1"/>
    <xf numFmtId="2" fontId="0" fillId="0" borderId="13" xfId="0" applyNumberFormat="1" applyBorder="1"/>
    <xf numFmtId="2" fontId="0" fillId="0" borderId="14" xfId="0" applyNumberFormat="1" applyBorder="1"/>
    <xf numFmtId="0" fontId="0" fillId="0" borderId="26" xfId="0" applyBorder="1"/>
    <xf numFmtId="0" fontId="0" fillId="0" borderId="27" xfId="0" applyBorder="1"/>
    <xf numFmtId="2" fontId="0" fillId="0" borderId="0" xfId="0" applyNumberFormat="1" applyFont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/>
    <xf numFmtId="0" fontId="6" fillId="0" borderId="1" xfId="0" applyFont="1" applyFill="1" applyBorder="1"/>
    <xf numFmtId="0" fontId="7" fillId="0" borderId="1" xfId="0" applyFont="1" applyFill="1" applyBorder="1"/>
    <xf numFmtId="0" fontId="1" fillId="2" borderId="28" xfId="0" applyNumberFormat="1" applyFont="1" applyFill="1" applyBorder="1" applyAlignment="1">
      <alignment horizontal="center" vertical="center"/>
    </xf>
    <xf numFmtId="0" fontId="1" fillId="3" borderId="29" xfId="0" applyNumberFormat="1" applyFont="1" applyFill="1" applyBorder="1" applyAlignment="1">
      <alignment horizontal="center" vertical="center"/>
    </xf>
    <xf numFmtId="0" fontId="1" fillId="2" borderId="30" xfId="0" applyNumberFormat="1" applyFont="1" applyFill="1" applyBorder="1" applyAlignment="1">
      <alignment horizontal="center" vertical="center"/>
    </xf>
    <xf numFmtId="2" fontId="0" fillId="0" borderId="0" xfId="0" applyNumberFormat="1" applyProtection="1">
      <protection locked="0"/>
    </xf>
    <xf numFmtId="2" fontId="0" fillId="0" borderId="6" xfId="0" applyNumberFormat="1" applyBorder="1"/>
    <xf numFmtId="0" fontId="4" fillId="2" borderId="21" xfId="0" applyNumberFormat="1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center" vertical="center"/>
    </xf>
    <xf numFmtId="14" fontId="2" fillId="2" borderId="7" xfId="0" applyNumberFormat="1" applyFont="1" applyFill="1" applyBorder="1" applyAlignment="1">
      <alignment horizontal="center" vertical="center"/>
    </xf>
    <xf numFmtId="14" fontId="2" fillId="2" borderId="8" xfId="0" applyNumberFormat="1" applyFont="1" applyFill="1" applyBorder="1" applyAlignment="1">
      <alignment horizontal="center" vertical="center"/>
    </xf>
    <xf numFmtId="14" fontId="2" fillId="2" borderId="20" xfId="0" applyNumberFormat="1" applyFont="1" applyFill="1" applyBorder="1" applyAlignment="1">
      <alignment horizontal="center" vertical="center"/>
    </xf>
    <xf numFmtId="14" fontId="2" fillId="2" borderId="9" xfId="0" applyNumberFormat="1" applyFont="1" applyFill="1" applyBorder="1" applyAlignment="1">
      <alignment horizontal="center" vertical="center"/>
    </xf>
    <xf numFmtId="0" fontId="1" fillId="2" borderId="10" xfId="0" applyNumberFormat="1" applyFont="1" applyFill="1" applyBorder="1" applyAlignment="1">
      <alignment horizontal="center" vertical="center"/>
    </xf>
    <xf numFmtId="0" fontId="1" fillId="2" borderId="1" xfId="0" applyNumberFormat="1" applyFont="1" applyFill="1" applyBorder="1" applyAlignment="1">
      <alignment horizontal="center" vertical="center"/>
    </xf>
    <xf numFmtId="0" fontId="1" fillId="2" borderId="2" xfId="0" applyNumberFormat="1" applyFont="1" applyFill="1" applyBorder="1" applyAlignment="1">
      <alignment horizontal="center" vertical="center"/>
    </xf>
    <xf numFmtId="0" fontId="1" fillId="2" borderId="11" xfId="0" applyNumberFormat="1" applyFont="1" applyFill="1" applyBorder="1" applyAlignment="1">
      <alignment horizontal="center" vertical="center"/>
    </xf>
    <xf numFmtId="14" fontId="2" fillId="2" borderId="15" xfId="0" applyNumberFormat="1" applyFont="1" applyFill="1" applyBorder="1" applyAlignment="1">
      <alignment horizontal="center" vertical="center"/>
    </xf>
    <xf numFmtId="14" fontId="2" fillId="2" borderId="16" xfId="0" applyNumberFormat="1" applyFont="1" applyFill="1" applyBorder="1" applyAlignment="1">
      <alignment horizontal="center" vertical="center"/>
    </xf>
    <xf numFmtId="14" fontId="2" fillId="2" borderId="17" xfId="0" applyNumberFormat="1" applyFont="1" applyFill="1" applyBorder="1" applyAlignment="1">
      <alignment horizontal="center" vertical="center"/>
    </xf>
    <xf numFmtId="0" fontId="1" fillId="2" borderId="18" xfId="0" applyNumberFormat="1" applyFont="1" applyFill="1" applyBorder="1" applyAlignment="1">
      <alignment horizontal="center" vertical="center"/>
    </xf>
    <xf numFmtId="0" fontId="1" fillId="2" borderId="3" xfId="0" applyNumberFormat="1" applyFont="1" applyFill="1" applyBorder="1" applyAlignment="1">
      <alignment horizontal="center" vertical="center"/>
    </xf>
    <xf numFmtId="0" fontId="1" fillId="2" borderId="19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5">
    <dxf>
      <fill>
        <patternFill>
          <bgColor rgb="FFCCFF99"/>
        </patternFill>
      </fill>
    </dxf>
    <dxf>
      <fill>
        <patternFill>
          <bgColor rgb="FFFFCC66"/>
        </patternFill>
      </fill>
    </dxf>
    <dxf>
      <fill>
        <patternFill patternType="solid">
          <bgColor rgb="FFFF7C80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CCFF99"/>
      <color rgb="FFFFCC66"/>
      <color rgb="FFFFCC99"/>
      <color rgb="FFFF7C80"/>
      <color rgb="FFFF3300"/>
      <color rgb="FFFA5C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276225</xdr:colOff>
      <xdr:row>11</xdr:row>
      <xdr:rowOff>47625</xdr:rowOff>
    </xdr:from>
    <xdr:to>
      <xdr:col>21</xdr:col>
      <xdr:colOff>371475</xdr:colOff>
      <xdr:row>23</xdr:row>
      <xdr:rowOff>38100</xdr:rowOff>
    </xdr:to>
    <xdr:sp macro="[0]!ProcessData" textlink="">
      <xdr:nvSpPr>
        <xdr:cNvPr id="2" name="Rounded Rectangle 1"/>
        <xdr:cNvSpPr/>
      </xdr:nvSpPr>
      <xdr:spPr>
        <a:xfrm>
          <a:off x="9620250" y="1762125"/>
          <a:ext cx="2533650" cy="1390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200"/>
            <a:t>Process</a:t>
          </a:r>
          <a:r>
            <a:rPr lang="en-GB" sz="3200" baseline="0"/>
            <a:t> Data</a:t>
          </a:r>
          <a:endParaRPr lang="en-GB" sz="3200"/>
        </a:p>
      </xdr:txBody>
    </xdr:sp>
    <xdr:clientData/>
  </xdr:twoCellAnchor>
  <xdr:twoCellAnchor>
    <xdr:from>
      <xdr:col>17</xdr:col>
      <xdr:colOff>276225</xdr:colOff>
      <xdr:row>11</xdr:row>
      <xdr:rowOff>47625</xdr:rowOff>
    </xdr:from>
    <xdr:to>
      <xdr:col>21</xdr:col>
      <xdr:colOff>371475</xdr:colOff>
      <xdr:row>23</xdr:row>
      <xdr:rowOff>38100</xdr:rowOff>
    </xdr:to>
    <xdr:sp macro="[0]!ProcessData" textlink="">
      <xdr:nvSpPr>
        <xdr:cNvPr id="3" name="Rounded Rectangle 2"/>
        <xdr:cNvSpPr/>
      </xdr:nvSpPr>
      <xdr:spPr>
        <a:xfrm>
          <a:off x="9620250" y="1924050"/>
          <a:ext cx="2533650" cy="1390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200"/>
            <a:t>Process</a:t>
          </a:r>
          <a:r>
            <a:rPr lang="en-GB" sz="3200" baseline="0"/>
            <a:t> Data</a:t>
          </a:r>
          <a:endParaRPr lang="en-GB" sz="3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Input"/>
  <dimension ref="A1:A1252"/>
  <sheetViews>
    <sheetView workbookViewId="0">
      <selection activeCell="H30" sqref="H30"/>
    </sheetView>
  </sheetViews>
  <sheetFormatPr defaultRowHeight="15" x14ac:dyDescent="0.25"/>
  <cols>
    <col min="1" max="1" width="4.7109375" customWidth="1"/>
    <col min="2" max="2" width="9.5703125" customWidth="1"/>
    <col min="3" max="10" width="7.140625" customWidth="1"/>
    <col min="11" max="11" width="14.28515625" customWidth="1"/>
    <col min="12" max="12" width="17.7109375" customWidth="1"/>
    <col min="13" max="13" width="0.140625" customWidth="1"/>
  </cols>
  <sheetData>
    <row r="1" spans="1:1" ht="20.100000000000001" customHeight="1" x14ac:dyDescent="0.25">
      <c r="A1" t="s">
        <v>7</v>
      </c>
    </row>
    <row r="2" spans="1:1" ht="20.65" customHeight="1" x14ac:dyDescent="0.25"/>
    <row r="3" spans="1:1" ht="13.7" customHeight="1" x14ac:dyDescent="0.25"/>
    <row r="4" spans="1:1" ht="13.7" customHeight="1" x14ac:dyDescent="0.25"/>
    <row r="5" spans="1:1" ht="6.95" customHeight="1" x14ac:dyDescent="0.25"/>
    <row r="6" spans="1:1" ht="13.7" customHeight="1" x14ac:dyDescent="0.25"/>
    <row r="7" spans="1:1" ht="13.7" customHeight="1" x14ac:dyDescent="0.25"/>
    <row r="8" spans="1:1" ht="6.95" customHeight="1" x14ac:dyDescent="0.25"/>
    <row r="9" spans="1:1" ht="13.7" customHeight="1" x14ac:dyDescent="0.25"/>
    <row r="10" spans="1:1" ht="13.7" customHeight="1" x14ac:dyDescent="0.25"/>
    <row r="11" spans="1:1" ht="13.7" customHeight="1" x14ac:dyDescent="0.25"/>
    <row r="12" spans="1:1" ht="13.7" customHeight="1" x14ac:dyDescent="0.25"/>
    <row r="13" spans="1:1" ht="6.95" customHeight="1" x14ac:dyDescent="0.25"/>
    <row r="14" spans="1:1" ht="11.85" customHeight="1" x14ac:dyDescent="0.25"/>
    <row r="15" spans="1:1" ht="11.85" customHeight="1" x14ac:dyDescent="0.25"/>
    <row r="16" spans="1:1" ht="6.95" customHeight="1" x14ac:dyDescent="0.25"/>
    <row r="17" ht="0.75" customHeight="1" x14ac:dyDescent="0.25"/>
    <row r="18" ht="6.2" customHeight="1" x14ac:dyDescent="0.25"/>
    <row r="19" ht="6.95" customHeight="1" x14ac:dyDescent="0.25"/>
    <row r="20" ht="13.7" customHeight="1" x14ac:dyDescent="0.25"/>
    <row r="21" ht="13.7" customHeight="1" x14ac:dyDescent="0.25"/>
    <row r="22" ht="6.95" customHeight="1" x14ac:dyDescent="0.25"/>
    <row r="23" ht="13.7" customHeight="1" x14ac:dyDescent="0.25"/>
    <row r="24" ht="13.7" customHeight="1" x14ac:dyDescent="0.25"/>
    <row r="25" ht="13.7" customHeight="1" x14ac:dyDescent="0.25"/>
    <row r="26" ht="13.7" customHeight="1" x14ac:dyDescent="0.25"/>
    <row r="27" ht="13.7" customHeight="1" x14ac:dyDescent="0.25"/>
    <row r="28" ht="13.7" customHeight="1" x14ac:dyDescent="0.25"/>
    <row r="29" ht="6.95" customHeight="1" x14ac:dyDescent="0.25"/>
    <row r="30" ht="11.85" customHeight="1" x14ac:dyDescent="0.25"/>
    <row r="31" ht="11.85" customHeight="1" x14ac:dyDescent="0.25"/>
    <row r="32" ht="6.95" customHeight="1" x14ac:dyDescent="0.25"/>
    <row r="33" ht="0.75" customHeight="1" x14ac:dyDescent="0.25"/>
    <row r="34" ht="6.2" customHeight="1" x14ac:dyDescent="0.25"/>
    <row r="35" ht="6.95" customHeight="1" x14ac:dyDescent="0.25"/>
    <row r="36" ht="13.7" customHeight="1" x14ac:dyDescent="0.25"/>
    <row r="37" ht="13.7" customHeight="1" x14ac:dyDescent="0.25"/>
    <row r="38" ht="6.95" customHeight="1" x14ac:dyDescent="0.25"/>
    <row r="39" ht="13.7" customHeight="1" x14ac:dyDescent="0.25"/>
    <row r="40" ht="13.7" customHeight="1" x14ac:dyDescent="0.25"/>
    <row r="41" ht="13.7" customHeight="1" x14ac:dyDescent="0.25"/>
    <row r="42" ht="13.7" customHeight="1" x14ac:dyDescent="0.25"/>
    <row r="43" ht="13.7" customHeight="1" x14ac:dyDescent="0.25"/>
    <row r="44" ht="13.7" customHeight="1" x14ac:dyDescent="0.25"/>
    <row r="45" ht="6.95" customHeight="1" x14ac:dyDescent="0.25"/>
    <row r="46" ht="11.85" customHeight="1" x14ac:dyDescent="0.25"/>
    <row r="47" ht="11.85" customHeight="1" x14ac:dyDescent="0.25"/>
    <row r="48" ht="6.95" customHeight="1" x14ac:dyDescent="0.25"/>
    <row r="49" ht="0.75" customHeight="1" x14ac:dyDescent="0.25"/>
    <row r="50" ht="6.2" customHeight="1" x14ac:dyDescent="0.25"/>
    <row r="51" ht="6.95" customHeight="1" x14ac:dyDescent="0.25"/>
    <row r="52" ht="13.7" customHeight="1" x14ac:dyDescent="0.25"/>
    <row r="53" ht="13.7" customHeight="1" x14ac:dyDescent="0.25"/>
    <row r="54" ht="6.95" customHeight="1" x14ac:dyDescent="0.25"/>
    <row r="55" ht="13.7" customHeight="1" x14ac:dyDescent="0.25"/>
    <row r="56" ht="13.7" customHeight="1" x14ac:dyDescent="0.25"/>
    <row r="57" ht="13.7" customHeight="1" x14ac:dyDescent="0.25"/>
    <row r="58" ht="13.7" customHeight="1" x14ac:dyDescent="0.25"/>
    <row r="59" ht="13.7" customHeight="1" x14ac:dyDescent="0.25"/>
    <row r="60" ht="13.7" customHeight="1" x14ac:dyDescent="0.25"/>
    <row r="61" ht="6.95" customHeight="1" x14ac:dyDescent="0.25"/>
    <row r="62" ht="11.85" customHeight="1" x14ac:dyDescent="0.25"/>
    <row r="63" ht="11.85" customHeight="1" x14ac:dyDescent="0.25"/>
    <row r="64" ht="6.95" customHeight="1" x14ac:dyDescent="0.25"/>
    <row r="65" ht="0.75" customHeight="1" x14ac:dyDescent="0.25"/>
    <row r="66" ht="85.7" customHeight="1" x14ac:dyDescent="0.25"/>
    <row r="67" ht="13.7" customHeight="1" x14ac:dyDescent="0.25"/>
    <row r="68" ht="6.95" customHeight="1" x14ac:dyDescent="0.25"/>
    <row r="69" ht="20.65" customHeight="1" x14ac:dyDescent="0.25"/>
    <row r="70" ht="13.7" customHeight="1" x14ac:dyDescent="0.25"/>
    <row r="71" ht="13.7" customHeight="1" x14ac:dyDescent="0.25"/>
    <row r="72" ht="6.95" customHeight="1" x14ac:dyDescent="0.25"/>
    <row r="73" ht="13.7" customHeight="1" x14ac:dyDescent="0.25"/>
    <row r="74" ht="13.7" customHeight="1" x14ac:dyDescent="0.25"/>
    <row r="75" ht="6.95" customHeight="1" x14ac:dyDescent="0.25"/>
    <row r="76" ht="13.7" customHeight="1" x14ac:dyDescent="0.25"/>
    <row r="77" ht="13.7" customHeight="1" x14ac:dyDescent="0.25"/>
    <row r="78" ht="13.7" customHeight="1" x14ac:dyDescent="0.25"/>
    <row r="79" ht="13.7" customHeight="1" x14ac:dyDescent="0.25"/>
    <row r="80" ht="13.7" customHeight="1" x14ac:dyDescent="0.25"/>
    <row r="81" ht="13.7" customHeight="1" x14ac:dyDescent="0.25"/>
    <row r="82" ht="6.95" customHeight="1" x14ac:dyDescent="0.25"/>
    <row r="83" ht="11.85" customHeight="1" x14ac:dyDescent="0.25"/>
    <row r="84" ht="11.85" customHeight="1" x14ac:dyDescent="0.25"/>
    <row r="85" ht="6.95" customHeight="1" x14ac:dyDescent="0.25"/>
    <row r="86" ht="0.75" customHeight="1" x14ac:dyDescent="0.25"/>
    <row r="87" ht="6.2" customHeight="1" x14ac:dyDescent="0.25"/>
    <row r="88" ht="6.95" customHeight="1" x14ac:dyDescent="0.25"/>
    <row r="89" ht="13.7" customHeight="1" x14ac:dyDescent="0.25"/>
    <row r="90" ht="13.7" customHeight="1" x14ac:dyDescent="0.25"/>
    <row r="91" ht="6.95" customHeight="1" x14ac:dyDescent="0.25"/>
    <row r="92" ht="13.7" customHeight="1" x14ac:dyDescent="0.25"/>
    <row r="93" ht="13.7" customHeight="1" x14ac:dyDescent="0.25"/>
    <row r="94" ht="13.7" customHeight="1" x14ac:dyDescent="0.25"/>
    <row r="95" ht="13.7" customHeight="1" x14ac:dyDescent="0.25"/>
    <row r="96" ht="13.7" customHeight="1" x14ac:dyDescent="0.25"/>
    <row r="97" ht="13.7" customHeight="1" x14ac:dyDescent="0.25"/>
    <row r="98" ht="6.95" customHeight="1" x14ac:dyDescent="0.25"/>
    <row r="99" ht="11.85" customHeight="1" x14ac:dyDescent="0.25"/>
    <row r="100" ht="11.85" customHeight="1" x14ac:dyDescent="0.25"/>
    <row r="101" ht="6.95" customHeight="1" x14ac:dyDescent="0.25"/>
    <row r="102" ht="0.75" customHeight="1" x14ac:dyDescent="0.25"/>
    <row r="103" ht="6.2" customHeight="1" x14ac:dyDescent="0.25"/>
    <row r="104" ht="6.95" customHeight="1" x14ac:dyDescent="0.25"/>
    <row r="105" ht="13.7" customHeight="1" x14ac:dyDescent="0.25"/>
    <row r="106" ht="13.7" customHeight="1" x14ac:dyDescent="0.25"/>
    <row r="107" ht="6.95" customHeight="1" x14ac:dyDescent="0.25"/>
    <row r="108" ht="13.7" customHeight="1" x14ac:dyDescent="0.25"/>
    <row r="109" ht="13.7" customHeight="1" x14ac:dyDescent="0.25"/>
    <row r="110" ht="13.7" customHeight="1" x14ac:dyDescent="0.25"/>
    <row r="111" ht="13.7" customHeight="1" x14ac:dyDescent="0.25"/>
    <row r="112" ht="13.7" customHeight="1" x14ac:dyDescent="0.25"/>
    <row r="113" ht="13.7" customHeight="1" x14ac:dyDescent="0.25"/>
    <row r="114" ht="6.95" customHeight="1" x14ac:dyDescent="0.25"/>
    <row r="115" ht="11.85" customHeight="1" x14ac:dyDescent="0.25"/>
    <row r="116" ht="11.85" customHeight="1" x14ac:dyDescent="0.25"/>
    <row r="117" ht="6.95" customHeight="1" x14ac:dyDescent="0.25"/>
    <row r="118" ht="0.75" customHeight="1" x14ac:dyDescent="0.25"/>
    <row r="119" ht="6.2" customHeight="1" x14ac:dyDescent="0.25"/>
    <row r="120" ht="6.95" customHeight="1" x14ac:dyDescent="0.25"/>
    <row r="121" ht="13.7" customHeight="1" x14ac:dyDescent="0.25"/>
    <row r="122" ht="13.7" customHeight="1" x14ac:dyDescent="0.25"/>
    <row r="123" ht="6.95" customHeight="1" x14ac:dyDescent="0.25"/>
    <row r="124" ht="13.7" customHeight="1" x14ac:dyDescent="0.25"/>
    <row r="125" ht="13.7" customHeight="1" x14ac:dyDescent="0.25"/>
    <row r="126" ht="13.7" customHeight="1" x14ac:dyDescent="0.25"/>
    <row r="127" ht="13.7" customHeight="1" x14ac:dyDescent="0.25"/>
    <row r="128" ht="13.7" customHeight="1" x14ac:dyDescent="0.25"/>
    <row r="129" ht="13.7" customHeight="1" x14ac:dyDescent="0.25"/>
    <row r="130" ht="6.95" customHeight="1" x14ac:dyDescent="0.25"/>
    <row r="131" ht="11.85" customHeight="1" x14ac:dyDescent="0.25"/>
    <row r="132" ht="11.85" customHeight="1" x14ac:dyDescent="0.25"/>
    <row r="133" ht="6.95" customHeight="1" x14ac:dyDescent="0.25"/>
    <row r="134" ht="0.75" customHeight="1" x14ac:dyDescent="0.25"/>
    <row r="135" ht="58.15" customHeight="1" x14ac:dyDescent="0.25"/>
    <row r="136" ht="13.7" customHeight="1" x14ac:dyDescent="0.25"/>
    <row r="137" ht="6.95" customHeight="1" x14ac:dyDescent="0.25"/>
    <row r="138" ht="20.65" customHeight="1" x14ac:dyDescent="0.25"/>
    <row r="139" ht="13.7" customHeight="1" x14ac:dyDescent="0.25"/>
    <row r="140" ht="13.7" customHeight="1" x14ac:dyDescent="0.25"/>
    <row r="141" ht="6.95" customHeight="1" x14ac:dyDescent="0.25"/>
    <row r="142" ht="13.7" customHeight="1" x14ac:dyDescent="0.25"/>
    <row r="143" ht="13.7" customHeight="1" x14ac:dyDescent="0.25"/>
    <row r="144" ht="6.95" customHeight="1" x14ac:dyDescent="0.25"/>
    <row r="145" ht="13.7" customHeight="1" x14ac:dyDescent="0.25"/>
    <row r="146" ht="13.7" customHeight="1" x14ac:dyDescent="0.25"/>
    <row r="147" ht="13.7" customHeight="1" x14ac:dyDescent="0.25"/>
    <row r="148" ht="13.7" customHeight="1" x14ac:dyDescent="0.25"/>
    <row r="149" ht="13.7" customHeight="1" x14ac:dyDescent="0.25"/>
    <row r="150" ht="13.7" customHeight="1" x14ac:dyDescent="0.25"/>
    <row r="151" ht="6.95" customHeight="1" x14ac:dyDescent="0.25"/>
    <row r="152" ht="11.85" customHeight="1" x14ac:dyDescent="0.25"/>
    <row r="153" ht="11.85" customHeight="1" x14ac:dyDescent="0.25"/>
    <row r="154" ht="6.95" customHeight="1" x14ac:dyDescent="0.25"/>
    <row r="155" ht="0.75" customHeight="1" x14ac:dyDescent="0.25"/>
    <row r="156" ht="6.2" customHeight="1" x14ac:dyDescent="0.25"/>
    <row r="157" ht="6.95" customHeight="1" x14ac:dyDescent="0.25"/>
    <row r="158" ht="13.7" customHeight="1" x14ac:dyDescent="0.25"/>
    <row r="159" ht="13.7" customHeight="1" x14ac:dyDescent="0.25"/>
    <row r="160" ht="6.95" customHeight="1" x14ac:dyDescent="0.25"/>
    <row r="161" ht="13.7" customHeight="1" x14ac:dyDescent="0.25"/>
    <row r="162" ht="13.7" customHeight="1" x14ac:dyDescent="0.25"/>
    <row r="163" ht="13.7" customHeight="1" x14ac:dyDescent="0.25"/>
    <row r="164" ht="13.7" customHeight="1" x14ac:dyDescent="0.25"/>
    <row r="165" ht="13.7" customHeight="1" x14ac:dyDescent="0.25"/>
    <row r="166" ht="13.7" customHeight="1" x14ac:dyDescent="0.25"/>
    <row r="167" ht="6.95" customHeight="1" x14ac:dyDescent="0.25"/>
    <row r="168" ht="11.85" customHeight="1" x14ac:dyDescent="0.25"/>
    <row r="169" ht="11.85" customHeight="1" x14ac:dyDescent="0.25"/>
    <row r="170" ht="6.95" customHeight="1" x14ac:dyDescent="0.25"/>
    <row r="171" ht="0.75" customHeight="1" x14ac:dyDescent="0.25"/>
    <row r="172" ht="6.2" customHeight="1" x14ac:dyDescent="0.25"/>
    <row r="173" ht="6.95" customHeight="1" x14ac:dyDescent="0.25"/>
    <row r="174" ht="13.7" customHeight="1" x14ac:dyDescent="0.25"/>
    <row r="175" ht="13.7" customHeight="1" x14ac:dyDescent="0.25"/>
    <row r="176" ht="6.95" customHeight="1" x14ac:dyDescent="0.25"/>
    <row r="177" ht="13.7" customHeight="1" x14ac:dyDescent="0.25"/>
    <row r="178" ht="13.7" customHeight="1" x14ac:dyDescent="0.25"/>
    <row r="179" ht="13.7" customHeight="1" x14ac:dyDescent="0.25"/>
    <row r="180" ht="13.7" customHeight="1" x14ac:dyDescent="0.25"/>
    <row r="181" ht="13.7" customHeight="1" x14ac:dyDescent="0.25"/>
    <row r="182" ht="13.7" customHeight="1" x14ac:dyDescent="0.25"/>
    <row r="183" ht="6.95" customHeight="1" x14ac:dyDescent="0.25"/>
    <row r="184" ht="11.85" customHeight="1" x14ac:dyDescent="0.25"/>
    <row r="185" ht="11.85" customHeight="1" x14ac:dyDescent="0.25"/>
    <row r="186" ht="6.95" customHeight="1" x14ac:dyDescent="0.25"/>
    <row r="187" ht="0.75" customHeight="1" x14ac:dyDescent="0.25"/>
    <row r="188" ht="6.2" customHeight="1" x14ac:dyDescent="0.25"/>
    <row r="189" ht="6.95" customHeight="1" x14ac:dyDescent="0.25"/>
    <row r="190" ht="13.7" customHeight="1" x14ac:dyDescent="0.25"/>
    <row r="191" ht="13.7" customHeight="1" x14ac:dyDescent="0.25"/>
    <row r="192" ht="6.95" customHeight="1" x14ac:dyDescent="0.25"/>
    <row r="193" ht="13.7" customHeight="1" x14ac:dyDescent="0.25"/>
    <row r="194" ht="13.7" customHeight="1" x14ac:dyDescent="0.25"/>
    <row r="195" ht="13.7" customHeight="1" x14ac:dyDescent="0.25"/>
    <row r="196" ht="13.7" customHeight="1" x14ac:dyDescent="0.25"/>
    <row r="197" ht="13.7" customHeight="1" x14ac:dyDescent="0.25"/>
    <row r="198" ht="13.7" customHeight="1" x14ac:dyDescent="0.25"/>
    <row r="199" ht="6.95" customHeight="1" x14ac:dyDescent="0.25"/>
    <row r="200" ht="11.85" customHeight="1" x14ac:dyDescent="0.25"/>
    <row r="201" ht="11.85" customHeight="1" x14ac:dyDescent="0.25"/>
    <row r="202" ht="6.95" customHeight="1" x14ac:dyDescent="0.25"/>
    <row r="203" ht="0.75" customHeight="1" x14ac:dyDescent="0.25"/>
    <row r="204" ht="58.15" customHeight="1" x14ac:dyDescent="0.25"/>
    <row r="205" ht="13.7" customHeight="1" x14ac:dyDescent="0.25"/>
    <row r="206" ht="6.95" customHeight="1" x14ac:dyDescent="0.25"/>
    <row r="207" ht="20.65" customHeight="1" x14ac:dyDescent="0.25"/>
    <row r="208" ht="13.7" customHeight="1" x14ac:dyDescent="0.25"/>
    <row r="209" ht="13.7" customHeight="1" x14ac:dyDescent="0.25"/>
    <row r="210" ht="6.95" customHeight="1" x14ac:dyDescent="0.25"/>
    <row r="211" ht="13.7" customHeight="1" x14ac:dyDescent="0.25"/>
    <row r="212" ht="13.7" customHeight="1" x14ac:dyDescent="0.25"/>
    <row r="213" ht="6.95" customHeight="1" x14ac:dyDescent="0.25"/>
    <row r="214" ht="13.7" customHeight="1" x14ac:dyDescent="0.25"/>
    <row r="215" ht="13.7" customHeight="1" x14ac:dyDescent="0.25"/>
    <row r="216" ht="13.7" customHeight="1" x14ac:dyDescent="0.25"/>
    <row r="217" ht="13.7" customHeight="1" x14ac:dyDescent="0.25"/>
    <row r="218" ht="13.7" customHeight="1" x14ac:dyDescent="0.25"/>
    <row r="219" ht="13.7" customHeight="1" x14ac:dyDescent="0.25"/>
    <row r="220" ht="6.95" customHeight="1" x14ac:dyDescent="0.25"/>
    <row r="221" ht="11.85" customHeight="1" x14ac:dyDescent="0.25"/>
    <row r="222" ht="11.85" customHeight="1" x14ac:dyDescent="0.25"/>
    <row r="223" ht="6.95" customHeight="1" x14ac:dyDescent="0.25"/>
    <row r="224" ht="0.75" customHeight="1" x14ac:dyDescent="0.25"/>
    <row r="225" ht="6.2" customHeight="1" x14ac:dyDescent="0.25"/>
    <row r="226" ht="6.95" customHeight="1" x14ac:dyDescent="0.25"/>
    <row r="227" ht="13.7" customHeight="1" x14ac:dyDescent="0.25"/>
    <row r="228" ht="13.7" customHeight="1" x14ac:dyDescent="0.25"/>
    <row r="229" ht="6.95" customHeight="1" x14ac:dyDescent="0.25"/>
    <row r="230" ht="13.7" customHeight="1" x14ac:dyDescent="0.25"/>
    <row r="231" ht="13.7" customHeight="1" x14ac:dyDescent="0.25"/>
    <row r="232" ht="13.7" customHeight="1" x14ac:dyDescent="0.25"/>
    <row r="233" ht="13.7" customHeight="1" x14ac:dyDescent="0.25"/>
    <row r="234" ht="13.7" customHeight="1" x14ac:dyDescent="0.25"/>
    <row r="235" ht="13.7" customHeight="1" x14ac:dyDescent="0.25"/>
    <row r="236" ht="6.95" customHeight="1" x14ac:dyDescent="0.25"/>
    <row r="237" ht="11.85" customHeight="1" x14ac:dyDescent="0.25"/>
    <row r="238" ht="11.85" customHeight="1" x14ac:dyDescent="0.25"/>
    <row r="239" ht="6.95" customHeight="1" x14ac:dyDescent="0.25"/>
    <row r="240" ht="0.75" customHeight="1" x14ac:dyDescent="0.25"/>
    <row r="241" ht="6.2" customHeight="1" x14ac:dyDescent="0.25"/>
    <row r="242" ht="6.95" customHeight="1" x14ac:dyDescent="0.25"/>
    <row r="243" ht="13.7" customHeight="1" x14ac:dyDescent="0.25"/>
    <row r="244" ht="13.7" customHeight="1" x14ac:dyDescent="0.25"/>
    <row r="245" ht="6.95" customHeight="1" x14ac:dyDescent="0.25"/>
    <row r="246" ht="13.7" customHeight="1" x14ac:dyDescent="0.25"/>
    <row r="247" ht="13.7" customHeight="1" x14ac:dyDescent="0.25"/>
    <row r="248" ht="13.7" customHeight="1" x14ac:dyDescent="0.25"/>
    <row r="249" ht="13.7" customHeight="1" x14ac:dyDescent="0.25"/>
    <row r="250" ht="13.7" customHeight="1" x14ac:dyDescent="0.25"/>
    <row r="251" ht="13.7" customHeight="1" x14ac:dyDescent="0.25"/>
    <row r="252" ht="6.95" customHeight="1" x14ac:dyDescent="0.25"/>
    <row r="253" ht="11.85" customHeight="1" x14ac:dyDescent="0.25"/>
    <row r="254" ht="11.85" customHeight="1" x14ac:dyDescent="0.25"/>
    <row r="255" ht="6.95" customHeight="1" x14ac:dyDescent="0.25"/>
    <row r="256" ht="0.75" customHeight="1" x14ac:dyDescent="0.25"/>
    <row r="257" ht="6.2" customHeight="1" x14ac:dyDescent="0.25"/>
    <row r="258" ht="6.95" customHeight="1" x14ac:dyDescent="0.25"/>
    <row r="259" ht="13.7" customHeight="1" x14ac:dyDescent="0.25"/>
    <row r="260" ht="13.7" customHeight="1" x14ac:dyDescent="0.25"/>
    <row r="261" ht="6.95" customHeight="1" x14ac:dyDescent="0.25"/>
    <row r="262" ht="13.7" customHeight="1" x14ac:dyDescent="0.25"/>
    <row r="263" ht="13.7" customHeight="1" x14ac:dyDescent="0.25"/>
    <row r="264" ht="13.7" customHeight="1" x14ac:dyDescent="0.25"/>
    <row r="265" ht="13.7" customHeight="1" x14ac:dyDescent="0.25"/>
    <row r="266" ht="13.7" customHeight="1" x14ac:dyDescent="0.25"/>
    <row r="267" ht="13.7" customHeight="1" x14ac:dyDescent="0.25"/>
    <row r="268" ht="6.95" customHeight="1" x14ac:dyDescent="0.25"/>
    <row r="269" ht="11.85" customHeight="1" x14ac:dyDescent="0.25"/>
    <row r="270" ht="11.85" customHeight="1" x14ac:dyDescent="0.25"/>
    <row r="271" ht="6.95" customHeight="1" x14ac:dyDescent="0.25"/>
    <row r="272" ht="0.75" customHeight="1" x14ac:dyDescent="0.25"/>
    <row r="273" ht="58.15" customHeight="1" x14ac:dyDescent="0.25"/>
    <row r="274" ht="13.7" customHeight="1" x14ac:dyDescent="0.25"/>
    <row r="275" ht="6.95" customHeight="1" x14ac:dyDescent="0.25"/>
    <row r="276" ht="20.65" customHeight="1" x14ac:dyDescent="0.25"/>
    <row r="277" ht="13.7" customHeight="1" x14ac:dyDescent="0.25"/>
    <row r="278" ht="13.7" customHeight="1" x14ac:dyDescent="0.25"/>
    <row r="279" ht="6.95" customHeight="1" x14ac:dyDescent="0.25"/>
    <row r="280" ht="13.7" customHeight="1" x14ac:dyDescent="0.25"/>
    <row r="281" ht="13.7" customHeight="1" x14ac:dyDescent="0.25"/>
    <row r="282" ht="6.95" customHeight="1" x14ac:dyDescent="0.25"/>
    <row r="283" ht="13.7" customHeight="1" x14ac:dyDescent="0.25"/>
    <row r="284" ht="13.7" customHeight="1" x14ac:dyDescent="0.25"/>
    <row r="285" ht="13.7" customHeight="1" x14ac:dyDescent="0.25"/>
    <row r="286" ht="13.7" customHeight="1" x14ac:dyDescent="0.25"/>
    <row r="287" ht="13.7" customHeight="1" x14ac:dyDescent="0.25"/>
    <row r="288" ht="13.7" customHeight="1" x14ac:dyDescent="0.25"/>
    <row r="289" ht="6.95" customHeight="1" x14ac:dyDescent="0.25"/>
    <row r="290" ht="11.85" customHeight="1" x14ac:dyDescent="0.25"/>
    <row r="291" ht="11.85" customHeight="1" x14ac:dyDescent="0.25"/>
    <row r="292" ht="6.95" customHeight="1" x14ac:dyDescent="0.25"/>
    <row r="293" ht="0.75" customHeight="1" x14ac:dyDescent="0.25"/>
    <row r="294" ht="6.2" customHeight="1" x14ac:dyDescent="0.25"/>
    <row r="295" ht="6.95" customHeight="1" x14ac:dyDescent="0.25"/>
    <row r="296" ht="13.7" customHeight="1" x14ac:dyDescent="0.25"/>
    <row r="297" ht="13.7" customHeight="1" x14ac:dyDescent="0.25"/>
    <row r="298" ht="6.95" customHeight="1" x14ac:dyDescent="0.25"/>
    <row r="299" ht="13.7" customHeight="1" x14ac:dyDescent="0.25"/>
    <row r="300" ht="13.7" customHeight="1" x14ac:dyDescent="0.25"/>
    <row r="301" ht="13.7" customHeight="1" x14ac:dyDescent="0.25"/>
    <row r="302" ht="13.7" customHeight="1" x14ac:dyDescent="0.25"/>
    <row r="303" ht="13.7" customHeight="1" x14ac:dyDescent="0.25"/>
    <row r="304" ht="13.7" customHeight="1" x14ac:dyDescent="0.25"/>
    <row r="305" ht="6.95" customHeight="1" x14ac:dyDescent="0.25"/>
    <row r="306" ht="11.85" customHeight="1" x14ac:dyDescent="0.25"/>
    <row r="307" ht="11.85" customHeight="1" x14ac:dyDescent="0.25"/>
    <row r="308" ht="6.95" customHeight="1" x14ac:dyDescent="0.25"/>
    <row r="309" ht="0.75" customHeight="1" x14ac:dyDescent="0.25"/>
    <row r="310" ht="6.2" customHeight="1" x14ac:dyDescent="0.25"/>
    <row r="311" ht="6.95" customHeight="1" x14ac:dyDescent="0.25"/>
    <row r="312" ht="13.7" customHeight="1" x14ac:dyDescent="0.25"/>
    <row r="313" ht="13.7" customHeight="1" x14ac:dyDescent="0.25"/>
    <row r="314" ht="6.95" customHeight="1" x14ac:dyDescent="0.25"/>
    <row r="315" ht="13.7" customHeight="1" x14ac:dyDescent="0.25"/>
    <row r="316" ht="13.7" customHeight="1" x14ac:dyDescent="0.25"/>
    <row r="317" ht="13.7" customHeight="1" x14ac:dyDescent="0.25"/>
    <row r="318" ht="13.7" customHeight="1" x14ac:dyDescent="0.25"/>
    <row r="319" ht="13.7" customHeight="1" x14ac:dyDescent="0.25"/>
    <row r="320" ht="13.7" customHeight="1" x14ac:dyDescent="0.25"/>
    <row r="321" ht="13.7" customHeight="1" x14ac:dyDescent="0.25"/>
    <row r="322" ht="13.7" customHeight="1" x14ac:dyDescent="0.25"/>
    <row r="323" ht="6.95" customHeight="1" x14ac:dyDescent="0.25"/>
    <row r="324" ht="11.85" customHeight="1" x14ac:dyDescent="0.25"/>
    <row r="325" ht="11.85" customHeight="1" x14ac:dyDescent="0.25"/>
    <row r="326" ht="6.95" customHeight="1" x14ac:dyDescent="0.25"/>
    <row r="327" ht="0.75" customHeight="1" x14ac:dyDescent="0.25"/>
    <row r="328" ht="198.6" customHeight="1" x14ac:dyDescent="0.25"/>
    <row r="329" ht="13.7" customHeight="1" x14ac:dyDescent="0.25"/>
    <row r="330" ht="6.95" customHeight="1" x14ac:dyDescent="0.25"/>
    <row r="331" ht="20.65" customHeight="1" x14ac:dyDescent="0.25"/>
    <row r="332" ht="13.7" customHeight="1" x14ac:dyDescent="0.25"/>
    <row r="333" ht="13.7" customHeight="1" x14ac:dyDescent="0.25"/>
    <row r="334" ht="6.95" customHeight="1" x14ac:dyDescent="0.25"/>
    <row r="335" ht="13.7" customHeight="1" x14ac:dyDescent="0.25"/>
    <row r="336" ht="13.7" customHeight="1" x14ac:dyDescent="0.25"/>
    <row r="337" ht="6.95" customHeight="1" x14ac:dyDescent="0.25"/>
    <row r="338" ht="13.7" customHeight="1" x14ac:dyDescent="0.25"/>
    <row r="339" ht="13.7" customHeight="1" x14ac:dyDescent="0.25"/>
    <row r="340" ht="13.7" customHeight="1" x14ac:dyDescent="0.25"/>
    <row r="341" ht="13.7" customHeight="1" x14ac:dyDescent="0.25"/>
    <row r="342" ht="13.7" customHeight="1" x14ac:dyDescent="0.25"/>
    <row r="343" ht="13.7" customHeight="1" x14ac:dyDescent="0.25"/>
    <row r="344" ht="6.95" customHeight="1" x14ac:dyDescent="0.25"/>
    <row r="345" ht="11.85" customHeight="1" x14ac:dyDescent="0.25"/>
    <row r="346" ht="11.85" customHeight="1" x14ac:dyDescent="0.25"/>
    <row r="347" ht="6.95" customHeight="1" x14ac:dyDescent="0.25"/>
    <row r="348" ht="0.75" customHeight="1" x14ac:dyDescent="0.25"/>
    <row r="349" ht="6.2" customHeight="1" x14ac:dyDescent="0.25"/>
    <row r="350" ht="6.95" customHeight="1" x14ac:dyDescent="0.25"/>
    <row r="351" ht="13.7" customHeight="1" x14ac:dyDescent="0.25"/>
    <row r="352" ht="13.7" customHeight="1" x14ac:dyDescent="0.25"/>
    <row r="353" ht="6.95" customHeight="1" x14ac:dyDescent="0.25"/>
    <row r="354" ht="13.7" customHeight="1" x14ac:dyDescent="0.25"/>
    <row r="355" ht="13.7" customHeight="1" x14ac:dyDescent="0.25"/>
    <row r="356" ht="13.7" customHeight="1" x14ac:dyDescent="0.25"/>
    <row r="357" ht="13.7" customHeight="1" x14ac:dyDescent="0.25"/>
    <row r="358" ht="13.7" customHeight="1" x14ac:dyDescent="0.25"/>
    <row r="359" ht="13.7" customHeight="1" x14ac:dyDescent="0.25"/>
    <row r="360" ht="6.95" customHeight="1" x14ac:dyDescent="0.25"/>
    <row r="361" ht="11.85" customHeight="1" x14ac:dyDescent="0.25"/>
    <row r="362" ht="11.85" customHeight="1" x14ac:dyDescent="0.25"/>
    <row r="363" ht="6.95" customHeight="1" x14ac:dyDescent="0.25"/>
    <row r="364" ht="0.75" customHeight="1" x14ac:dyDescent="0.25"/>
    <row r="365" ht="6.2" customHeight="1" x14ac:dyDescent="0.25"/>
    <row r="366" ht="6.95" customHeight="1" x14ac:dyDescent="0.25"/>
    <row r="367" ht="13.7" customHeight="1" x14ac:dyDescent="0.25"/>
    <row r="368" ht="13.7" customHeight="1" x14ac:dyDescent="0.25"/>
    <row r="369" ht="6.95" customHeight="1" x14ac:dyDescent="0.25"/>
    <row r="370" ht="13.7" customHeight="1" x14ac:dyDescent="0.25"/>
    <row r="371" ht="13.7" customHeight="1" x14ac:dyDescent="0.25"/>
    <row r="372" ht="13.7" customHeight="1" x14ac:dyDescent="0.25"/>
    <row r="373" ht="13.7" customHeight="1" x14ac:dyDescent="0.25"/>
    <row r="374" ht="13.7" customHeight="1" x14ac:dyDescent="0.25"/>
    <row r="375" ht="13.7" customHeight="1" x14ac:dyDescent="0.25"/>
    <row r="376" ht="6.95" customHeight="1" x14ac:dyDescent="0.25"/>
    <row r="377" ht="11.85" customHeight="1" x14ac:dyDescent="0.25"/>
    <row r="378" ht="11.85" customHeight="1" x14ac:dyDescent="0.25"/>
    <row r="379" ht="6.95" customHeight="1" x14ac:dyDescent="0.25"/>
    <row r="380" ht="0.75" customHeight="1" x14ac:dyDescent="0.25"/>
    <row r="381" ht="225.95" customHeight="1" x14ac:dyDescent="0.25"/>
    <row r="382" ht="13.7" customHeight="1" x14ac:dyDescent="0.25"/>
    <row r="383" ht="6.95" customHeight="1" x14ac:dyDescent="0.25"/>
    <row r="384" ht="20.65" customHeight="1" x14ac:dyDescent="0.25"/>
    <row r="385" ht="13.7" customHeight="1" x14ac:dyDescent="0.25"/>
    <row r="386" ht="13.7" customHeight="1" x14ac:dyDescent="0.25"/>
    <row r="387" ht="6.95" customHeight="1" x14ac:dyDescent="0.25"/>
    <row r="388" ht="13.7" customHeight="1" x14ac:dyDescent="0.25"/>
    <row r="389" ht="13.7" customHeight="1" x14ac:dyDescent="0.25"/>
    <row r="390" ht="6.95" customHeight="1" x14ac:dyDescent="0.25"/>
    <row r="391" ht="13.7" customHeight="1" x14ac:dyDescent="0.25"/>
    <row r="392" ht="13.7" customHeight="1" x14ac:dyDescent="0.25"/>
    <row r="393" ht="13.7" customHeight="1" x14ac:dyDescent="0.25"/>
    <row r="394" ht="13.7" customHeight="1" x14ac:dyDescent="0.25"/>
    <row r="395" ht="13.7" customHeight="1" x14ac:dyDescent="0.25"/>
    <row r="396" ht="13.7" customHeight="1" x14ac:dyDescent="0.25"/>
    <row r="397" ht="13.7" customHeight="1" x14ac:dyDescent="0.25"/>
    <row r="398" ht="6.95" customHeight="1" x14ac:dyDescent="0.25"/>
    <row r="399" ht="11.85" customHeight="1" x14ac:dyDescent="0.25"/>
    <row r="400" ht="11.85" customHeight="1" x14ac:dyDescent="0.25"/>
    <row r="401" ht="6.95" customHeight="1" x14ac:dyDescent="0.25"/>
    <row r="402" ht="0.75" customHeight="1" x14ac:dyDescent="0.25"/>
    <row r="403" ht="6.2" customHeight="1" x14ac:dyDescent="0.25"/>
    <row r="404" ht="6.95" customHeight="1" x14ac:dyDescent="0.25"/>
    <row r="405" ht="13.7" customHeight="1" x14ac:dyDescent="0.25"/>
    <row r="406" ht="13.7" customHeight="1" x14ac:dyDescent="0.25"/>
    <row r="407" ht="6.95" customHeight="1" x14ac:dyDescent="0.25"/>
    <row r="408" ht="13.7" customHeight="1" x14ac:dyDescent="0.25"/>
    <row r="409" ht="13.7" customHeight="1" x14ac:dyDescent="0.25"/>
    <row r="410" ht="13.7" customHeight="1" x14ac:dyDescent="0.25"/>
    <row r="411" ht="13.7" customHeight="1" x14ac:dyDescent="0.25"/>
    <row r="412" ht="13.7" customHeight="1" x14ac:dyDescent="0.25"/>
    <row r="413" ht="13.7" customHeight="1" x14ac:dyDescent="0.25"/>
    <row r="414" ht="6.95" customHeight="1" x14ac:dyDescent="0.25"/>
    <row r="415" ht="11.85" customHeight="1" x14ac:dyDescent="0.25"/>
    <row r="416" ht="11.85" customHeight="1" x14ac:dyDescent="0.25"/>
    <row r="417" ht="6.95" customHeight="1" x14ac:dyDescent="0.25"/>
    <row r="418" ht="0.75" customHeight="1" x14ac:dyDescent="0.25"/>
    <row r="419" ht="6.2" customHeight="1" x14ac:dyDescent="0.25"/>
    <row r="420" ht="6.95" customHeight="1" x14ac:dyDescent="0.25"/>
    <row r="421" ht="13.7" customHeight="1" x14ac:dyDescent="0.25"/>
    <row r="422" ht="13.7" customHeight="1" x14ac:dyDescent="0.25"/>
    <row r="423" ht="6.95" customHeight="1" x14ac:dyDescent="0.25"/>
    <row r="424" ht="13.7" customHeight="1" x14ac:dyDescent="0.25"/>
    <row r="425" ht="13.7" customHeight="1" x14ac:dyDescent="0.25"/>
    <row r="426" ht="13.7" customHeight="1" x14ac:dyDescent="0.25"/>
    <row r="427" ht="13.7" customHeight="1" x14ac:dyDescent="0.25"/>
    <row r="428" ht="13.7" customHeight="1" x14ac:dyDescent="0.25"/>
    <row r="429" ht="13.7" customHeight="1" x14ac:dyDescent="0.25"/>
    <row r="430" ht="6.95" customHeight="1" x14ac:dyDescent="0.25"/>
    <row r="431" ht="11.85" customHeight="1" x14ac:dyDescent="0.25"/>
    <row r="432" ht="11.85" customHeight="1" x14ac:dyDescent="0.25"/>
    <row r="433" ht="6.95" customHeight="1" x14ac:dyDescent="0.25"/>
    <row r="434" ht="0.75" customHeight="1" x14ac:dyDescent="0.25"/>
    <row r="435" ht="212.25" customHeight="1" x14ac:dyDescent="0.25"/>
    <row r="436" ht="13.7" customHeight="1" x14ac:dyDescent="0.25"/>
    <row r="437" ht="6.95" customHeight="1" x14ac:dyDescent="0.25"/>
    <row r="438" ht="20.65" customHeight="1" x14ac:dyDescent="0.25"/>
    <row r="439" ht="13.7" customHeight="1" x14ac:dyDescent="0.25"/>
    <row r="440" ht="13.7" customHeight="1" x14ac:dyDescent="0.25"/>
    <row r="441" ht="6.95" customHeight="1" x14ac:dyDescent="0.25"/>
    <row r="442" ht="13.7" customHeight="1" x14ac:dyDescent="0.25"/>
    <row r="443" ht="13.7" customHeight="1" x14ac:dyDescent="0.25"/>
    <row r="444" ht="6.95" customHeight="1" x14ac:dyDescent="0.25"/>
    <row r="445" ht="13.7" customHeight="1" x14ac:dyDescent="0.25"/>
    <row r="446" ht="13.7" customHeight="1" x14ac:dyDescent="0.25"/>
    <row r="447" ht="13.7" customHeight="1" x14ac:dyDescent="0.25"/>
    <row r="448" ht="13.7" customHeight="1" x14ac:dyDescent="0.25"/>
    <row r="449" ht="13.7" customHeight="1" x14ac:dyDescent="0.25"/>
    <row r="450" ht="13.7" customHeight="1" x14ac:dyDescent="0.25"/>
    <row r="451" ht="6.95" customHeight="1" x14ac:dyDescent="0.25"/>
    <row r="452" ht="11.85" customHeight="1" x14ac:dyDescent="0.25"/>
    <row r="453" ht="11.85" customHeight="1" x14ac:dyDescent="0.25"/>
    <row r="454" ht="6.95" customHeight="1" x14ac:dyDescent="0.25"/>
    <row r="455" ht="0.75" customHeight="1" x14ac:dyDescent="0.25"/>
    <row r="456" ht="6.2" customHeight="1" x14ac:dyDescent="0.25"/>
    <row r="457" ht="6.95" customHeight="1" x14ac:dyDescent="0.25"/>
    <row r="458" ht="13.7" customHeight="1" x14ac:dyDescent="0.25"/>
    <row r="459" ht="13.7" customHeight="1" x14ac:dyDescent="0.25"/>
    <row r="460" ht="6.95" customHeight="1" x14ac:dyDescent="0.25"/>
    <row r="461" ht="13.7" customHeight="1" x14ac:dyDescent="0.25"/>
    <row r="462" ht="13.7" customHeight="1" x14ac:dyDescent="0.25"/>
    <row r="463" ht="13.7" customHeight="1" x14ac:dyDescent="0.25"/>
    <row r="464" ht="13.7" customHeight="1" x14ac:dyDescent="0.25"/>
    <row r="465" ht="13.7" customHeight="1" x14ac:dyDescent="0.25"/>
    <row r="466" ht="13.7" customHeight="1" x14ac:dyDescent="0.25"/>
    <row r="467" ht="6.95" customHeight="1" x14ac:dyDescent="0.25"/>
    <row r="468" ht="11.85" customHeight="1" x14ac:dyDescent="0.25"/>
    <row r="469" ht="11.85" customHeight="1" x14ac:dyDescent="0.25"/>
    <row r="470" ht="6.95" customHeight="1" x14ac:dyDescent="0.25"/>
    <row r="471" ht="0.75" customHeight="1" x14ac:dyDescent="0.25"/>
    <row r="472" ht="6.2" customHeight="1" x14ac:dyDescent="0.25"/>
    <row r="473" ht="6.95" customHeight="1" x14ac:dyDescent="0.25"/>
    <row r="474" ht="13.7" customHeight="1" x14ac:dyDescent="0.25"/>
    <row r="475" ht="13.7" customHeight="1" x14ac:dyDescent="0.25"/>
    <row r="476" ht="6.95" customHeight="1" x14ac:dyDescent="0.25"/>
    <row r="477" ht="13.7" customHeight="1" x14ac:dyDescent="0.25"/>
    <row r="478" ht="13.7" customHeight="1" x14ac:dyDescent="0.25"/>
    <row r="479" ht="13.7" customHeight="1" x14ac:dyDescent="0.25"/>
    <row r="480" ht="13.7" customHeight="1" x14ac:dyDescent="0.25"/>
    <row r="481" ht="13.7" customHeight="1" x14ac:dyDescent="0.25"/>
    <row r="482" ht="13.7" customHeight="1" x14ac:dyDescent="0.25"/>
    <row r="483" ht="6.95" customHeight="1" x14ac:dyDescent="0.25"/>
    <row r="484" ht="11.85" customHeight="1" x14ac:dyDescent="0.25"/>
    <row r="485" ht="11.85" customHeight="1" x14ac:dyDescent="0.25"/>
    <row r="486" ht="6.95" customHeight="1" x14ac:dyDescent="0.25"/>
    <row r="487" ht="0.75" customHeight="1" x14ac:dyDescent="0.25"/>
    <row r="488" ht="6.2" customHeight="1" x14ac:dyDescent="0.25"/>
    <row r="489" ht="6.95" customHeight="1" x14ac:dyDescent="0.25"/>
    <row r="490" ht="13.7" customHeight="1" x14ac:dyDescent="0.25"/>
    <row r="491" ht="13.7" customHeight="1" x14ac:dyDescent="0.25"/>
    <row r="492" ht="6.95" customHeight="1" x14ac:dyDescent="0.25"/>
    <row r="493" ht="13.7" customHeight="1" x14ac:dyDescent="0.25"/>
    <row r="494" ht="13.7" customHeight="1" x14ac:dyDescent="0.25"/>
    <row r="495" ht="13.7" customHeight="1" x14ac:dyDescent="0.25"/>
    <row r="496" ht="13.7" customHeight="1" x14ac:dyDescent="0.25"/>
    <row r="497" ht="13.7" customHeight="1" x14ac:dyDescent="0.25"/>
    <row r="498" ht="13.7" customHeight="1" x14ac:dyDescent="0.25"/>
    <row r="499" ht="6.95" customHeight="1" x14ac:dyDescent="0.25"/>
    <row r="500" ht="11.85" customHeight="1" x14ac:dyDescent="0.25"/>
    <row r="501" ht="11.85" customHeight="1" x14ac:dyDescent="0.25"/>
    <row r="502" ht="6.95" customHeight="1" x14ac:dyDescent="0.25"/>
    <row r="503" ht="0.75" customHeight="1" x14ac:dyDescent="0.25"/>
    <row r="504" ht="58.15" customHeight="1" x14ac:dyDescent="0.25"/>
    <row r="505" ht="13.7" customHeight="1" x14ac:dyDescent="0.25"/>
    <row r="506" ht="6.95" customHeight="1" x14ac:dyDescent="0.25"/>
    <row r="507" ht="20.65" customHeight="1" x14ac:dyDescent="0.25"/>
    <row r="508" ht="13.7" customHeight="1" x14ac:dyDescent="0.25"/>
    <row r="509" ht="13.7" customHeight="1" x14ac:dyDescent="0.25"/>
    <row r="510" ht="6.95" customHeight="1" x14ac:dyDescent="0.25"/>
    <row r="511" ht="13.7" customHeight="1" x14ac:dyDescent="0.25"/>
    <row r="512" ht="13.7" customHeight="1" x14ac:dyDescent="0.25"/>
    <row r="513" ht="6.95" customHeight="1" x14ac:dyDescent="0.25"/>
    <row r="514" ht="13.7" customHeight="1" x14ac:dyDescent="0.25"/>
    <row r="515" ht="13.7" customHeight="1" x14ac:dyDescent="0.25"/>
    <row r="516" ht="13.7" customHeight="1" x14ac:dyDescent="0.25"/>
    <row r="517" ht="13.7" customHeight="1" x14ac:dyDescent="0.25"/>
    <row r="518" ht="13.7" customHeight="1" x14ac:dyDescent="0.25"/>
    <row r="519" ht="13.7" customHeight="1" x14ac:dyDescent="0.25"/>
    <row r="520" ht="6.95" customHeight="1" x14ac:dyDescent="0.25"/>
    <row r="521" ht="11.85" customHeight="1" x14ac:dyDescent="0.25"/>
    <row r="522" ht="11.85" customHeight="1" x14ac:dyDescent="0.25"/>
    <row r="523" ht="6.95" customHeight="1" x14ac:dyDescent="0.25"/>
    <row r="524" ht="0.75" customHeight="1" x14ac:dyDescent="0.25"/>
    <row r="525" ht="6.2" customHeight="1" x14ac:dyDescent="0.25"/>
    <row r="526" ht="6.95" customHeight="1" x14ac:dyDescent="0.25"/>
    <row r="527" ht="13.7" customHeight="1" x14ac:dyDescent="0.25"/>
    <row r="528" ht="13.7" customHeight="1" x14ac:dyDescent="0.25"/>
    <row r="529" ht="6.95" customHeight="1" x14ac:dyDescent="0.25"/>
    <row r="530" ht="13.7" customHeight="1" x14ac:dyDescent="0.25"/>
    <row r="531" ht="13.7" customHeight="1" x14ac:dyDescent="0.25"/>
    <row r="532" ht="13.7" customHeight="1" x14ac:dyDescent="0.25"/>
    <row r="533" ht="13.7" customHeight="1" x14ac:dyDescent="0.25"/>
    <row r="534" ht="13.7" customHeight="1" x14ac:dyDescent="0.25"/>
    <row r="535" ht="13.7" customHeight="1" x14ac:dyDescent="0.25"/>
    <row r="536" ht="6.95" customHeight="1" x14ac:dyDescent="0.25"/>
    <row r="537" ht="11.85" customHeight="1" x14ac:dyDescent="0.25"/>
    <row r="538" ht="11.85" customHeight="1" x14ac:dyDescent="0.25"/>
    <row r="539" ht="6.95" customHeight="1" x14ac:dyDescent="0.25"/>
    <row r="540" ht="0.75" customHeight="1" x14ac:dyDescent="0.25"/>
    <row r="541" ht="6.2" customHeight="1" x14ac:dyDescent="0.25"/>
    <row r="542" ht="6.95" customHeight="1" x14ac:dyDescent="0.25"/>
    <row r="543" ht="13.7" customHeight="1" x14ac:dyDescent="0.25"/>
    <row r="544" ht="13.7" customHeight="1" x14ac:dyDescent="0.25"/>
    <row r="545" ht="6.95" customHeight="1" x14ac:dyDescent="0.25"/>
    <row r="546" ht="13.7" customHeight="1" x14ac:dyDescent="0.25"/>
    <row r="547" ht="13.7" customHeight="1" x14ac:dyDescent="0.25"/>
    <row r="548" ht="13.7" customHeight="1" x14ac:dyDescent="0.25"/>
    <row r="549" ht="13.7" customHeight="1" x14ac:dyDescent="0.25"/>
    <row r="550" ht="13.7" customHeight="1" x14ac:dyDescent="0.25"/>
    <row r="551" ht="13.7" customHeight="1" x14ac:dyDescent="0.25"/>
    <row r="552" ht="6.95" customHeight="1" x14ac:dyDescent="0.25"/>
    <row r="553" ht="11.85" customHeight="1" x14ac:dyDescent="0.25"/>
    <row r="554" ht="11.85" customHeight="1" x14ac:dyDescent="0.25"/>
    <row r="555" ht="6.95" customHeight="1" x14ac:dyDescent="0.25"/>
    <row r="556" ht="0.75" customHeight="1" x14ac:dyDescent="0.25"/>
    <row r="557" ht="6.2" customHeight="1" x14ac:dyDescent="0.25"/>
    <row r="558" ht="6.95" customHeight="1" x14ac:dyDescent="0.25"/>
    <row r="559" ht="13.7" customHeight="1" x14ac:dyDescent="0.25"/>
    <row r="560" ht="13.7" customHeight="1" x14ac:dyDescent="0.25"/>
    <row r="561" ht="6.95" customHeight="1" x14ac:dyDescent="0.25"/>
    <row r="562" ht="13.7" customHeight="1" x14ac:dyDescent="0.25"/>
    <row r="563" ht="13.7" customHeight="1" x14ac:dyDescent="0.25"/>
    <row r="564" ht="13.7" customHeight="1" x14ac:dyDescent="0.25"/>
    <row r="565" ht="13.7" customHeight="1" x14ac:dyDescent="0.25"/>
    <row r="566" ht="13.7" customHeight="1" x14ac:dyDescent="0.25"/>
    <row r="567" ht="13.7" customHeight="1" x14ac:dyDescent="0.25"/>
    <row r="568" ht="6.95" customHeight="1" x14ac:dyDescent="0.25"/>
    <row r="569" ht="11.85" customHeight="1" x14ac:dyDescent="0.25"/>
    <row r="570" ht="11.85" customHeight="1" x14ac:dyDescent="0.25"/>
    <row r="571" ht="6.95" customHeight="1" x14ac:dyDescent="0.25"/>
    <row r="572" ht="0.75" customHeight="1" x14ac:dyDescent="0.25"/>
    <row r="573" ht="58.15" customHeight="1" x14ac:dyDescent="0.25"/>
    <row r="574" ht="13.7" customHeight="1" x14ac:dyDescent="0.25"/>
    <row r="575" ht="6.95" customHeight="1" x14ac:dyDescent="0.25"/>
    <row r="576" ht="20.65" customHeight="1" x14ac:dyDescent="0.25"/>
    <row r="577" ht="13.7" customHeight="1" x14ac:dyDescent="0.25"/>
    <row r="578" ht="13.7" customHeight="1" x14ac:dyDescent="0.25"/>
    <row r="579" ht="6.95" customHeight="1" x14ac:dyDescent="0.25"/>
    <row r="580" ht="13.7" customHeight="1" x14ac:dyDescent="0.25"/>
    <row r="581" ht="13.7" customHeight="1" x14ac:dyDescent="0.25"/>
    <row r="582" ht="6.95" customHeight="1" x14ac:dyDescent="0.25"/>
    <row r="583" ht="13.7" customHeight="1" x14ac:dyDescent="0.25"/>
    <row r="584" ht="13.7" customHeight="1" x14ac:dyDescent="0.25"/>
    <row r="585" ht="13.7" customHeight="1" x14ac:dyDescent="0.25"/>
    <row r="586" ht="13.7" customHeight="1" x14ac:dyDescent="0.25"/>
    <row r="587" ht="13.7" customHeight="1" x14ac:dyDescent="0.25"/>
    <row r="588" ht="13.7" customHeight="1" x14ac:dyDescent="0.25"/>
    <row r="589" ht="6.95" customHeight="1" x14ac:dyDescent="0.25"/>
    <row r="590" ht="11.85" customHeight="1" x14ac:dyDescent="0.25"/>
    <row r="591" ht="11.85" customHeight="1" x14ac:dyDescent="0.25"/>
    <row r="592" ht="6.95" customHeight="1" x14ac:dyDescent="0.25"/>
    <row r="593" ht="0.75" customHeight="1" x14ac:dyDescent="0.25"/>
    <row r="594" ht="6.2" customHeight="1" x14ac:dyDescent="0.25"/>
    <row r="595" ht="6.95" customHeight="1" x14ac:dyDescent="0.25"/>
    <row r="596" ht="13.7" customHeight="1" x14ac:dyDescent="0.25"/>
    <row r="597" ht="13.7" customHeight="1" x14ac:dyDescent="0.25"/>
    <row r="598" ht="6.95" customHeight="1" x14ac:dyDescent="0.25"/>
    <row r="599" ht="13.7" customHeight="1" x14ac:dyDescent="0.25"/>
    <row r="600" ht="13.7" customHeight="1" x14ac:dyDescent="0.25"/>
    <row r="601" ht="13.7" customHeight="1" x14ac:dyDescent="0.25"/>
    <row r="602" ht="13.7" customHeight="1" x14ac:dyDescent="0.25"/>
    <row r="603" ht="13.7" customHeight="1" x14ac:dyDescent="0.25"/>
    <row r="604" ht="13.7" customHeight="1" x14ac:dyDescent="0.25"/>
    <row r="605" ht="6.95" customHeight="1" x14ac:dyDescent="0.25"/>
    <row r="606" ht="11.85" customHeight="1" x14ac:dyDescent="0.25"/>
    <row r="607" ht="11.85" customHeight="1" x14ac:dyDescent="0.25"/>
    <row r="608" ht="6.95" customHeight="1" x14ac:dyDescent="0.25"/>
    <row r="609" ht="0.75" customHeight="1" x14ac:dyDescent="0.25"/>
    <row r="610" ht="6.2" customHeight="1" x14ac:dyDescent="0.25"/>
    <row r="611" ht="6.95" customHeight="1" x14ac:dyDescent="0.25"/>
    <row r="612" ht="13.7" customHeight="1" x14ac:dyDescent="0.25"/>
    <row r="613" ht="13.7" customHeight="1" x14ac:dyDescent="0.25"/>
    <row r="614" ht="6.95" customHeight="1" x14ac:dyDescent="0.25"/>
    <row r="615" ht="13.7" customHeight="1" x14ac:dyDescent="0.25"/>
    <row r="616" ht="13.7" customHeight="1" x14ac:dyDescent="0.25"/>
    <row r="617" ht="13.7" customHeight="1" x14ac:dyDescent="0.25"/>
    <row r="618" ht="13.7" customHeight="1" x14ac:dyDescent="0.25"/>
    <row r="619" ht="13.7" customHeight="1" x14ac:dyDescent="0.25"/>
    <row r="620" ht="13.7" customHeight="1" x14ac:dyDescent="0.25"/>
    <row r="621" ht="13.7" customHeight="1" x14ac:dyDescent="0.25"/>
    <row r="622" ht="6.95" customHeight="1" x14ac:dyDescent="0.25"/>
    <row r="623" ht="11.85" customHeight="1" x14ac:dyDescent="0.25"/>
    <row r="624" ht="11.85" customHeight="1" x14ac:dyDescent="0.25"/>
    <row r="625" ht="6.95" customHeight="1" x14ac:dyDescent="0.25"/>
    <row r="626" ht="0.75" customHeight="1" x14ac:dyDescent="0.25"/>
    <row r="627" ht="212.25" customHeight="1" x14ac:dyDescent="0.25"/>
    <row r="628" ht="13.7" customHeight="1" x14ac:dyDescent="0.25"/>
    <row r="629" ht="6.95" customHeight="1" x14ac:dyDescent="0.25"/>
    <row r="630" ht="20.65" customHeight="1" x14ac:dyDescent="0.25"/>
    <row r="631" ht="13.7" customHeight="1" x14ac:dyDescent="0.25"/>
    <row r="632" ht="13.7" customHeight="1" x14ac:dyDescent="0.25"/>
    <row r="633" ht="6.95" customHeight="1" x14ac:dyDescent="0.25"/>
    <row r="634" ht="13.7" customHeight="1" x14ac:dyDescent="0.25"/>
    <row r="635" ht="13.7" customHeight="1" x14ac:dyDescent="0.25"/>
    <row r="636" ht="6.95" customHeight="1" x14ac:dyDescent="0.25"/>
    <row r="637" ht="13.7" customHeight="1" x14ac:dyDescent="0.25"/>
    <row r="638" ht="13.7" customHeight="1" x14ac:dyDescent="0.25"/>
    <row r="639" ht="13.7" customHeight="1" x14ac:dyDescent="0.25"/>
    <row r="640" ht="13.7" customHeight="1" x14ac:dyDescent="0.25"/>
    <row r="641" ht="13.7" customHeight="1" x14ac:dyDescent="0.25"/>
    <row r="642" ht="13.7" customHeight="1" x14ac:dyDescent="0.25"/>
    <row r="643" ht="6.95" customHeight="1" x14ac:dyDescent="0.25"/>
    <row r="644" ht="11.85" customHeight="1" x14ac:dyDescent="0.25"/>
    <row r="645" ht="11.85" customHeight="1" x14ac:dyDescent="0.25"/>
    <row r="646" ht="6.95" customHeight="1" x14ac:dyDescent="0.25"/>
    <row r="647" ht="0.75" customHeight="1" x14ac:dyDescent="0.25"/>
    <row r="648" ht="6.2" customHeight="1" x14ac:dyDescent="0.25"/>
    <row r="649" ht="6.95" customHeight="1" x14ac:dyDescent="0.25"/>
    <row r="650" ht="13.7" customHeight="1" x14ac:dyDescent="0.25"/>
    <row r="651" ht="13.7" customHeight="1" x14ac:dyDescent="0.25"/>
    <row r="652" ht="6.95" customHeight="1" x14ac:dyDescent="0.25"/>
    <row r="653" ht="13.7" customHeight="1" x14ac:dyDescent="0.25"/>
    <row r="654" ht="13.7" customHeight="1" x14ac:dyDescent="0.25"/>
    <row r="655" ht="13.7" customHeight="1" x14ac:dyDescent="0.25"/>
    <row r="656" ht="13.7" customHeight="1" x14ac:dyDescent="0.25"/>
    <row r="657" ht="13.7" customHeight="1" x14ac:dyDescent="0.25"/>
    <row r="658" ht="13.7" customHeight="1" x14ac:dyDescent="0.25"/>
    <row r="659" ht="6.95" customHeight="1" x14ac:dyDescent="0.25"/>
    <row r="660" ht="11.85" customHeight="1" x14ac:dyDescent="0.25"/>
    <row r="661" ht="11.85" customHeight="1" x14ac:dyDescent="0.25"/>
    <row r="662" ht="6.95" customHeight="1" x14ac:dyDescent="0.25"/>
    <row r="663" ht="0.75" customHeight="1" x14ac:dyDescent="0.25"/>
    <row r="664" ht="6.2" customHeight="1" x14ac:dyDescent="0.25"/>
    <row r="665" ht="6.95" customHeight="1" x14ac:dyDescent="0.25"/>
    <row r="666" ht="13.7" customHeight="1" x14ac:dyDescent="0.25"/>
    <row r="667" ht="13.7" customHeight="1" x14ac:dyDescent="0.25"/>
    <row r="668" ht="6.95" customHeight="1" x14ac:dyDescent="0.25"/>
    <row r="669" ht="13.7" customHeight="1" x14ac:dyDescent="0.25"/>
    <row r="670" ht="13.7" customHeight="1" x14ac:dyDescent="0.25"/>
    <row r="671" ht="13.7" customHeight="1" x14ac:dyDescent="0.25"/>
    <row r="672" ht="13.7" customHeight="1" x14ac:dyDescent="0.25"/>
    <row r="673" ht="13.7" customHeight="1" x14ac:dyDescent="0.25"/>
    <row r="674" ht="13.7" customHeight="1" x14ac:dyDescent="0.25"/>
    <row r="675" ht="6.95" customHeight="1" x14ac:dyDescent="0.25"/>
    <row r="676" ht="11.85" customHeight="1" x14ac:dyDescent="0.25"/>
    <row r="677" ht="11.85" customHeight="1" x14ac:dyDescent="0.25"/>
    <row r="678" ht="6.95" customHeight="1" x14ac:dyDescent="0.25"/>
    <row r="679" ht="0.75" customHeight="1" x14ac:dyDescent="0.25"/>
    <row r="680" ht="6.2" customHeight="1" x14ac:dyDescent="0.25"/>
    <row r="681" ht="6.95" customHeight="1" x14ac:dyDescent="0.25"/>
    <row r="682" ht="13.7" customHeight="1" x14ac:dyDescent="0.25"/>
    <row r="683" ht="13.7" customHeight="1" x14ac:dyDescent="0.25"/>
    <row r="684" ht="6.95" customHeight="1" x14ac:dyDescent="0.25"/>
    <row r="685" ht="13.7" customHeight="1" x14ac:dyDescent="0.25"/>
    <row r="686" ht="13.7" customHeight="1" x14ac:dyDescent="0.25"/>
    <row r="687" ht="13.7" customHeight="1" x14ac:dyDescent="0.25"/>
    <row r="688" ht="13.7" customHeight="1" x14ac:dyDescent="0.25"/>
    <row r="689" ht="13.7" customHeight="1" x14ac:dyDescent="0.25"/>
    <row r="690" ht="13.7" customHeight="1" x14ac:dyDescent="0.25"/>
    <row r="691" ht="6.95" customHeight="1" x14ac:dyDescent="0.25"/>
    <row r="692" ht="11.85" customHeight="1" x14ac:dyDescent="0.25"/>
    <row r="693" ht="11.85" customHeight="1" x14ac:dyDescent="0.25"/>
    <row r="694" ht="6.95" customHeight="1" x14ac:dyDescent="0.25"/>
    <row r="695" ht="0.75" customHeight="1" x14ac:dyDescent="0.25"/>
    <row r="696" ht="58.15" customHeight="1" x14ac:dyDescent="0.25"/>
    <row r="697" ht="13.7" customHeight="1" x14ac:dyDescent="0.25"/>
    <row r="698" ht="6.95" customHeight="1" x14ac:dyDescent="0.25"/>
    <row r="699" ht="20.65" customHeight="1" x14ac:dyDescent="0.25"/>
    <row r="700" ht="13.7" customHeight="1" x14ac:dyDescent="0.25"/>
    <row r="701" ht="13.7" customHeight="1" x14ac:dyDescent="0.25"/>
    <row r="702" ht="6.95" customHeight="1" x14ac:dyDescent="0.25"/>
    <row r="703" ht="13.7" customHeight="1" x14ac:dyDescent="0.25"/>
    <row r="704" ht="13.7" customHeight="1" x14ac:dyDescent="0.25"/>
    <row r="705" ht="6.95" customHeight="1" x14ac:dyDescent="0.25"/>
    <row r="706" ht="13.7" customHeight="1" x14ac:dyDescent="0.25"/>
    <row r="707" ht="13.7" customHeight="1" x14ac:dyDescent="0.25"/>
    <row r="708" ht="13.7" customHeight="1" x14ac:dyDescent="0.25"/>
    <row r="709" ht="13.7" customHeight="1" x14ac:dyDescent="0.25"/>
    <row r="710" ht="13.7" customHeight="1" x14ac:dyDescent="0.25"/>
    <row r="711" ht="13.7" customHeight="1" x14ac:dyDescent="0.25"/>
    <row r="712" ht="6.95" customHeight="1" x14ac:dyDescent="0.25"/>
    <row r="713" ht="11.85" customHeight="1" x14ac:dyDescent="0.25"/>
    <row r="714" ht="11.85" customHeight="1" x14ac:dyDescent="0.25"/>
    <row r="715" ht="6.95" customHeight="1" x14ac:dyDescent="0.25"/>
    <row r="716" ht="0.75" customHeight="1" x14ac:dyDescent="0.25"/>
    <row r="717" ht="6.2" customHeight="1" x14ac:dyDescent="0.25"/>
    <row r="718" ht="6.95" customHeight="1" x14ac:dyDescent="0.25"/>
    <row r="719" ht="13.7" customHeight="1" x14ac:dyDescent="0.25"/>
    <row r="720" ht="13.7" customHeight="1" x14ac:dyDescent="0.25"/>
    <row r="721" ht="6.95" customHeight="1" x14ac:dyDescent="0.25"/>
    <row r="722" ht="13.7" customHeight="1" x14ac:dyDescent="0.25"/>
    <row r="723" ht="13.7" customHeight="1" x14ac:dyDescent="0.25"/>
    <row r="724" ht="13.7" customHeight="1" x14ac:dyDescent="0.25"/>
    <row r="725" ht="13.7" customHeight="1" x14ac:dyDescent="0.25"/>
    <row r="726" ht="13.7" customHeight="1" x14ac:dyDescent="0.25"/>
    <row r="727" ht="13.7" customHeight="1" x14ac:dyDescent="0.25"/>
    <row r="728" ht="6.95" customHeight="1" x14ac:dyDescent="0.25"/>
    <row r="729" ht="11.85" customHeight="1" x14ac:dyDescent="0.25"/>
    <row r="730" ht="11.85" customHeight="1" x14ac:dyDescent="0.25"/>
    <row r="731" ht="6.95" customHeight="1" x14ac:dyDescent="0.25"/>
    <row r="732" ht="0.75" customHeight="1" x14ac:dyDescent="0.25"/>
    <row r="733" ht="6.2" customHeight="1" x14ac:dyDescent="0.25"/>
    <row r="734" ht="6.95" customHeight="1" x14ac:dyDescent="0.25"/>
    <row r="735" ht="13.7" customHeight="1" x14ac:dyDescent="0.25"/>
    <row r="736" ht="13.7" customHeight="1" x14ac:dyDescent="0.25"/>
    <row r="737" ht="6.95" customHeight="1" x14ac:dyDescent="0.25"/>
    <row r="738" ht="13.7" customHeight="1" x14ac:dyDescent="0.25"/>
    <row r="739" ht="13.7" customHeight="1" x14ac:dyDescent="0.25"/>
    <row r="740" ht="13.7" customHeight="1" x14ac:dyDescent="0.25"/>
    <row r="741" ht="13.7" customHeight="1" x14ac:dyDescent="0.25"/>
    <row r="742" ht="13.7" customHeight="1" x14ac:dyDescent="0.25"/>
    <row r="743" ht="13.7" customHeight="1" x14ac:dyDescent="0.25"/>
    <row r="744" ht="6.95" customHeight="1" x14ac:dyDescent="0.25"/>
    <row r="745" ht="11.85" customHeight="1" x14ac:dyDescent="0.25"/>
    <row r="746" ht="11.85" customHeight="1" x14ac:dyDescent="0.25"/>
    <row r="747" ht="6.95" customHeight="1" x14ac:dyDescent="0.25"/>
    <row r="748" ht="0.75" customHeight="1" x14ac:dyDescent="0.25"/>
    <row r="749" ht="225.95" customHeight="1" x14ac:dyDescent="0.25"/>
    <row r="750" ht="13.7" customHeight="1" x14ac:dyDescent="0.25"/>
    <row r="751" ht="6.95" customHeight="1" x14ac:dyDescent="0.25"/>
    <row r="752" ht="20.65" customHeight="1" x14ac:dyDescent="0.25"/>
    <row r="753" ht="13.7" customHeight="1" x14ac:dyDescent="0.25"/>
    <row r="754" ht="13.7" customHeight="1" x14ac:dyDescent="0.25"/>
    <row r="755" ht="6.95" customHeight="1" x14ac:dyDescent="0.25"/>
    <row r="756" ht="13.7" customHeight="1" x14ac:dyDescent="0.25"/>
    <row r="757" ht="13.7" customHeight="1" x14ac:dyDescent="0.25"/>
    <row r="758" ht="6.95" customHeight="1" x14ac:dyDescent="0.25"/>
    <row r="759" ht="13.7" customHeight="1" x14ac:dyDescent="0.25"/>
    <row r="760" ht="13.7" customHeight="1" x14ac:dyDescent="0.25"/>
    <row r="761" ht="13.7" customHeight="1" x14ac:dyDescent="0.25"/>
    <row r="762" ht="13.7" customHeight="1" x14ac:dyDescent="0.25"/>
    <row r="763" ht="13.7" customHeight="1" x14ac:dyDescent="0.25"/>
    <row r="764" ht="13.7" customHeight="1" x14ac:dyDescent="0.25"/>
    <row r="765" ht="13.7" customHeight="1" x14ac:dyDescent="0.25"/>
    <row r="766" ht="6.95" customHeight="1" x14ac:dyDescent="0.25"/>
    <row r="767" ht="11.85" customHeight="1" x14ac:dyDescent="0.25"/>
    <row r="768" ht="11.85" customHeight="1" x14ac:dyDescent="0.25"/>
    <row r="769" ht="6.95" customHeight="1" x14ac:dyDescent="0.25"/>
    <row r="770" ht="0.75" customHeight="1" x14ac:dyDescent="0.25"/>
    <row r="771" ht="6.2" customHeight="1" x14ac:dyDescent="0.25"/>
    <row r="772" ht="6.95" customHeight="1" x14ac:dyDescent="0.25"/>
    <row r="773" ht="13.7" customHeight="1" x14ac:dyDescent="0.25"/>
    <row r="774" ht="13.7" customHeight="1" x14ac:dyDescent="0.25"/>
    <row r="775" ht="6.95" customHeight="1" x14ac:dyDescent="0.25"/>
    <row r="776" ht="13.7" customHeight="1" x14ac:dyDescent="0.25"/>
    <row r="777" ht="13.7" customHeight="1" x14ac:dyDescent="0.25"/>
    <row r="778" ht="13.7" customHeight="1" x14ac:dyDescent="0.25"/>
    <row r="779" ht="13.7" customHeight="1" x14ac:dyDescent="0.25"/>
    <row r="780" ht="13.7" customHeight="1" x14ac:dyDescent="0.25"/>
    <row r="781" ht="13.7" customHeight="1" x14ac:dyDescent="0.25"/>
    <row r="782" ht="6.95" customHeight="1" x14ac:dyDescent="0.25"/>
    <row r="783" ht="11.85" customHeight="1" x14ac:dyDescent="0.25"/>
    <row r="784" ht="11.85" customHeight="1" x14ac:dyDescent="0.25"/>
    <row r="785" ht="6.95" customHeight="1" x14ac:dyDescent="0.25"/>
    <row r="786" ht="0.75" customHeight="1" x14ac:dyDescent="0.25"/>
    <row r="787" ht="6.2" customHeight="1" x14ac:dyDescent="0.25"/>
    <row r="788" ht="6.95" customHeight="1" x14ac:dyDescent="0.25"/>
    <row r="789" ht="13.7" customHeight="1" x14ac:dyDescent="0.25"/>
    <row r="790" ht="13.7" customHeight="1" x14ac:dyDescent="0.25"/>
    <row r="791" ht="6.95" customHeight="1" x14ac:dyDescent="0.25"/>
    <row r="792" ht="13.7" customHeight="1" x14ac:dyDescent="0.25"/>
    <row r="793" ht="13.7" customHeight="1" x14ac:dyDescent="0.25"/>
    <row r="794" ht="13.7" customHeight="1" x14ac:dyDescent="0.25"/>
    <row r="795" ht="13.7" customHeight="1" x14ac:dyDescent="0.25"/>
    <row r="796" ht="13.7" customHeight="1" x14ac:dyDescent="0.25"/>
    <row r="797" ht="13.7" customHeight="1" x14ac:dyDescent="0.25"/>
    <row r="798" ht="6.95" customHeight="1" x14ac:dyDescent="0.25"/>
    <row r="799" ht="11.85" customHeight="1" x14ac:dyDescent="0.25"/>
    <row r="800" ht="11.85" customHeight="1" x14ac:dyDescent="0.25"/>
    <row r="801" ht="6.95" customHeight="1" x14ac:dyDescent="0.25"/>
    <row r="802" ht="0.75" customHeight="1" x14ac:dyDescent="0.25"/>
    <row r="803" ht="212.25" customHeight="1" x14ac:dyDescent="0.25"/>
    <row r="804" ht="13.7" customHeight="1" x14ac:dyDescent="0.25"/>
    <row r="805" ht="6.95" customHeight="1" x14ac:dyDescent="0.25"/>
    <row r="806" ht="20.65" customHeight="1" x14ac:dyDescent="0.25"/>
    <row r="807" ht="13.7" customHeight="1" x14ac:dyDescent="0.25"/>
    <row r="808" ht="13.7" customHeight="1" x14ac:dyDescent="0.25"/>
    <row r="809" ht="6.95" customHeight="1" x14ac:dyDescent="0.25"/>
    <row r="810" ht="13.7" customHeight="1" x14ac:dyDescent="0.25"/>
    <row r="811" ht="13.7" customHeight="1" x14ac:dyDescent="0.25"/>
    <row r="812" ht="6.95" customHeight="1" x14ac:dyDescent="0.25"/>
    <row r="813" ht="13.7" customHeight="1" x14ac:dyDescent="0.25"/>
    <row r="814" ht="13.7" customHeight="1" x14ac:dyDescent="0.25"/>
    <row r="815" ht="13.7" customHeight="1" x14ac:dyDescent="0.25"/>
    <row r="816" ht="13.7" customHeight="1" x14ac:dyDescent="0.25"/>
    <row r="817" ht="13.7" customHeight="1" x14ac:dyDescent="0.25"/>
    <row r="818" ht="13.7" customHeight="1" x14ac:dyDescent="0.25"/>
    <row r="819" ht="6.95" customHeight="1" x14ac:dyDescent="0.25"/>
    <row r="820" ht="11.85" customHeight="1" x14ac:dyDescent="0.25"/>
    <row r="821" ht="11.85" customHeight="1" x14ac:dyDescent="0.25"/>
    <row r="822" ht="6.95" customHeight="1" x14ac:dyDescent="0.25"/>
    <row r="823" ht="0.75" customHeight="1" x14ac:dyDescent="0.25"/>
    <row r="824" ht="6.2" customHeight="1" x14ac:dyDescent="0.25"/>
    <row r="825" ht="6.95" customHeight="1" x14ac:dyDescent="0.25"/>
    <row r="826" ht="13.7" customHeight="1" x14ac:dyDescent="0.25"/>
    <row r="827" ht="13.7" customHeight="1" x14ac:dyDescent="0.25"/>
    <row r="828" ht="6.95" customHeight="1" x14ac:dyDescent="0.25"/>
    <row r="829" ht="13.7" customHeight="1" x14ac:dyDescent="0.25"/>
    <row r="830" ht="13.7" customHeight="1" x14ac:dyDescent="0.25"/>
    <row r="831" ht="13.7" customHeight="1" x14ac:dyDescent="0.25"/>
    <row r="832" ht="13.7" customHeight="1" x14ac:dyDescent="0.25"/>
    <row r="833" ht="13.7" customHeight="1" x14ac:dyDescent="0.25"/>
    <row r="834" ht="13.7" customHeight="1" x14ac:dyDescent="0.25"/>
    <row r="835" ht="6.95" customHeight="1" x14ac:dyDescent="0.25"/>
    <row r="836" ht="11.85" customHeight="1" x14ac:dyDescent="0.25"/>
    <row r="837" ht="11.85" customHeight="1" x14ac:dyDescent="0.25"/>
    <row r="838" ht="6.95" customHeight="1" x14ac:dyDescent="0.25"/>
    <row r="839" ht="0.75" customHeight="1" x14ac:dyDescent="0.25"/>
    <row r="840" ht="6.2" customHeight="1" x14ac:dyDescent="0.25"/>
    <row r="841" ht="6.95" customHeight="1" x14ac:dyDescent="0.25"/>
    <row r="842" ht="13.7" customHeight="1" x14ac:dyDescent="0.25"/>
    <row r="843" ht="13.7" customHeight="1" x14ac:dyDescent="0.25"/>
    <row r="844" ht="6.95" customHeight="1" x14ac:dyDescent="0.25"/>
    <row r="845" ht="13.7" customHeight="1" x14ac:dyDescent="0.25"/>
    <row r="846" ht="13.7" customHeight="1" x14ac:dyDescent="0.25"/>
    <row r="847" ht="13.7" customHeight="1" x14ac:dyDescent="0.25"/>
    <row r="848" ht="13.7" customHeight="1" x14ac:dyDescent="0.25"/>
    <row r="849" ht="13.7" customHeight="1" x14ac:dyDescent="0.25"/>
    <row r="850" ht="13.7" customHeight="1" x14ac:dyDescent="0.25"/>
    <row r="851" ht="6.95" customHeight="1" x14ac:dyDescent="0.25"/>
    <row r="852" ht="11.85" customHeight="1" x14ac:dyDescent="0.25"/>
    <row r="853" ht="11.85" customHeight="1" x14ac:dyDescent="0.25"/>
    <row r="854" ht="6.95" customHeight="1" x14ac:dyDescent="0.25"/>
    <row r="855" ht="0.75" customHeight="1" x14ac:dyDescent="0.25"/>
    <row r="856" ht="6.2" customHeight="1" x14ac:dyDescent="0.25"/>
    <row r="857" ht="6.95" customHeight="1" x14ac:dyDescent="0.25"/>
    <row r="858" ht="13.7" customHeight="1" x14ac:dyDescent="0.25"/>
    <row r="859" ht="13.7" customHeight="1" x14ac:dyDescent="0.25"/>
    <row r="860" ht="6.95" customHeight="1" x14ac:dyDescent="0.25"/>
    <row r="861" ht="13.7" customHeight="1" x14ac:dyDescent="0.25"/>
    <row r="862" ht="13.7" customHeight="1" x14ac:dyDescent="0.25"/>
    <row r="863" ht="13.7" customHeight="1" x14ac:dyDescent="0.25"/>
    <row r="864" ht="13.7" customHeight="1" x14ac:dyDescent="0.25"/>
    <row r="865" ht="13.7" customHeight="1" x14ac:dyDescent="0.25"/>
    <row r="866" ht="13.7" customHeight="1" x14ac:dyDescent="0.25"/>
    <row r="867" ht="6.95" customHeight="1" x14ac:dyDescent="0.25"/>
    <row r="868" ht="11.85" customHeight="1" x14ac:dyDescent="0.25"/>
    <row r="869" ht="11.85" customHeight="1" x14ac:dyDescent="0.25"/>
    <row r="870" ht="6.95" customHeight="1" x14ac:dyDescent="0.25"/>
    <row r="871" ht="0.75" customHeight="1" x14ac:dyDescent="0.25"/>
    <row r="872" ht="58.15" customHeight="1" x14ac:dyDescent="0.25"/>
    <row r="873" ht="13.7" customHeight="1" x14ac:dyDescent="0.25"/>
    <row r="874" ht="6.95" customHeight="1" x14ac:dyDescent="0.25"/>
    <row r="875" ht="20.65" customHeight="1" x14ac:dyDescent="0.25"/>
    <row r="876" ht="13.7" customHeight="1" x14ac:dyDescent="0.25"/>
    <row r="877" ht="13.7" customHeight="1" x14ac:dyDescent="0.25"/>
    <row r="878" ht="6.95" customHeight="1" x14ac:dyDescent="0.25"/>
    <row r="879" ht="13.7" customHeight="1" x14ac:dyDescent="0.25"/>
    <row r="880" ht="13.7" customHeight="1" x14ac:dyDescent="0.25"/>
    <row r="881" ht="6.95" customHeight="1" x14ac:dyDescent="0.25"/>
    <row r="882" ht="13.7" customHeight="1" x14ac:dyDescent="0.25"/>
    <row r="883" ht="13.7" customHeight="1" x14ac:dyDescent="0.25"/>
    <row r="884" ht="13.7" customHeight="1" x14ac:dyDescent="0.25"/>
    <row r="885" ht="13.7" customHeight="1" x14ac:dyDescent="0.25"/>
    <row r="886" ht="13.7" customHeight="1" x14ac:dyDescent="0.25"/>
    <row r="887" ht="13.7" customHeight="1" x14ac:dyDescent="0.25"/>
    <row r="888" ht="6.95" customHeight="1" x14ac:dyDescent="0.25"/>
    <row r="889" ht="11.85" customHeight="1" x14ac:dyDescent="0.25"/>
    <row r="890" ht="11.85" customHeight="1" x14ac:dyDescent="0.25"/>
    <row r="891" ht="6.95" customHeight="1" x14ac:dyDescent="0.25"/>
    <row r="892" ht="0.75" customHeight="1" x14ac:dyDescent="0.25"/>
    <row r="893" ht="6.2" customHeight="1" x14ac:dyDescent="0.25"/>
    <row r="894" ht="6.95" customHeight="1" x14ac:dyDescent="0.25"/>
    <row r="895" ht="13.7" customHeight="1" x14ac:dyDescent="0.25"/>
    <row r="896" ht="13.7" customHeight="1" x14ac:dyDescent="0.25"/>
    <row r="897" ht="6.95" customHeight="1" x14ac:dyDescent="0.25"/>
    <row r="898" ht="13.7" customHeight="1" x14ac:dyDescent="0.25"/>
    <row r="899" ht="13.7" customHeight="1" x14ac:dyDescent="0.25"/>
    <row r="900" ht="13.7" customHeight="1" x14ac:dyDescent="0.25"/>
    <row r="901" ht="13.7" customHeight="1" x14ac:dyDescent="0.25"/>
    <row r="902" ht="13.7" customHeight="1" x14ac:dyDescent="0.25"/>
    <row r="903" ht="13.7" customHeight="1" x14ac:dyDescent="0.25"/>
    <row r="904" ht="13.7" customHeight="1" x14ac:dyDescent="0.25"/>
    <row r="905" ht="6.95" customHeight="1" x14ac:dyDescent="0.25"/>
    <row r="906" ht="11.85" customHeight="1" x14ac:dyDescent="0.25"/>
    <row r="907" ht="11.85" customHeight="1" x14ac:dyDescent="0.25"/>
    <row r="908" ht="6.95" customHeight="1" x14ac:dyDescent="0.25"/>
    <row r="909" ht="0.75" customHeight="1" x14ac:dyDescent="0.25"/>
    <row r="910" ht="6.2" customHeight="1" x14ac:dyDescent="0.25"/>
    <row r="911" ht="6.95" customHeight="1" x14ac:dyDescent="0.25"/>
    <row r="912" ht="13.7" customHeight="1" x14ac:dyDescent="0.25"/>
    <row r="913" ht="13.7" customHeight="1" x14ac:dyDescent="0.25"/>
    <row r="914" ht="6.95" customHeight="1" x14ac:dyDescent="0.25"/>
    <row r="915" ht="13.7" customHeight="1" x14ac:dyDescent="0.25"/>
    <row r="916" ht="13.7" customHeight="1" x14ac:dyDescent="0.25"/>
    <row r="917" ht="13.7" customHeight="1" x14ac:dyDescent="0.25"/>
    <row r="918" ht="13.7" customHeight="1" x14ac:dyDescent="0.25"/>
    <row r="919" ht="13.7" customHeight="1" x14ac:dyDescent="0.25"/>
    <row r="920" ht="13.7" customHeight="1" x14ac:dyDescent="0.25"/>
    <row r="921" ht="6.95" customHeight="1" x14ac:dyDescent="0.25"/>
    <row r="922" ht="11.85" customHeight="1" x14ac:dyDescent="0.25"/>
    <row r="923" ht="11.85" customHeight="1" x14ac:dyDescent="0.25"/>
    <row r="924" ht="6.95" customHeight="1" x14ac:dyDescent="0.25"/>
    <row r="925" ht="0.75" customHeight="1" x14ac:dyDescent="0.25"/>
    <row r="926" ht="212.25" customHeight="1" x14ac:dyDescent="0.25"/>
    <row r="927" ht="13.7" customHeight="1" x14ac:dyDescent="0.25"/>
    <row r="928" ht="6.95" customHeight="1" x14ac:dyDescent="0.25"/>
    <row r="929" ht="20.65" customHeight="1" x14ac:dyDescent="0.25"/>
    <row r="930" ht="13.7" customHeight="1" x14ac:dyDescent="0.25"/>
    <row r="931" ht="13.7" customHeight="1" x14ac:dyDescent="0.25"/>
    <row r="932" ht="6.95" customHeight="1" x14ac:dyDescent="0.25"/>
    <row r="933" ht="13.7" customHeight="1" x14ac:dyDescent="0.25"/>
    <row r="934" ht="13.7" customHeight="1" x14ac:dyDescent="0.25"/>
    <row r="935" ht="6.95" customHeight="1" x14ac:dyDescent="0.25"/>
    <row r="936" ht="13.7" customHeight="1" x14ac:dyDescent="0.25"/>
    <row r="937" ht="13.7" customHeight="1" x14ac:dyDescent="0.25"/>
    <row r="938" ht="13.7" customHeight="1" x14ac:dyDescent="0.25"/>
    <row r="939" ht="13.7" customHeight="1" x14ac:dyDescent="0.25"/>
    <row r="940" ht="13.7" customHeight="1" x14ac:dyDescent="0.25"/>
    <row r="941" ht="13.7" customHeight="1" x14ac:dyDescent="0.25"/>
    <row r="942" ht="13.7" customHeight="1" x14ac:dyDescent="0.25"/>
    <row r="943" ht="6.95" customHeight="1" x14ac:dyDescent="0.25"/>
    <row r="944" ht="11.85" customHeight="1" x14ac:dyDescent="0.25"/>
    <row r="945" ht="11.85" customHeight="1" x14ac:dyDescent="0.25"/>
    <row r="946" ht="6.95" customHeight="1" x14ac:dyDescent="0.25"/>
    <row r="947" ht="0.75" customHeight="1" x14ac:dyDescent="0.25"/>
    <row r="948" ht="6.2" customHeight="1" x14ac:dyDescent="0.25"/>
    <row r="949" ht="6.95" customHeight="1" x14ac:dyDescent="0.25"/>
    <row r="950" ht="13.7" customHeight="1" x14ac:dyDescent="0.25"/>
    <row r="951" ht="13.7" customHeight="1" x14ac:dyDescent="0.25"/>
    <row r="952" ht="6.95" customHeight="1" x14ac:dyDescent="0.25"/>
    <row r="953" ht="13.7" customHeight="1" x14ac:dyDescent="0.25"/>
    <row r="954" ht="13.7" customHeight="1" x14ac:dyDescent="0.25"/>
    <row r="955" ht="13.7" customHeight="1" x14ac:dyDescent="0.25"/>
    <row r="956" ht="13.7" customHeight="1" x14ac:dyDescent="0.25"/>
    <row r="957" ht="13.7" customHeight="1" x14ac:dyDescent="0.25"/>
    <row r="958" ht="13.7" customHeight="1" x14ac:dyDescent="0.25"/>
    <row r="959" ht="6.95" customHeight="1" x14ac:dyDescent="0.25"/>
    <row r="960" ht="11.85" customHeight="1" x14ac:dyDescent="0.25"/>
    <row r="961" ht="11.85" customHeight="1" x14ac:dyDescent="0.25"/>
    <row r="962" ht="6.95" customHeight="1" x14ac:dyDescent="0.25"/>
    <row r="963" ht="0.75" customHeight="1" x14ac:dyDescent="0.25"/>
    <row r="964" ht="6.2" customHeight="1" x14ac:dyDescent="0.25"/>
    <row r="965" ht="6.95" customHeight="1" x14ac:dyDescent="0.25"/>
    <row r="966" ht="13.7" customHeight="1" x14ac:dyDescent="0.25"/>
    <row r="967" ht="13.7" customHeight="1" x14ac:dyDescent="0.25"/>
    <row r="968" ht="6.95" customHeight="1" x14ac:dyDescent="0.25"/>
    <row r="969" ht="13.7" customHeight="1" x14ac:dyDescent="0.25"/>
    <row r="970" ht="13.7" customHeight="1" x14ac:dyDescent="0.25"/>
    <row r="971" ht="13.7" customHeight="1" x14ac:dyDescent="0.25"/>
    <row r="972" ht="13.7" customHeight="1" x14ac:dyDescent="0.25"/>
    <row r="973" ht="13.7" customHeight="1" x14ac:dyDescent="0.25"/>
    <row r="974" ht="13.7" customHeight="1" x14ac:dyDescent="0.25"/>
    <row r="975" ht="6.95" customHeight="1" x14ac:dyDescent="0.25"/>
    <row r="976" ht="11.85" customHeight="1" x14ac:dyDescent="0.25"/>
    <row r="977" ht="11.85" customHeight="1" x14ac:dyDescent="0.25"/>
    <row r="978" ht="6.95" customHeight="1" x14ac:dyDescent="0.25"/>
    <row r="979" ht="0.75" customHeight="1" x14ac:dyDescent="0.25"/>
    <row r="980" ht="212.25" customHeight="1" x14ac:dyDescent="0.25"/>
    <row r="981" ht="13.7" customHeight="1" x14ac:dyDescent="0.25"/>
    <row r="982" ht="6.95" customHeight="1" x14ac:dyDescent="0.25"/>
    <row r="983" ht="20.65" customHeight="1" x14ac:dyDescent="0.25"/>
    <row r="984" ht="13.7" customHeight="1" x14ac:dyDescent="0.25"/>
    <row r="985" ht="13.7" customHeight="1" x14ac:dyDescent="0.25"/>
    <row r="986" ht="6.95" customHeight="1" x14ac:dyDescent="0.25"/>
    <row r="987" ht="13.7" customHeight="1" x14ac:dyDescent="0.25"/>
    <row r="988" ht="13.7" customHeight="1" x14ac:dyDescent="0.25"/>
    <row r="989" ht="6.95" customHeight="1" x14ac:dyDescent="0.25"/>
    <row r="990" ht="13.7" customHeight="1" x14ac:dyDescent="0.25"/>
    <row r="991" ht="13.7" customHeight="1" x14ac:dyDescent="0.25"/>
    <row r="992" ht="13.7" customHeight="1" x14ac:dyDescent="0.25"/>
    <row r="993" ht="13.7" customHeight="1" x14ac:dyDescent="0.25"/>
    <row r="994" ht="13.7" customHeight="1" x14ac:dyDescent="0.25"/>
    <row r="995" ht="13.7" customHeight="1" x14ac:dyDescent="0.25"/>
    <row r="996" ht="6.95" customHeight="1" x14ac:dyDescent="0.25"/>
    <row r="997" ht="11.85" customHeight="1" x14ac:dyDescent="0.25"/>
    <row r="998" ht="11.85" customHeight="1" x14ac:dyDescent="0.25"/>
    <row r="999" ht="6.95" customHeight="1" x14ac:dyDescent="0.25"/>
    <row r="1000" ht="0.75" customHeight="1" x14ac:dyDescent="0.25"/>
    <row r="1001" ht="6.2" customHeight="1" x14ac:dyDescent="0.25"/>
    <row r="1002" ht="6.95" customHeight="1" x14ac:dyDescent="0.25"/>
    <row r="1003" ht="13.7" customHeight="1" x14ac:dyDescent="0.25"/>
    <row r="1004" ht="13.7" customHeight="1" x14ac:dyDescent="0.25"/>
    <row r="1005" ht="6.95" customHeight="1" x14ac:dyDescent="0.25"/>
    <row r="1006" ht="13.7" customHeight="1" x14ac:dyDescent="0.25"/>
    <row r="1007" ht="13.7" customHeight="1" x14ac:dyDescent="0.25"/>
    <row r="1008" ht="13.7" customHeight="1" x14ac:dyDescent="0.25"/>
    <row r="1009" ht="13.7" customHeight="1" x14ac:dyDescent="0.25"/>
    <row r="1010" ht="13.7" customHeight="1" x14ac:dyDescent="0.25"/>
    <row r="1011" ht="13.7" customHeight="1" x14ac:dyDescent="0.25"/>
    <row r="1012" ht="6.95" customHeight="1" x14ac:dyDescent="0.25"/>
    <row r="1013" ht="11.85" customHeight="1" x14ac:dyDescent="0.25"/>
    <row r="1014" ht="11.85" customHeight="1" x14ac:dyDescent="0.25"/>
    <row r="1015" ht="6.95" customHeight="1" x14ac:dyDescent="0.25"/>
    <row r="1016" ht="0.75" customHeight="1" x14ac:dyDescent="0.25"/>
    <row r="1017" ht="6.2" customHeight="1" x14ac:dyDescent="0.25"/>
    <row r="1018" ht="6.95" customHeight="1" x14ac:dyDescent="0.25"/>
    <row r="1019" ht="13.7" customHeight="1" x14ac:dyDescent="0.25"/>
    <row r="1020" ht="13.7" customHeight="1" x14ac:dyDescent="0.25"/>
    <row r="1021" ht="6.95" customHeight="1" x14ac:dyDescent="0.25"/>
    <row r="1022" ht="13.7" customHeight="1" x14ac:dyDescent="0.25"/>
    <row r="1023" ht="13.7" customHeight="1" x14ac:dyDescent="0.25"/>
    <row r="1024" ht="13.7" customHeight="1" x14ac:dyDescent="0.25"/>
    <row r="1025" ht="13.7" customHeight="1" x14ac:dyDescent="0.25"/>
    <row r="1026" ht="13.7" customHeight="1" x14ac:dyDescent="0.25"/>
    <row r="1027" ht="13.7" customHeight="1" x14ac:dyDescent="0.25"/>
    <row r="1028" ht="6.95" customHeight="1" x14ac:dyDescent="0.25"/>
    <row r="1029" ht="11.85" customHeight="1" x14ac:dyDescent="0.25"/>
    <row r="1030" ht="11.85" customHeight="1" x14ac:dyDescent="0.25"/>
    <row r="1031" ht="6.95" customHeight="1" x14ac:dyDescent="0.25"/>
    <row r="1032" ht="0.75" customHeight="1" x14ac:dyDescent="0.25"/>
    <row r="1033" ht="6.2" customHeight="1" x14ac:dyDescent="0.25"/>
    <row r="1034" ht="6.95" customHeight="1" x14ac:dyDescent="0.25"/>
    <row r="1035" ht="13.7" customHeight="1" x14ac:dyDescent="0.25"/>
    <row r="1036" ht="13.7" customHeight="1" x14ac:dyDescent="0.25"/>
    <row r="1037" ht="6.95" customHeight="1" x14ac:dyDescent="0.25"/>
    <row r="1038" ht="13.7" customHeight="1" x14ac:dyDescent="0.25"/>
    <row r="1039" ht="13.7" customHeight="1" x14ac:dyDescent="0.25"/>
    <row r="1040" ht="13.7" customHeight="1" x14ac:dyDescent="0.25"/>
    <row r="1041" ht="13.7" customHeight="1" x14ac:dyDescent="0.25"/>
    <row r="1042" ht="13.7" customHeight="1" x14ac:dyDescent="0.25"/>
    <row r="1043" ht="13.7" customHeight="1" x14ac:dyDescent="0.25"/>
    <row r="1044" ht="6.95" customHeight="1" x14ac:dyDescent="0.25"/>
    <row r="1045" ht="11.85" customHeight="1" x14ac:dyDescent="0.25"/>
    <row r="1046" ht="11.85" customHeight="1" x14ac:dyDescent="0.25"/>
    <row r="1047" ht="6.95" customHeight="1" x14ac:dyDescent="0.25"/>
    <row r="1048" ht="0.75" customHeight="1" x14ac:dyDescent="0.25"/>
    <row r="1049" ht="58.15" customHeight="1" x14ac:dyDescent="0.25"/>
    <row r="1050" ht="13.7" customHeight="1" x14ac:dyDescent="0.25"/>
    <row r="1051" ht="6.95" customHeight="1" x14ac:dyDescent="0.25"/>
    <row r="1052" ht="20.65" customHeight="1" x14ac:dyDescent="0.25"/>
    <row r="1053" ht="13.7" customHeight="1" x14ac:dyDescent="0.25"/>
    <row r="1054" ht="13.7" customHeight="1" x14ac:dyDescent="0.25"/>
    <row r="1055" ht="6.95" customHeight="1" x14ac:dyDescent="0.25"/>
    <row r="1056" ht="13.7" customHeight="1" x14ac:dyDescent="0.25"/>
    <row r="1057" ht="13.7" customHeight="1" x14ac:dyDescent="0.25"/>
    <row r="1058" ht="6.95" customHeight="1" x14ac:dyDescent="0.25"/>
    <row r="1059" ht="13.7" customHeight="1" x14ac:dyDescent="0.25"/>
    <row r="1060" ht="13.7" customHeight="1" x14ac:dyDescent="0.25"/>
    <row r="1061" ht="13.7" customHeight="1" x14ac:dyDescent="0.25"/>
    <row r="1062" ht="13.7" customHeight="1" x14ac:dyDescent="0.25"/>
    <row r="1063" ht="13.7" customHeight="1" x14ac:dyDescent="0.25"/>
    <row r="1064" ht="13.7" customHeight="1" x14ac:dyDescent="0.25"/>
    <row r="1065" ht="6.95" customHeight="1" x14ac:dyDescent="0.25"/>
    <row r="1066" ht="11.85" customHeight="1" x14ac:dyDescent="0.25"/>
    <row r="1067" ht="11.85" customHeight="1" x14ac:dyDescent="0.25"/>
    <row r="1068" ht="6.95" customHeight="1" x14ac:dyDescent="0.25"/>
    <row r="1069" ht="0.75" customHeight="1" x14ac:dyDescent="0.25"/>
    <row r="1070" ht="6.2" customHeight="1" x14ac:dyDescent="0.25"/>
    <row r="1071" ht="6.95" customHeight="1" x14ac:dyDescent="0.25"/>
    <row r="1072" ht="13.7" customHeight="1" x14ac:dyDescent="0.25"/>
    <row r="1073" ht="13.7" customHeight="1" x14ac:dyDescent="0.25"/>
    <row r="1074" ht="6.95" customHeight="1" x14ac:dyDescent="0.25"/>
    <row r="1075" ht="13.7" customHeight="1" x14ac:dyDescent="0.25"/>
    <row r="1076" ht="13.7" customHeight="1" x14ac:dyDescent="0.25"/>
    <row r="1077" ht="13.7" customHeight="1" x14ac:dyDescent="0.25"/>
    <row r="1078" ht="13.7" customHeight="1" x14ac:dyDescent="0.25"/>
    <row r="1079" ht="13.7" customHeight="1" x14ac:dyDescent="0.25"/>
    <row r="1080" ht="13.7" customHeight="1" x14ac:dyDescent="0.25"/>
    <row r="1081" ht="6.95" customHeight="1" x14ac:dyDescent="0.25"/>
    <row r="1082" ht="11.85" customHeight="1" x14ac:dyDescent="0.25"/>
    <row r="1083" ht="11.85" customHeight="1" x14ac:dyDescent="0.25"/>
    <row r="1084" ht="6.95" customHeight="1" x14ac:dyDescent="0.25"/>
    <row r="1085" ht="0.75" customHeight="1" x14ac:dyDescent="0.25"/>
    <row r="1086" ht="6.2" customHeight="1" x14ac:dyDescent="0.25"/>
    <row r="1087" ht="6.95" customHeight="1" x14ac:dyDescent="0.25"/>
    <row r="1088" ht="13.7" customHeight="1" x14ac:dyDescent="0.25"/>
    <row r="1089" ht="13.7" customHeight="1" x14ac:dyDescent="0.25"/>
    <row r="1090" ht="6.95" customHeight="1" x14ac:dyDescent="0.25"/>
    <row r="1091" ht="13.7" customHeight="1" x14ac:dyDescent="0.25"/>
    <row r="1092" ht="13.7" customHeight="1" x14ac:dyDescent="0.25"/>
    <row r="1093" ht="13.7" customHeight="1" x14ac:dyDescent="0.25"/>
    <row r="1094" ht="13.7" customHeight="1" x14ac:dyDescent="0.25"/>
    <row r="1095" ht="13.7" customHeight="1" x14ac:dyDescent="0.25"/>
    <row r="1096" ht="13.7" customHeight="1" x14ac:dyDescent="0.25"/>
    <row r="1097" ht="6.95" customHeight="1" x14ac:dyDescent="0.25"/>
    <row r="1098" ht="11.85" customHeight="1" x14ac:dyDescent="0.25"/>
    <row r="1099" ht="11.85" customHeight="1" x14ac:dyDescent="0.25"/>
    <row r="1100" ht="6.95" customHeight="1" x14ac:dyDescent="0.25"/>
    <row r="1101" ht="0.75" customHeight="1" x14ac:dyDescent="0.25"/>
    <row r="1102" ht="6.2" customHeight="1" x14ac:dyDescent="0.25"/>
    <row r="1103" ht="6.95" customHeight="1" x14ac:dyDescent="0.25"/>
    <row r="1104" ht="13.7" customHeight="1" x14ac:dyDescent="0.25"/>
    <row r="1105" ht="13.7" customHeight="1" x14ac:dyDescent="0.25"/>
    <row r="1106" ht="6.95" customHeight="1" x14ac:dyDescent="0.25"/>
    <row r="1107" ht="13.7" customHeight="1" x14ac:dyDescent="0.25"/>
    <row r="1108" ht="13.7" customHeight="1" x14ac:dyDescent="0.25"/>
    <row r="1109" ht="13.7" customHeight="1" x14ac:dyDescent="0.25"/>
    <row r="1110" ht="13.7" customHeight="1" x14ac:dyDescent="0.25"/>
    <row r="1111" ht="13.7" customHeight="1" x14ac:dyDescent="0.25"/>
    <row r="1112" ht="13.7" customHeight="1" x14ac:dyDescent="0.25"/>
    <row r="1113" ht="6.95" customHeight="1" x14ac:dyDescent="0.25"/>
    <row r="1114" ht="11.85" customHeight="1" x14ac:dyDescent="0.25"/>
    <row r="1115" ht="11.85" customHeight="1" x14ac:dyDescent="0.25"/>
    <row r="1116" ht="6.95" customHeight="1" x14ac:dyDescent="0.25"/>
    <row r="1117" ht="0.75" customHeight="1" x14ac:dyDescent="0.25"/>
    <row r="1118" ht="58.15" customHeight="1" x14ac:dyDescent="0.25"/>
    <row r="1119" ht="13.7" customHeight="1" x14ac:dyDescent="0.25"/>
    <row r="1120" ht="6.95" customHeight="1" x14ac:dyDescent="0.25"/>
    <row r="1121" ht="20.65" customHeight="1" x14ac:dyDescent="0.25"/>
    <row r="1122" ht="13.7" customHeight="1" x14ac:dyDescent="0.25"/>
    <row r="1123" ht="13.7" customHeight="1" x14ac:dyDescent="0.25"/>
    <row r="1124" ht="6.95" customHeight="1" x14ac:dyDescent="0.25"/>
    <row r="1125" ht="13.7" customHeight="1" x14ac:dyDescent="0.25"/>
    <row r="1126" ht="13.7" customHeight="1" x14ac:dyDescent="0.25"/>
    <row r="1127" ht="6.95" customHeight="1" x14ac:dyDescent="0.25"/>
    <row r="1128" ht="13.7" customHeight="1" x14ac:dyDescent="0.25"/>
    <row r="1129" ht="13.7" customHeight="1" x14ac:dyDescent="0.25"/>
    <row r="1130" ht="13.7" customHeight="1" x14ac:dyDescent="0.25"/>
    <row r="1131" ht="13.7" customHeight="1" x14ac:dyDescent="0.25"/>
    <row r="1132" ht="13.7" customHeight="1" x14ac:dyDescent="0.25"/>
    <row r="1133" ht="13.7" customHeight="1" x14ac:dyDescent="0.25"/>
    <row r="1134" ht="6.95" customHeight="1" x14ac:dyDescent="0.25"/>
    <row r="1135" ht="11.85" customHeight="1" x14ac:dyDescent="0.25"/>
    <row r="1136" ht="11.85" customHeight="1" x14ac:dyDescent="0.25"/>
    <row r="1137" ht="6.95" customHeight="1" x14ac:dyDescent="0.25"/>
    <row r="1138" ht="0.75" customHeight="1" x14ac:dyDescent="0.25"/>
    <row r="1139" ht="6.2" customHeight="1" x14ac:dyDescent="0.25"/>
    <row r="1140" ht="6.95" customHeight="1" x14ac:dyDescent="0.25"/>
    <row r="1141" ht="13.7" customHeight="1" x14ac:dyDescent="0.25"/>
    <row r="1142" ht="13.7" customHeight="1" x14ac:dyDescent="0.25"/>
    <row r="1143" ht="6.95" customHeight="1" x14ac:dyDescent="0.25"/>
    <row r="1144" ht="13.7" customHeight="1" x14ac:dyDescent="0.25"/>
    <row r="1145" ht="13.7" customHeight="1" x14ac:dyDescent="0.25"/>
    <row r="1146" ht="13.7" customHeight="1" x14ac:dyDescent="0.25"/>
    <row r="1147" ht="13.7" customHeight="1" x14ac:dyDescent="0.25"/>
    <row r="1148" ht="13.7" customHeight="1" x14ac:dyDescent="0.25"/>
    <row r="1149" ht="13.7" customHeight="1" x14ac:dyDescent="0.25"/>
    <row r="1150" ht="6.95" customHeight="1" x14ac:dyDescent="0.25"/>
    <row r="1151" ht="11.85" customHeight="1" x14ac:dyDescent="0.25"/>
    <row r="1152" ht="11.85" customHeight="1" x14ac:dyDescent="0.25"/>
    <row r="1153" ht="6.95" customHeight="1" x14ac:dyDescent="0.25"/>
    <row r="1154" ht="0.75" customHeight="1" x14ac:dyDescent="0.25"/>
    <row r="1155" ht="6.2" customHeight="1" x14ac:dyDescent="0.25"/>
    <row r="1156" ht="6.95" customHeight="1" x14ac:dyDescent="0.25"/>
    <row r="1157" ht="13.7" customHeight="1" x14ac:dyDescent="0.25"/>
    <row r="1158" ht="13.7" customHeight="1" x14ac:dyDescent="0.25"/>
    <row r="1159" ht="6.95" customHeight="1" x14ac:dyDescent="0.25"/>
    <row r="1160" ht="13.7" customHeight="1" x14ac:dyDescent="0.25"/>
    <row r="1161" ht="13.7" customHeight="1" x14ac:dyDescent="0.25"/>
    <row r="1162" ht="13.7" customHeight="1" x14ac:dyDescent="0.25"/>
    <row r="1163" ht="13.7" customHeight="1" x14ac:dyDescent="0.25"/>
    <row r="1164" ht="13.7" customHeight="1" x14ac:dyDescent="0.25"/>
    <row r="1165" ht="13.7" customHeight="1" x14ac:dyDescent="0.25"/>
    <row r="1166" ht="6.95" customHeight="1" x14ac:dyDescent="0.25"/>
    <row r="1167" ht="11.85" customHeight="1" x14ac:dyDescent="0.25"/>
    <row r="1168" ht="11.85" customHeight="1" x14ac:dyDescent="0.25"/>
    <row r="1169" ht="6.95" customHeight="1" x14ac:dyDescent="0.25"/>
    <row r="1170" ht="0.75" customHeight="1" x14ac:dyDescent="0.25"/>
    <row r="1171" ht="6.2" customHeight="1" x14ac:dyDescent="0.25"/>
    <row r="1172" ht="6.95" customHeight="1" x14ac:dyDescent="0.25"/>
    <row r="1173" ht="13.7" customHeight="1" x14ac:dyDescent="0.25"/>
    <row r="1174" ht="13.7" customHeight="1" x14ac:dyDescent="0.25"/>
    <row r="1175" ht="6.95" customHeight="1" x14ac:dyDescent="0.25"/>
    <row r="1176" ht="13.7" customHeight="1" x14ac:dyDescent="0.25"/>
    <row r="1177" ht="13.7" customHeight="1" x14ac:dyDescent="0.25"/>
    <row r="1178" ht="13.7" customHeight="1" x14ac:dyDescent="0.25"/>
    <row r="1179" ht="13.7" customHeight="1" x14ac:dyDescent="0.25"/>
    <row r="1180" ht="13.7" customHeight="1" x14ac:dyDescent="0.25"/>
    <row r="1181" ht="13.7" customHeight="1" x14ac:dyDescent="0.25"/>
    <row r="1182" ht="6.95" customHeight="1" x14ac:dyDescent="0.25"/>
    <row r="1183" ht="11.85" customHeight="1" x14ac:dyDescent="0.25"/>
    <row r="1184" ht="11.85" customHeight="1" x14ac:dyDescent="0.25"/>
    <row r="1185" ht="6.95" customHeight="1" x14ac:dyDescent="0.25"/>
    <row r="1186" ht="0.75" customHeight="1" x14ac:dyDescent="0.25"/>
    <row r="1187" ht="58.15" customHeight="1" x14ac:dyDescent="0.25"/>
    <row r="1188" ht="13.7" customHeight="1" x14ac:dyDescent="0.25"/>
    <row r="1189" ht="6.95" customHeight="1" x14ac:dyDescent="0.25"/>
    <row r="1190" ht="20.65" customHeight="1" x14ac:dyDescent="0.25"/>
    <row r="1191" ht="13.7" customHeight="1" x14ac:dyDescent="0.25"/>
    <row r="1192" ht="13.7" customHeight="1" x14ac:dyDescent="0.25"/>
    <row r="1193" ht="6.95" customHeight="1" x14ac:dyDescent="0.25"/>
    <row r="1194" ht="13.7" customHeight="1" x14ac:dyDescent="0.25"/>
    <row r="1195" ht="13.7" customHeight="1" x14ac:dyDescent="0.25"/>
    <row r="1196" ht="6.95" customHeight="1" x14ac:dyDescent="0.25"/>
    <row r="1197" ht="13.7" customHeight="1" x14ac:dyDescent="0.25"/>
    <row r="1198" ht="13.7" customHeight="1" x14ac:dyDescent="0.25"/>
    <row r="1199" ht="13.7" customHeight="1" x14ac:dyDescent="0.25"/>
    <row r="1200" ht="13.7" customHeight="1" x14ac:dyDescent="0.25"/>
    <row r="1201" ht="13.7" customHeight="1" x14ac:dyDescent="0.25"/>
    <row r="1202" ht="13.7" customHeight="1" x14ac:dyDescent="0.25"/>
    <row r="1203" ht="6.95" customHeight="1" x14ac:dyDescent="0.25"/>
    <row r="1204" ht="11.85" customHeight="1" x14ac:dyDescent="0.25"/>
    <row r="1205" ht="11.85" customHeight="1" x14ac:dyDescent="0.25"/>
    <row r="1206" ht="6.95" customHeight="1" x14ac:dyDescent="0.25"/>
    <row r="1207" ht="0.75" customHeight="1" x14ac:dyDescent="0.25"/>
    <row r="1208" ht="6.2" customHeight="1" x14ac:dyDescent="0.25"/>
    <row r="1209" ht="6.95" customHeight="1" x14ac:dyDescent="0.25"/>
    <row r="1210" ht="13.7" customHeight="1" x14ac:dyDescent="0.25"/>
    <row r="1211" ht="13.7" customHeight="1" x14ac:dyDescent="0.25"/>
    <row r="1212" ht="6.95" customHeight="1" x14ac:dyDescent="0.25"/>
    <row r="1213" ht="13.7" customHeight="1" x14ac:dyDescent="0.25"/>
    <row r="1214" ht="13.7" customHeight="1" x14ac:dyDescent="0.25"/>
    <row r="1215" ht="13.7" customHeight="1" x14ac:dyDescent="0.25"/>
    <row r="1216" ht="13.7" customHeight="1" x14ac:dyDescent="0.25"/>
    <row r="1217" ht="13.7" customHeight="1" x14ac:dyDescent="0.25"/>
    <row r="1218" ht="13.7" customHeight="1" x14ac:dyDescent="0.25"/>
    <row r="1219" ht="13.7" customHeight="1" x14ac:dyDescent="0.25"/>
    <row r="1220" ht="6.95" customHeight="1" x14ac:dyDescent="0.25"/>
    <row r="1221" ht="11.85" customHeight="1" x14ac:dyDescent="0.25"/>
    <row r="1222" ht="11.85" customHeight="1" x14ac:dyDescent="0.25"/>
    <row r="1223" ht="6.95" customHeight="1" x14ac:dyDescent="0.25"/>
    <row r="1224" ht="0.75" customHeight="1" x14ac:dyDescent="0.25"/>
    <row r="1225" ht="6.2" customHeight="1" x14ac:dyDescent="0.25"/>
    <row r="1226" ht="6.95" customHeight="1" x14ac:dyDescent="0.25"/>
    <row r="1227" ht="13.7" customHeight="1" x14ac:dyDescent="0.25"/>
    <row r="1228" ht="13.7" customHeight="1" x14ac:dyDescent="0.25"/>
    <row r="1229" ht="6.95" customHeight="1" x14ac:dyDescent="0.25"/>
    <row r="1230" ht="13.7" customHeight="1" x14ac:dyDescent="0.25"/>
    <row r="1231" ht="13.7" customHeight="1" x14ac:dyDescent="0.25"/>
    <row r="1232" ht="13.7" customHeight="1" x14ac:dyDescent="0.25"/>
    <row r="1233" ht="6.95" customHeight="1" x14ac:dyDescent="0.25"/>
    <row r="1234" ht="11.85" customHeight="1" x14ac:dyDescent="0.25"/>
    <row r="1235" ht="11.85" customHeight="1" x14ac:dyDescent="0.25"/>
    <row r="1236" ht="6.95" customHeight="1" x14ac:dyDescent="0.25"/>
    <row r="1237" ht="0.75" customHeight="1" x14ac:dyDescent="0.25"/>
    <row r="1238" ht="6.2" customHeight="1" x14ac:dyDescent="0.25"/>
    <row r="1239" ht="6.95" customHeight="1" x14ac:dyDescent="0.25"/>
    <row r="1240" ht="13.7" customHeight="1" x14ac:dyDescent="0.25"/>
    <row r="1241" ht="13.7" customHeight="1" x14ac:dyDescent="0.25"/>
    <row r="1242" ht="6.95" customHeight="1" x14ac:dyDescent="0.25"/>
    <row r="1243" ht="13.7" customHeight="1" x14ac:dyDescent="0.25"/>
    <row r="1244" ht="13.7" customHeight="1" x14ac:dyDescent="0.25"/>
    <row r="1245" ht="13.7" customHeight="1" x14ac:dyDescent="0.25"/>
    <row r="1246" ht="6.95" customHeight="1" x14ac:dyDescent="0.25"/>
    <row r="1247" ht="11.85" customHeight="1" x14ac:dyDescent="0.25"/>
    <row r="1248" ht="11.85" customHeight="1" x14ac:dyDescent="0.25"/>
    <row r="1249" ht="6.95" customHeight="1" x14ac:dyDescent="0.25"/>
    <row r="1250" ht="0.75" customHeight="1" x14ac:dyDescent="0.25"/>
    <row r="1251" ht="126.75" customHeight="1" x14ac:dyDescent="0.25"/>
    <row r="1252" ht="13.7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Output"/>
  <dimension ref="A1:M1000"/>
  <sheetViews>
    <sheetView zoomScaleNormal="100" workbookViewId="0">
      <selection activeCell="H21" sqref="H21"/>
    </sheetView>
  </sheetViews>
  <sheetFormatPr defaultRowHeight="15" x14ac:dyDescent="0.25"/>
  <cols>
    <col min="1" max="1" width="14.28515625" style="2" bestFit="1" customWidth="1"/>
    <col min="2" max="2" width="22" style="2" bestFit="1" customWidth="1"/>
    <col min="3" max="5" width="11.5703125" style="2" customWidth="1"/>
    <col min="6" max="6" width="9.85546875" style="13" bestFit="1" customWidth="1"/>
    <col min="7" max="7" width="11.42578125" style="1" bestFit="1" customWidth="1"/>
    <col min="8" max="8" width="16.85546875" style="1" bestFit="1" customWidth="1"/>
    <col min="9" max="9" width="15.42578125" style="2" bestFit="1" customWidth="1"/>
    <col min="10" max="11" width="22" style="1" bestFit="1" customWidth="1"/>
    <col min="12" max="12" width="16.28515625" style="3" bestFit="1" customWidth="1"/>
    <col min="13" max="13" width="16.28515625" bestFit="1" customWidth="1"/>
  </cols>
  <sheetData>
    <row r="1" spans="1:13" x14ac:dyDescent="0.25">
      <c r="A1" s="4" t="s">
        <v>1</v>
      </c>
      <c r="B1" s="4" t="s">
        <v>12</v>
      </c>
      <c r="C1" s="4" t="s">
        <v>0</v>
      </c>
      <c r="D1" s="4" t="s">
        <v>3</v>
      </c>
      <c r="E1" s="4" t="s">
        <v>6</v>
      </c>
      <c r="F1" s="12" t="s">
        <v>4</v>
      </c>
      <c r="G1" s="14" t="s">
        <v>5</v>
      </c>
      <c r="H1" s="14" t="s">
        <v>2</v>
      </c>
      <c r="I1" s="4" t="s">
        <v>8</v>
      </c>
      <c r="J1" s="14" t="s">
        <v>10</v>
      </c>
      <c r="K1" s="14" t="s">
        <v>9</v>
      </c>
      <c r="L1" s="15" t="s">
        <v>11</v>
      </c>
      <c r="M1" s="15" t="s">
        <v>27</v>
      </c>
    </row>
    <row r="2" spans="1:13" x14ac:dyDescent="0.25">
      <c r="A2"/>
      <c r="B2"/>
      <c r="C2"/>
      <c r="D2"/>
      <c r="E2"/>
      <c r="F2"/>
      <c r="G2"/>
      <c r="H2"/>
      <c r="I2"/>
      <c r="J2"/>
      <c r="K2"/>
      <c r="L2"/>
    </row>
    <row r="3" spans="1:13" x14ac:dyDescent="0.25">
      <c r="A3"/>
      <c r="B3"/>
      <c r="C3"/>
      <c r="D3"/>
      <c r="E3"/>
      <c r="F3"/>
      <c r="G3"/>
      <c r="H3"/>
      <c r="I3"/>
      <c r="J3"/>
      <c r="K3"/>
      <c r="L3"/>
    </row>
    <row r="4" spans="1:13" x14ac:dyDescent="0.25">
      <c r="A4"/>
      <c r="B4"/>
      <c r="C4"/>
      <c r="D4"/>
      <c r="E4"/>
      <c r="F4"/>
      <c r="G4"/>
      <c r="H4"/>
      <c r="I4"/>
      <c r="J4"/>
      <c r="K4"/>
      <c r="L4"/>
    </row>
    <row r="5" spans="1:13" x14ac:dyDescent="0.25">
      <c r="A5"/>
      <c r="B5"/>
      <c r="C5"/>
      <c r="D5"/>
      <c r="E5"/>
      <c r="F5"/>
      <c r="G5"/>
      <c r="H5"/>
      <c r="I5"/>
      <c r="J5"/>
      <c r="K5"/>
      <c r="L5"/>
    </row>
    <row r="6" spans="1:13" x14ac:dyDescent="0.25">
      <c r="A6"/>
      <c r="B6"/>
      <c r="C6"/>
      <c r="D6"/>
      <c r="E6"/>
      <c r="F6"/>
      <c r="G6"/>
      <c r="H6"/>
      <c r="I6"/>
      <c r="J6"/>
      <c r="K6"/>
      <c r="L6"/>
    </row>
    <row r="7" spans="1:13" x14ac:dyDescent="0.25">
      <c r="A7"/>
      <c r="B7"/>
      <c r="C7"/>
      <c r="D7"/>
      <c r="E7"/>
      <c r="F7"/>
      <c r="G7"/>
      <c r="H7"/>
      <c r="I7"/>
      <c r="J7"/>
      <c r="K7"/>
      <c r="L7"/>
    </row>
    <row r="8" spans="1:13" x14ac:dyDescent="0.25">
      <c r="A8"/>
      <c r="B8"/>
      <c r="C8"/>
      <c r="D8"/>
      <c r="E8"/>
      <c r="F8"/>
      <c r="G8"/>
      <c r="H8"/>
      <c r="I8"/>
      <c r="J8"/>
      <c r="K8"/>
      <c r="L8"/>
    </row>
    <row r="9" spans="1:13" x14ac:dyDescent="0.25">
      <c r="A9"/>
      <c r="B9"/>
      <c r="C9"/>
      <c r="D9"/>
      <c r="E9"/>
      <c r="F9"/>
      <c r="G9"/>
      <c r="H9"/>
      <c r="I9"/>
      <c r="J9"/>
      <c r="K9"/>
      <c r="L9"/>
    </row>
    <row r="10" spans="1:13" x14ac:dyDescent="0.25">
      <c r="A10"/>
      <c r="B10"/>
      <c r="C10"/>
      <c r="D10"/>
      <c r="E10"/>
      <c r="F10"/>
      <c r="G10"/>
      <c r="H10"/>
      <c r="I10"/>
      <c r="J10"/>
      <c r="K10"/>
      <c r="L10"/>
    </row>
    <row r="11" spans="1:13" x14ac:dyDescent="0.25">
      <c r="A11"/>
      <c r="B11"/>
      <c r="C11"/>
      <c r="D11"/>
      <c r="E11"/>
      <c r="F11"/>
      <c r="G11"/>
      <c r="H11"/>
      <c r="I11"/>
      <c r="J11"/>
      <c r="K11"/>
      <c r="L11"/>
    </row>
    <row r="12" spans="1:13" x14ac:dyDescent="0.25">
      <c r="A12"/>
      <c r="B12"/>
      <c r="C12"/>
      <c r="D12"/>
      <c r="E12"/>
      <c r="F12"/>
      <c r="G12"/>
      <c r="H12"/>
      <c r="I12"/>
      <c r="J12"/>
      <c r="K12"/>
      <c r="L12"/>
    </row>
    <row r="13" spans="1:13" x14ac:dyDescent="0.25">
      <c r="A13"/>
      <c r="B13"/>
      <c r="C13"/>
      <c r="D13"/>
      <c r="E13"/>
      <c r="F13"/>
      <c r="G13"/>
      <c r="H13"/>
      <c r="I13"/>
      <c r="J13"/>
      <c r="K13"/>
      <c r="L13"/>
    </row>
    <row r="14" spans="1:13" x14ac:dyDescent="0.25">
      <c r="A14"/>
      <c r="B14"/>
      <c r="C14"/>
      <c r="D14"/>
      <c r="E14"/>
      <c r="F14"/>
      <c r="G14"/>
      <c r="H14"/>
      <c r="I14"/>
      <c r="J14"/>
      <c r="K14"/>
      <c r="L14"/>
    </row>
    <row r="15" spans="1:13" x14ac:dyDescent="0.25">
      <c r="A15"/>
      <c r="B15"/>
      <c r="C15"/>
      <c r="D15"/>
      <c r="E15"/>
      <c r="F15"/>
      <c r="G15"/>
      <c r="H15"/>
      <c r="I15"/>
      <c r="J15"/>
      <c r="K15"/>
      <c r="L15"/>
    </row>
    <row r="16" spans="1:13" x14ac:dyDescent="0.25">
      <c r="A16"/>
      <c r="B16"/>
      <c r="C16"/>
      <c r="D16"/>
      <c r="E16"/>
      <c r="F16"/>
      <c r="G16"/>
      <c r="H16"/>
      <c r="I16"/>
      <c r="J16"/>
      <c r="K16"/>
      <c r="L16"/>
    </row>
    <row r="17" spans="1:12" x14ac:dyDescent="0.25">
      <c r="A17"/>
      <c r="B17"/>
      <c r="C17"/>
      <c r="D17"/>
      <c r="E17"/>
      <c r="F17"/>
      <c r="G17"/>
      <c r="H17"/>
      <c r="I17"/>
      <c r="J17"/>
      <c r="K17"/>
      <c r="L17"/>
    </row>
    <row r="18" spans="1:12" x14ac:dyDescent="0.25">
      <c r="A18"/>
      <c r="B18"/>
      <c r="C18"/>
      <c r="D18"/>
      <c r="E18"/>
      <c r="F18"/>
      <c r="G18"/>
      <c r="H18"/>
      <c r="I18"/>
      <c r="J18"/>
      <c r="K18"/>
      <c r="L18"/>
    </row>
    <row r="19" spans="1:12" x14ac:dyDescent="0.25">
      <c r="A19"/>
      <c r="B19"/>
      <c r="C19"/>
      <c r="D19"/>
      <c r="E19"/>
      <c r="F19"/>
      <c r="G19"/>
      <c r="H19"/>
      <c r="I19"/>
      <c r="J19"/>
      <c r="K19"/>
      <c r="L19"/>
    </row>
    <row r="20" spans="1:12" x14ac:dyDescent="0.25">
      <c r="A20"/>
      <c r="B20"/>
      <c r="C20"/>
      <c r="D20"/>
      <c r="E20"/>
      <c r="F20"/>
      <c r="G20"/>
      <c r="H20"/>
      <c r="I20"/>
      <c r="J20"/>
      <c r="K20"/>
      <c r="L20"/>
    </row>
    <row r="21" spans="1:12" x14ac:dyDescent="0.25">
      <c r="A21"/>
      <c r="B21"/>
      <c r="C21"/>
      <c r="D21"/>
      <c r="E21"/>
      <c r="F21"/>
      <c r="G21"/>
      <c r="H21"/>
      <c r="I21"/>
      <c r="J21"/>
      <c r="K21"/>
      <c r="L21"/>
    </row>
    <row r="22" spans="1:12" x14ac:dyDescent="0.25">
      <c r="A22"/>
      <c r="B22"/>
      <c r="C22"/>
      <c r="D22"/>
      <c r="E22"/>
      <c r="F22"/>
      <c r="G22"/>
      <c r="H22"/>
      <c r="I22"/>
      <c r="J22"/>
      <c r="K22"/>
      <c r="L22"/>
    </row>
    <row r="23" spans="1:12" x14ac:dyDescent="0.25">
      <c r="A23"/>
      <c r="B23"/>
      <c r="C23"/>
      <c r="D23"/>
      <c r="E23"/>
      <c r="F23"/>
      <c r="G23"/>
      <c r="H23"/>
      <c r="I23"/>
      <c r="J23"/>
      <c r="K23"/>
      <c r="L23"/>
    </row>
    <row r="24" spans="1:12" x14ac:dyDescent="0.25">
      <c r="A24"/>
      <c r="B24"/>
      <c r="C24"/>
      <c r="D24"/>
      <c r="E24"/>
      <c r="F24"/>
      <c r="G24"/>
      <c r="H24"/>
      <c r="I24"/>
      <c r="J24"/>
      <c r="K24"/>
      <c r="L24"/>
    </row>
    <row r="25" spans="1:12" x14ac:dyDescent="0.25">
      <c r="A25"/>
      <c r="B25"/>
      <c r="C25"/>
      <c r="D25"/>
      <c r="E25"/>
      <c r="F25"/>
      <c r="G25"/>
      <c r="H25"/>
      <c r="I25"/>
      <c r="J25"/>
      <c r="K25"/>
      <c r="L25"/>
    </row>
    <row r="26" spans="1:12" x14ac:dyDescent="0.25">
      <c r="A26"/>
      <c r="B26"/>
      <c r="C26"/>
      <c r="D26"/>
      <c r="E26"/>
      <c r="F26"/>
      <c r="G26"/>
      <c r="H26"/>
      <c r="I26"/>
      <c r="J26"/>
      <c r="K26"/>
      <c r="L26"/>
    </row>
    <row r="27" spans="1:12" x14ac:dyDescent="0.25">
      <c r="A27"/>
      <c r="B27"/>
      <c r="C27"/>
      <c r="D27"/>
      <c r="E27"/>
      <c r="F27"/>
      <c r="G27"/>
      <c r="H27"/>
      <c r="I27"/>
      <c r="J27"/>
      <c r="K27"/>
      <c r="L27"/>
    </row>
    <row r="28" spans="1:12" x14ac:dyDescent="0.25">
      <c r="A28"/>
      <c r="B28"/>
      <c r="C28"/>
      <c r="D28"/>
      <c r="E28"/>
      <c r="F28"/>
      <c r="G28"/>
      <c r="H28"/>
      <c r="I28"/>
      <c r="J28"/>
      <c r="K28"/>
      <c r="L28"/>
    </row>
    <row r="29" spans="1:12" x14ac:dyDescent="0.25">
      <c r="A29"/>
      <c r="B29"/>
      <c r="C29"/>
      <c r="D29"/>
      <c r="E29"/>
      <c r="F29"/>
      <c r="G29"/>
      <c r="H29"/>
      <c r="I29"/>
      <c r="J29"/>
      <c r="K29"/>
      <c r="L29"/>
    </row>
    <row r="30" spans="1:12" x14ac:dyDescent="0.25">
      <c r="A30"/>
      <c r="B30"/>
      <c r="C30"/>
      <c r="D30"/>
      <c r="E30"/>
      <c r="F30"/>
      <c r="G30"/>
      <c r="H30"/>
      <c r="I30"/>
      <c r="J30"/>
      <c r="K30"/>
      <c r="L30"/>
    </row>
    <row r="31" spans="1:12" x14ac:dyDescent="0.25">
      <c r="A31"/>
      <c r="B31"/>
      <c r="C31"/>
      <c r="D31"/>
      <c r="E31"/>
      <c r="F31"/>
      <c r="G31"/>
      <c r="H31"/>
      <c r="I31"/>
      <c r="J31"/>
      <c r="K31"/>
      <c r="L31"/>
    </row>
    <row r="32" spans="1:12" x14ac:dyDescent="0.25">
      <c r="A32"/>
      <c r="B32"/>
      <c r="C32"/>
      <c r="D32"/>
      <c r="E32"/>
      <c r="F32"/>
      <c r="G32"/>
      <c r="H32"/>
      <c r="I32"/>
      <c r="J32"/>
      <c r="K32"/>
      <c r="L32"/>
    </row>
    <row r="33" spans="1:12" x14ac:dyDescent="0.25">
      <c r="A33"/>
      <c r="B33"/>
      <c r="C33"/>
      <c r="D33"/>
      <c r="E33"/>
      <c r="F33"/>
      <c r="G33"/>
      <c r="H33"/>
      <c r="I33"/>
      <c r="J33"/>
      <c r="K33"/>
      <c r="L33"/>
    </row>
    <row r="34" spans="1:12" x14ac:dyDescent="0.25">
      <c r="A34"/>
      <c r="B34"/>
      <c r="C34"/>
      <c r="D34"/>
      <c r="E34"/>
      <c r="F34"/>
      <c r="G34"/>
      <c r="H34"/>
      <c r="I34"/>
      <c r="J34"/>
      <c r="K34"/>
      <c r="L34"/>
    </row>
    <row r="35" spans="1:12" x14ac:dyDescent="0.25">
      <c r="A35"/>
      <c r="B35"/>
      <c r="C35"/>
      <c r="D35"/>
      <c r="E35"/>
      <c r="F35"/>
      <c r="G35"/>
      <c r="H35"/>
      <c r="I35"/>
      <c r="J35"/>
      <c r="K35"/>
      <c r="L35"/>
    </row>
    <row r="36" spans="1:12" x14ac:dyDescent="0.25">
      <c r="A36"/>
      <c r="B36"/>
      <c r="C36"/>
      <c r="D36"/>
      <c r="E36"/>
      <c r="F36"/>
      <c r="G36"/>
      <c r="H36"/>
      <c r="I36"/>
      <c r="J36"/>
      <c r="K36"/>
      <c r="L36"/>
    </row>
    <row r="37" spans="1:12" x14ac:dyDescent="0.25">
      <c r="A37"/>
      <c r="B37"/>
      <c r="C37"/>
      <c r="D37"/>
      <c r="E37"/>
      <c r="F37"/>
      <c r="G37"/>
      <c r="H37"/>
      <c r="I37"/>
      <c r="J37"/>
      <c r="K37"/>
      <c r="L37"/>
    </row>
    <row r="38" spans="1:12" x14ac:dyDescent="0.25">
      <c r="A38"/>
      <c r="B38"/>
      <c r="C38"/>
      <c r="D38"/>
      <c r="E38"/>
      <c r="F38"/>
      <c r="G38"/>
      <c r="H38"/>
      <c r="I38"/>
      <c r="J38"/>
      <c r="K38"/>
      <c r="L38"/>
    </row>
    <row r="39" spans="1:12" x14ac:dyDescent="0.25">
      <c r="A39"/>
      <c r="B39"/>
      <c r="C39"/>
      <c r="D39"/>
      <c r="E39"/>
      <c r="F39"/>
      <c r="G39"/>
      <c r="H39"/>
      <c r="I39"/>
      <c r="J39"/>
      <c r="K39"/>
      <c r="L39"/>
    </row>
    <row r="40" spans="1:12" x14ac:dyDescent="0.25">
      <c r="A40"/>
      <c r="B40"/>
      <c r="C40"/>
      <c r="D40"/>
      <c r="E40"/>
      <c r="F40"/>
      <c r="G40"/>
      <c r="H40"/>
      <c r="I40"/>
      <c r="J40"/>
      <c r="K40"/>
      <c r="L40"/>
    </row>
    <row r="41" spans="1:12" x14ac:dyDescent="0.25">
      <c r="A41"/>
      <c r="B41"/>
      <c r="C41"/>
      <c r="D41"/>
      <c r="E41"/>
      <c r="F41"/>
      <c r="G41"/>
      <c r="H41"/>
      <c r="I41"/>
      <c r="J41"/>
      <c r="K41"/>
      <c r="L41"/>
    </row>
    <row r="42" spans="1:12" x14ac:dyDescent="0.25">
      <c r="A42"/>
      <c r="B42"/>
      <c r="C42"/>
      <c r="D42"/>
      <c r="E42"/>
      <c r="F42"/>
      <c r="G42"/>
      <c r="H42"/>
      <c r="I42"/>
      <c r="J42"/>
      <c r="K42"/>
      <c r="L42"/>
    </row>
    <row r="43" spans="1:12" x14ac:dyDescent="0.25">
      <c r="A43"/>
      <c r="B43"/>
      <c r="C43"/>
      <c r="D43"/>
      <c r="E43"/>
      <c r="F43"/>
      <c r="G43"/>
      <c r="H43"/>
      <c r="I43"/>
      <c r="J43"/>
      <c r="K43"/>
      <c r="L43"/>
    </row>
    <row r="44" spans="1:12" x14ac:dyDescent="0.25">
      <c r="A44"/>
      <c r="B44"/>
      <c r="C44"/>
      <c r="D44"/>
      <c r="E44"/>
      <c r="F44"/>
      <c r="G44"/>
      <c r="H44"/>
      <c r="I44"/>
      <c r="J44"/>
      <c r="K44"/>
      <c r="L44"/>
    </row>
    <row r="45" spans="1:12" x14ac:dyDescent="0.25">
      <c r="A45"/>
      <c r="B45"/>
      <c r="C45"/>
      <c r="D45"/>
      <c r="E45"/>
      <c r="F45"/>
      <c r="G45"/>
      <c r="H45"/>
      <c r="I45"/>
      <c r="J45"/>
      <c r="K45"/>
      <c r="L45"/>
    </row>
    <row r="46" spans="1:12" x14ac:dyDescent="0.25">
      <c r="A46"/>
      <c r="B46"/>
      <c r="C46"/>
      <c r="D46"/>
      <c r="E46"/>
      <c r="F46"/>
      <c r="G46"/>
      <c r="H46"/>
      <c r="I46"/>
      <c r="J46"/>
      <c r="K46"/>
      <c r="L46"/>
    </row>
    <row r="47" spans="1:12" x14ac:dyDescent="0.25">
      <c r="A47"/>
      <c r="B47"/>
      <c r="C47"/>
      <c r="D47"/>
      <c r="E47"/>
      <c r="F47"/>
      <c r="G47"/>
      <c r="H47"/>
      <c r="I47"/>
      <c r="J47"/>
      <c r="K47"/>
      <c r="L47"/>
    </row>
    <row r="48" spans="1:12" x14ac:dyDescent="0.25">
      <c r="A48"/>
      <c r="B48"/>
      <c r="C48"/>
      <c r="D48"/>
      <c r="E48"/>
      <c r="F48"/>
      <c r="G48"/>
      <c r="H48"/>
      <c r="I48"/>
      <c r="J48"/>
      <c r="K48"/>
      <c r="L48"/>
    </row>
    <row r="49" spans="1:12" x14ac:dyDescent="0.25">
      <c r="A49"/>
      <c r="B49"/>
      <c r="C49"/>
      <c r="D49"/>
      <c r="E49"/>
      <c r="F49"/>
      <c r="G49"/>
      <c r="H49"/>
      <c r="I49"/>
      <c r="J49"/>
      <c r="K49"/>
      <c r="L49"/>
    </row>
    <row r="50" spans="1:12" x14ac:dyDescent="0.25">
      <c r="A50"/>
      <c r="B50"/>
      <c r="C50"/>
      <c r="D50"/>
      <c r="E50"/>
      <c r="F50"/>
      <c r="G50"/>
      <c r="H50"/>
      <c r="I50"/>
      <c r="J50"/>
      <c r="K50"/>
      <c r="L50"/>
    </row>
    <row r="51" spans="1:12" x14ac:dyDescent="0.25">
      <c r="A51"/>
      <c r="B51"/>
      <c r="C51"/>
      <c r="D51"/>
      <c r="E51"/>
      <c r="F51"/>
      <c r="G51"/>
      <c r="H51"/>
      <c r="I51"/>
      <c r="J51"/>
      <c r="K51"/>
      <c r="L51"/>
    </row>
    <row r="52" spans="1:12" x14ac:dyDescent="0.25">
      <c r="A52"/>
      <c r="B52"/>
      <c r="C52"/>
      <c r="D52"/>
      <c r="E52"/>
      <c r="F52"/>
      <c r="G52"/>
      <c r="H52"/>
      <c r="I52"/>
      <c r="J52"/>
      <c r="K52"/>
      <c r="L52"/>
    </row>
    <row r="53" spans="1:12" x14ac:dyDescent="0.25">
      <c r="A53"/>
      <c r="B53"/>
      <c r="C53"/>
      <c r="D53"/>
      <c r="E53"/>
      <c r="F53"/>
      <c r="G53"/>
      <c r="H53"/>
      <c r="I53"/>
      <c r="J53"/>
      <c r="K53"/>
      <c r="L53"/>
    </row>
    <row r="54" spans="1:12" x14ac:dyDescent="0.25">
      <c r="A54"/>
      <c r="B54"/>
      <c r="C54"/>
      <c r="D54"/>
      <c r="E54"/>
      <c r="F54"/>
      <c r="G54"/>
      <c r="H54"/>
      <c r="I54"/>
      <c r="J54"/>
      <c r="K54"/>
      <c r="L54"/>
    </row>
    <row r="55" spans="1:12" x14ac:dyDescent="0.25">
      <c r="A55"/>
      <c r="B55"/>
      <c r="C55"/>
      <c r="D55"/>
      <c r="E55"/>
      <c r="F55"/>
      <c r="G55"/>
      <c r="H55"/>
      <c r="I55"/>
      <c r="J55"/>
      <c r="K55"/>
      <c r="L55"/>
    </row>
    <row r="56" spans="1:12" x14ac:dyDescent="0.25">
      <c r="A56"/>
      <c r="B56"/>
      <c r="C56"/>
      <c r="D56"/>
      <c r="E56"/>
      <c r="F56"/>
      <c r="G56"/>
      <c r="H56"/>
      <c r="I56"/>
      <c r="J56"/>
      <c r="K56"/>
      <c r="L56"/>
    </row>
    <row r="57" spans="1:12" x14ac:dyDescent="0.25">
      <c r="A57"/>
      <c r="B57"/>
      <c r="C57"/>
      <c r="D57"/>
      <c r="E57"/>
      <c r="F57"/>
      <c r="G57"/>
      <c r="H57"/>
      <c r="I57"/>
      <c r="J57"/>
      <c r="K57"/>
      <c r="L57"/>
    </row>
    <row r="58" spans="1:12" x14ac:dyDescent="0.25">
      <c r="A58"/>
      <c r="B58"/>
      <c r="C58"/>
      <c r="D58"/>
      <c r="E58"/>
      <c r="F58"/>
      <c r="G58"/>
      <c r="H58"/>
      <c r="I58"/>
      <c r="J58"/>
      <c r="K58"/>
      <c r="L58"/>
    </row>
    <row r="59" spans="1:12" x14ac:dyDescent="0.25">
      <c r="A59"/>
      <c r="B59"/>
      <c r="C59"/>
      <c r="D59"/>
      <c r="E59"/>
      <c r="F59"/>
      <c r="G59"/>
      <c r="H59"/>
      <c r="I59"/>
      <c r="J59"/>
      <c r="K59"/>
      <c r="L59"/>
    </row>
    <row r="60" spans="1:12" x14ac:dyDescent="0.25">
      <c r="A60"/>
      <c r="B60"/>
      <c r="C60"/>
      <c r="D60"/>
      <c r="E60"/>
      <c r="F60"/>
      <c r="G60"/>
      <c r="H60"/>
      <c r="I60"/>
      <c r="J60"/>
      <c r="K60"/>
      <c r="L60"/>
    </row>
    <row r="61" spans="1:12" x14ac:dyDescent="0.25">
      <c r="A61"/>
      <c r="B61"/>
      <c r="C61"/>
      <c r="D61"/>
      <c r="E61"/>
      <c r="F61"/>
      <c r="G61"/>
      <c r="H61"/>
      <c r="I61"/>
      <c r="J61"/>
      <c r="K61"/>
      <c r="L61"/>
    </row>
    <row r="62" spans="1:12" x14ac:dyDescent="0.25">
      <c r="A62"/>
      <c r="B62"/>
      <c r="C62"/>
      <c r="D62"/>
      <c r="E62"/>
      <c r="F62"/>
      <c r="G62"/>
      <c r="H62"/>
      <c r="I62"/>
      <c r="J62"/>
      <c r="K62"/>
      <c r="L62"/>
    </row>
    <row r="63" spans="1:12" x14ac:dyDescent="0.25">
      <c r="A63"/>
      <c r="B63"/>
      <c r="C63"/>
      <c r="D63"/>
      <c r="E63"/>
      <c r="F63"/>
      <c r="G63"/>
      <c r="H63"/>
      <c r="I63"/>
      <c r="J63"/>
      <c r="K63"/>
      <c r="L63"/>
    </row>
    <row r="64" spans="1:12" x14ac:dyDescent="0.25">
      <c r="A64"/>
      <c r="B64"/>
      <c r="C64"/>
      <c r="D64"/>
      <c r="E64"/>
      <c r="F64"/>
      <c r="G64"/>
      <c r="H64"/>
      <c r="I64"/>
      <c r="J64"/>
      <c r="K64"/>
      <c r="L64"/>
    </row>
    <row r="65" spans="1:12" x14ac:dyDescent="0.25">
      <c r="A65"/>
      <c r="B65"/>
      <c r="C65"/>
      <c r="D65"/>
      <c r="E65"/>
      <c r="F65"/>
      <c r="G65"/>
      <c r="H65"/>
      <c r="I65"/>
      <c r="J65"/>
      <c r="K65"/>
      <c r="L65"/>
    </row>
    <row r="66" spans="1:12" x14ac:dyDescent="0.25">
      <c r="A66"/>
      <c r="B66"/>
      <c r="C66"/>
      <c r="D66"/>
      <c r="E66"/>
      <c r="F66"/>
      <c r="G66"/>
      <c r="H66"/>
      <c r="I66"/>
      <c r="J66"/>
      <c r="K66"/>
      <c r="L66"/>
    </row>
    <row r="67" spans="1:12" x14ac:dyDescent="0.25">
      <c r="A67"/>
      <c r="B67"/>
      <c r="C67"/>
      <c r="D67"/>
      <c r="E67"/>
      <c r="F67"/>
      <c r="G67"/>
      <c r="H67"/>
      <c r="I67"/>
      <c r="J67"/>
      <c r="K67"/>
      <c r="L67"/>
    </row>
    <row r="68" spans="1:12" x14ac:dyDescent="0.25">
      <c r="A68"/>
      <c r="B68"/>
      <c r="C68"/>
      <c r="D68"/>
      <c r="E68"/>
      <c r="F68"/>
      <c r="G68"/>
      <c r="H68"/>
      <c r="I68"/>
      <c r="J68"/>
      <c r="K68"/>
      <c r="L68"/>
    </row>
    <row r="69" spans="1:12" x14ac:dyDescent="0.25">
      <c r="A69"/>
      <c r="B69"/>
      <c r="C69"/>
      <c r="D69"/>
      <c r="E69"/>
      <c r="F69"/>
      <c r="G69"/>
      <c r="H69"/>
      <c r="I69"/>
      <c r="J69"/>
      <c r="K69"/>
      <c r="L69"/>
    </row>
    <row r="70" spans="1:12" x14ac:dyDescent="0.25">
      <c r="A70"/>
      <c r="B70"/>
      <c r="C70"/>
      <c r="D70"/>
      <c r="E70"/>
      <c r="F70"/>
      <c r="G70"/>
      <c r="H70"/>
      <c r="I70"/>
      <c r="J70"/>
      <c r="K70"/>
      <c r="L70"/>
    </row>
    <row r="71" spans="1:12" x14ac:dyDescent="0.25">
      <c r="A71"/>
      <c r="B71"/>
      <c r="C71"/>
      <c r="D71"/>
      <c r="E71"/>
      <c r="F71"/>
      <c r="G71"/>
      <c r="H71"/>
      <c r="I71"/>
      <c r="J71"/>
      <c r="K71"/>
      <c r="L71"/>
    </row>
    <row r="72" spans="1:12" x14ac:dyDescent="0.25">
      <c r="A72"/>
      <c r="B72"/>
      <c r="C72"/>
      <c r="D72"/>
      <c r="E72"/>
      <c r="F72"/>
      <c r="G72"/>
      <c r="H72"/>
      <c r="I72"/>
      <c r="J72"/>
      <c r="K72"/>
      <c r="L72"/>
    </row>
    <row r="73" spans="1:12" x14ac:dyDescent="0.25">
      <c r="A73"/>
      <c r="B73"/>
      <c r="C73"/>
      <c r="D73"/>
      <c r="E73"/>
      <c r="F73"/>
      <c r="G73"/>
      <c r="H73"/>
      <c r="I73"/>
      <c r="J73"/>
      <c r="K73"/>
      <c r="L73"/>
    </row>
    <row r="74" spans="1:12" x14ac:dyDescent="0.25">
      <c r="A74"/>
      <c r="B74"/>
      <c r="C74"/>
      <c r="D74"/>
      <c r="E74"/>
      <c r="F74"/>
      <c r="G74"/>
      <c r="H74"/>
      <c r="I74"/>
      <c r="J74"/>
      <c r="K74"/>
      <c r="L74"/>
    </row>
    <row r="75" spans="1:12" x14ac:dyDescent="0.25">
      <c r="A75"/>
      <c r="B75"/>
      <c r="C75"/>
      <c r="D75"/>
      <c r="E75"/>
      <c r="F75"/>
      <c r="G75"/>
      <c r="H75"/>
      <c r="I75"/>
      <c r="J75"/>
      <c r="K75"/>
      <c r="L75"/>
    </row>
    <row r="76" spans="1:12" x14ac:dyDescent="0.25">
      <c r="A76"/>
      <c r="B76"/>
      <c r="C76"/>
      <c r="D76"/>
      <c r="E76"/>
      <c r="F76"/>
      <c r="G76"/>
      <c r="H76"/>
      <c r="I76"/>
      <c r="J76"/>
      <c r="K76"/>
      <c r="L76"/>
    </row>
    <row r="77" spans="1:12" x14ac:dyDescent="0.25">
      <c r="A77"/>
      <c r="B77"/>
      <c r="C77"/>
      <c r="D77"/>
      <c r="E77"/>
      <c r="F77"/>
      <c r="G77"/>
      <c r="H77"/>
      <c r="I77"/>
      <c r="J77"/>
      <c r="K77"/>
      <c r="L77"/>
    </row>
    <row r="78" spans="1:12" x14ac:dyDescent="0.25">
      <c r="A78"/>
      <c r="B78"/>
      <c r="C78"/>
      <c r="D78"/>
      <c r="E78"/>
      <c r="F78"/>
      <c r="G78"/>
      <c r="H78"/>
      <c r="I78"/>
      <c r="J78"/>
      <c r="K78"/>
      <c r="L78"/>
    </row>
    <row r="79" spans="1:12" x14ac:dyDescent="0.25">
      <c r="A79"/>
      <c r="B79"/>
      <c r="C79"/>
      <c r="D79"/>
      <c r="E79"/>
      <c r="F79"/>
      <c r="G79"/>
      <c r="H79"/>
      <c r="I79"/>
      <c r="J79"/>
      <c r="K79"/>
      <c r="L79"/>
    </row>
    <row r="80" spans="1:12" x14ac:dyDescent="0.25">
      <c r="A80"/>
      <c r="B80"/>
      <c r="C80"/>
      <c r="D80"/>
      <c r="E80"/>
      <c r="F80"/>
      <c r="G80"/>
      <c r="H80"/>
      <c r="I80"/>
      <c r="J80"/>
      <c r="K80"/>
      <c r="L80"/>
    </row>
    <row r="81" spans="1:12" x14ac:dyDescent="0.25">
      <c r="A81"/>
      <c r="B81"/>
      <c r="C81"/>
      <c r="D81"/>
      <c r="E81"/>
      <c r="F81"/>
      <c r="G81"/>
      <c r="H81"/>
      <c r="I81"/>
      <c r="J81"/>
      <c r="K81"/>
      <c r="L81"/>
    </row>
    <row r="82" spans="1:12" x14ac:dyDescent="0.25">
      <c r="A82"/>
      <c r="B82"/>
      <c r="C82"/>
      <c r="D82"/>
      <c r="E82"/>
      <c r="F82"/>
      <c r="G82"/>
      <c r="H82"/>
      <c r="I82"/>
      <c r="J82"/>
      <c r="K82"/>
      <c r="L82"/>
    </row>
    <row r="83" spans="1:12" x14ac:dyDescent="0.25">
      <c r="A83"/>
      <c r="B83"/>
      <c r="C83"/>
      <c r="D83"/>
      <c r="E83"/>
      <c r="F83"/>
      <c r="G83"/>
      <c r="H83"/>
      <c r="I83"/>
      <c r="J83"/>
      <c r="K83"/>
      <c r="L83"/>
    </row>
    <row r="84" spans="1:12" x14ac:dyDescent="0.25">
      <c r="A84"/>
      <c r="B84"/>
      <c r="C84"/>
      <c r="D84"/>
      <c r="E84"/>
      <c r="F84"/>
      <c r="G84"/>
      <c r="H84"/>
      <c r="I84"/>
      <c r="J84"/>
      <c r="K84"/>
      <c r="L84"/>
    </row>
    <row r="85" spans="1:12" x14ac:dyDescent="0.25">
      <c r="A85"/>
      <c r="B85"/>
      <c r="C85"/>
      <c r="D85"/>
      <c r="E85"/>
      <c r="F85"/>
      <c r="G85"/>
      <c r="H85"/>
      <c r="I85"/>
      <c r="J85"/>
      <c r="K85"/>
      <c r="L85"/>
    </row>
    <row r="86" spans="1:12" x14ac:dyDescent="0.25">
      <c r="A86"/>
      <c r="B86"/>
      <c r="C86"/>
      <c r="D86"/>
      <c r="E86"/>
      <c r="F86"/>
      <c r="G86"/>
      <c r="H86"/>
      <c r="I86"/>
      <c r="J86"/>
      <c r="K86"/>
      <c r="L86"/>
    </row>
    <row r="87" spans="1:12" x14ac:dyDescent="0.25">
      <c r="A87"/>
      <c r="B87"/>
      <c r="C87"/>
      <c r="D87"/>
      <c r="E87"/>
      <c r="F87"/>
      <c r="G87"/>
      <c r="H87"/>
      <c r="I87"/>
      <c r="J87"/>
      <c r="K87"/>
      <c r="L87"/>
    </row>
    <row r="88" spans="1:12" x14ac:dyDescent="0.25">
      <c r="A88"/>
      <c r="B88"/>
      <c r="C88"/>
      <c r="D88"/>
      <c r="E88"/>
      <c r="F88"/>
      <c r="G88"/>
      <c r="H88"/>
      <c r="I88"/>
      <c r="J88"/>
      <c r="K88"/>
      <c r="L88"/>
    </row>
    <row r="89" spans="1:12" x14ac:dyDescent="0.25">
      <c r="A89"/>
      <c r="B89"/>
      <c r="C89"/>
      <c r="D89"/>
      <c r="E89"/>
      <c r="F89"/>
      <c r="G89"/>
      <c r="H89"/>
      <c r="I89"/>
      <c r="J89"/>
      <c r="K89"/>
      <c r="L89"/>
    </row>
    <row r="90" spans="1:12" x14ac:dyDescent="0.25">
      <c r="A90"/>
      <c r="B90"/>
      <c r="C90"/>
      <c r="D90"/>
      <c r="E90"/>
      <c r="F90"/>
      <c r="G90"/>
      <c r="H90"/>
      <c r="I90"/>
      <c r="J90"/>
      <c r="K90"/>
      <c r="L90"/>
    </row>
    <row r="91" spans="1:12" x14ac:dyDescent="0.25">
      <c r="A91"/>
      <c r="B91"/>
      <c r="C91"/>
      <c r="D91"/>
      <c r="E91"/>
      <c r="F91"/>
      <c r="G91"/>
      <c r="H91"/>
      <c r="I91"/>
      <c r="J91"/>
      <c r="K91"/>
      <c r="L91"/>
    </row>
    <row r="92" spans="1:12" x14ac:dyDescent="0.25">
      <c r="A92"/>
      <c r="B92"/>
      <c r="C92"/>
      <c r="D92"/>
      <c r="E92"/>
      <c r="F92"/>
      <c r="G92"/>
      <c r="H92"/>
      <c r="I92"/>
      <c r="J92"/>
      <c r="K92"/>
      <c r="L92"/>
    </row>
    <row r="93" spans="1:12" x14ac:dyDescent="0.25">
      <c r="A93"/>
      <c r="B93"/>
      <c r="C93"/>
      <c r="D93"/>
      <c r="E93"/>
      <c r="F93"/>
      <c r="G93"/>
      <c r="H93"/>
      <c r="I93"/>
      <c r="J93"/>
      <c r="K93"/>
      <c r="L93"/>
    </row>
    <row r="94" spans="1:12" x14ac:dyDescent="0.25">
      <c r="A94"/>
      <c r="B94"/>
      <c r="C94"/>
      <c r="D94"/>
      <c r="E94"/>
      <c r="F94"/>
      <c r="G94"/>
      <c r="H94"/>
      <c r="I94"/>
      <c r="J94"/>
      <c r="K94"/>
      <c r="L94"/>
    </row>
    <row r="95" spans="1:12" x14ac:dyDescent="0.25">
      <c r="A95"/>
      <c r="B95"/>
      <c r="C95"/>
      <c r="D95"/>
      <c r="E95"/>
      <c r="F95"/>
      <c r="G95"/>
      <c r="H95"/>
      <c r="I95"/>
      <c r="J95"/>
      <c r="K95"/>
      <c r="L95"/>
    </row>
    <row r="96" spans="1:12" x14ac:dyDescent="0.25">
      <c r="A96"/>
      <c r="B96"/>
      <c r="C96"/>
      <c r="D96"/>
      <c r="E96"/>
      <c r="F96"/>
      <c r="G96"/>
      <c r="H96"/>
      <c r="I96"/>
      <c r="J96"/>
      <c r="K96"/>
      <c r="L96"/>
    </row>
    <row r="97" spans="1:12" x14ac:dyDescent="0.25">
      <c r="A97"/>
      <c r="B97"/>
      <c r="C97"/>
      <c r="D97"/>
      <c r="E97"/>
      <c r="F97"/>
      <c r="G97"/>
      <c r="H97"/>
      <c r="I97"/>
      <c r="J97"/>
      <c r="K97"/>
      <c r="L97"/>
    </row>
    <row r="98" spans="1:12" x14ac:dyDescent="0.25">
      <c r="A98"/>
      <c r="B98"/>
      <c r="C98"/>
      <c r="D98"/>
      <c r="E98"/>
      <c r="F98"/>
      <c r="G98"/>
      <c r="H98"/>
      <c r="I98"/>
      <c r="J98"/>
      <c r="K98"/>
      <c r="L98"/>
    </row>
    <row r="99" spans="1:12" x14ac:dyDescent="0.25">
      <c r="A99"/>
      <c r="B99"/>
      <c r="C99"/>
      <c r="D99"/>
      <c r="E99"/>
      <c r="F99"/>
      <c r="G99"/>
      <c r="H99"/>
      <c r="I99"/>
      <c r="J99"/>
      <c r="K99"/>
      <c r="L99"/>
    </row>
    <row r="100" spans="1:12" x14ac:dyDescent="0.25">
      <c r="A100"/>
      <c r="B100"/>
      <c r="C100"/>
      <c r="D100"/>
      <c r="E100"/>
      <c r="F100"/>
      <c r="G100"/>
      <c r="H100"/>
      <c r="I100"/>
      <c r="J100"/>
      <c r="K100"/>
      <c r="L100"/>
    </row>
    <row r="101" spans="1:12" x14ac:dyDescent="0.25">
      <c r="A101"/>
      <c r="B101"/>
      <c r="C101"/>
      <c r="D101"/>
      <c r="E101"/>
      <c r="F101"/>
      <c r="G101"/>
      <c r="H101"/>
      <c r="I101"/>
      <c r="J101"/>
      <c r="K101"/>
      <c r="L101"/>
    </row>
    <row r="102" spans="1:12" x14ac:dyDescent="0.25">
      <c r="A102"/>
      <c r="B102"/>
      <c r="C102"/>
      <c r="D102"/>
      <c r="E102"/>
      <c r="F102"/>
      <c r="G102"/>
      <c r="H102"/>
      <c r="I102"/>
      <c r="J102"/>
      <c r="K102"/>
      <c r="L102"/>
    </row>
    <row r="103" spans="1:12" x14ac:dyDescent="0.25">
      <c r="A103"/>
      <c r="B103"/>
      <c r="C103"/>
      <c r="D103"/>
      <c r="E103"/>
      <c r="F103"/>
      <c r="G103"/>
      <c r="H103"/>
      <c r="I103"/>
      <c r="J103"/>
      <c r="K103"/>
      <c r="L103"/>
    </row>
    <row r="104" spans="1:12" x14ac:dyDescent="0.25">
      <c r="A104"/>
      <c r="B104"/>
      <c r="C104"/>
      <c r="D104"/>
      <c r="E104"/>
      <c r="F104"/>
      <c r="G104"/>
      <c r="H104"/>
      <c r="I104"/>
      <c r="J104"/>
      <c r="K104"/>
      <c r="L104"/>
    </row>
    <row r="105" spans="1:12" x14ac:dyDescent="0.25">
      <c r="A105"/>
      <c r="B105"/>
      <c r="C105"/>
      <c r="D105"/>
      <c r="E105"/>
      <c r="F105"/>
      <c r="G105"/>
      <c r="H105"/>
      <c r="I105"/>
      <c r="J105"/>
      <c r="K105"/>
      <c r="L105"/>
    </row>
    <row r="106" spans="1:12" x14ac:dyDescent="0.25">
      <c r="A106"/>
      <c r="B106"/>
      <c r="C106"/>
      <c r="D106"/>
      <c r="E106"/>
      <c r="F106"/>
      <c r="G106"/>
      <c r="H106"/>
      <c r="I106"/>
      <c r="J106"/>
      <c r="K106"/>
      <c r="L106"/>
    </row>
    <row r="107" spans="1:12" x14ac:dyDescent="0.25">
      <c r="A107"/>
      <c r="B107"/>
      <c r="C107"/>
      <c r="D107"/>
      <c r="E107"/>
      <c r="F107"/>
      <c r="G107"/>
      <c r="H107"/>
      <c r="I107"/>
      <c r="J107"/>
      <c r="K107"/>
      <c r="L107"/>
    </row>
    <row r="108" spans="1:12" x14ac:dyDescent="0.25">
      <c r="A108"/>
      <c r="B108"/>
      <c r="C108"/>
      <c r="D108"/>
      <c r="E108"/>
      <c r="F108"/>
      <c r="G108"/>
      <c r="H108"/>
      <c r="I108"/>
      <c r="J108"/>
      <c r="K108"/>
      <c r="L108"/>
    </row>
    <row r="109" spans="1:12" x14ac:dyDescent="0.25">
      <c r="A109"/>
      <c r="B109"/>
      <c r="C109"/>
      <c r="D109"/>
      <c r="E109"/>
      <c r="F109"/>
      <c r="G109"/>
      <c r="H109"/>
      <c r="I109"/>
      <c r="J109"/>
      <c r="K109"/>
      <c r="L109"/>
    </row>
    <row r="110" spans="1:12" x14ac:dyDescent="0.25">
      <c r="A110"/>
      <c r="B110"/>
      <c r="C110"/>
      <c r="D110"/>
      <c r="E110"/>
      <c r="F110"/>
      <c r="G110"/>
      <c r="H110"/>
      <c r="I110"/>
      <c r="J110"/>
      <c r="K110"/>
      <c r="L110"/>
    </row>
    <row r="111" spans="1:12" x14ac:dyDescent="0.25">
      <c r="A111"/>
      <c r="B111"/>
      <c r="C111"/>
      <c r="D111"/>
      <c r="E111"/>
      <c r="F111"/>
      <c r="G111"/>
      <c r="H111"/>
      <c r="I111"/>
      <c r="J111"/>
      <c r="K111"/>
      <c r="L111"/>
    </row>
    <row r="112" spans="1:12" x14ac:dyDescent="0.25">
      <c r="A112"/>
      <c r="B112"/>
      <c r="C112"/>
      <c r="D112"/>
      <c r="E112"/>
      <c r="F112"/>
      <c r="G112"/>
      <c r="H112"/>
      <c r="I112"/>
      <c r="J112"/>
      <c r="K112"/>
      <c r="L112"/>
    </row>
    <row r="113" spans="1:12" x14ac:dyDescent="0.25">
      <c r="A113"/>
      <c r="B113"/>
      <c r="C113"/>
      <c r="D113"/>
      <c r="E113"/>
      <c r="F113"/>
      <c r="G113"/>
      <c r="H113"/>
      <c r="I113"/>
      <c r="J113"/>
      <c r="K113"/>
      <c r="L113"/>
    </row>
    <row r="114" spans="1:12" x14ac:dyDescent="0.25">
      <c r="A114"/>
      <c r="B114"/>
      <c r="C114"/>
      <c r="D114"/>
      <c r="E114"/>
      <c r="F114"/>
      <c r="G114"/>
      <c r="H114"/>
      <c r="I114"/>
      <c r="J114"/>
      <c r="K114"/>
      <c r="L114"/>
    </row>
    <row r="115" spans="1:12" x14ac:dyDescent="0.25">
      <c r="A115"/>
      <c r="B115"/>
      <c r="C115"/>
      <c r="D115"/>
      <c r="E115"/>
      <c r="F115"/>
      <c r="G115"/>
      <c r="H115"/>
      <c r="I115"/>
      <c r="J115"/>
      <c r="K115"/>
      <c r="L115"/>
    </row>
    <row r="116" spans="1:12" x14ac:dyDescent="0.25">
      <c r="A116"/>
      <c r="B116"/>
      <c r="C116"/>
      <c r="D116"/>
      <c r="E116"/>
      <c r="F116"/>
      <c r="G116"/>
      <c r="H116"/>
      <c r="I116"/>
      <c r="J116"/>
      <c r="K116"/>
      <c r="L116"/>
    </row>
    <row r="117" spans="1:12" x14ac:dyDescent="0.25">
      <c r="A117"/>
      <c r="B117"/>
      <c r="C117"/>
      <c r="D117"/>
      <c r="E117"/>
      <c r="F117"/>
      <c r="G117"/>
      <c r="H117"/>
      <c r="I117"/>
      <c r="J117"/>
      <c r="K117"/>
      <c r="L117"/>
    </row>
    <row r="118" spans="1:12" x14ac:dyDescent="0.25">
      <c r="A118"/>
      <c r="B118"/>
      <c r="C118"/>
      <c r="D118"/>
      <c r="E118"/>
      <c r="F118"/>
      <c r="G118"/>
      <c r="H118"/>
      <c r="I118"/>
      <c r="J118"/>
      <c r="K118"/>
      <c r="L118"/>
    </row>
    <row r="119" spans="1:12" x14ac:dyDescent="0.25">
      <c r="A119"/>
      <c r="B119"/>
      <c r="C119"/>
      <c r="D119"/>
      <c r="E119"/>
      <c r="F119"/>
      <c r="G119"/>
      <c r="H119"/>
      <c r="I119"/>
      <c r="J119"/>
      <c r="K119"/>
      <c r="L119"/>
    </row>
    <row r="120" spans="1:12" x14ac:dyDescent="0.25">
      <c r="A120"/>
      <c r="B120"/>
      <c r="C120"/>
      <c r="D120"/>
      <c r="E120"/>
      <c r="F120"/>
      <c r="G120"/>
      <c r="H120"/>
      <c r="I120"/>
      <c r="J120"/>
      <c r="K120"/>
      <c r="L120"/>
    </row>
    <row r="121" spans="1:12" x14ac:dyDescent="0.25">
      <c r="A121"/>
      <c r="B121"/>
      <c r="C121"/>
      <c r="D121"/>
      <c r="E121"/>
      <c r="F121"/>
      <c r="G121"/>
      <c r="H121"/>
      <c r="I121"/>
      <c r="J121"/>
      <c r="K121"/>
      <c r="L121"/>
    </row>
    <row r="122" spans="1:12" x14ac:dyDescent="0.25">
      <c r="A122"/>
      <c r="B122"/>
      <c r="C122"/>
      <c r="D122"/>
      <c r="E122"/>
      <c r="F122"/>
      <c r="G122"/>
      <c r="H122"/>
      <c r="I122"/>
      <c r="J122"/>
      <c r="K122"/>
      <c r="L122"/>
    </row>
    <row r="123" spans="1:12" x14ac:dyDescent="0.25">
      <c r="A123"/>
      <c r="B123"/>
      <c r="C123"/>
      <c r="D123"/>
      <c r="E123"/>
      <c r="F123"/>
      <c r="G123"/>
      <c r="H123"/>
      <c r="I123"/>
      <c r="J123"/>
      <c r="K123"/>
      <c r="L123"/>
    </row>
    <row r="124" spans="1:12" x14ac:dyDescent="0.25">
      <c r="A124"/>
      <c r="B124"/>
      <c r="C124"/>
      <c r="D124"/>
      <c r="E124"/>
      <c r="F124"/>
      <c r="G124"/>
      <c r="H124"/>
      <c r="I124"/>
      <c r="J124"/>
      <c r="K124"/>
      <c r="L124"/>
    </row>
    <row r="125" spans="1:12" x14ac:dyDescent="0.25">
      <c r="A125"/>
      <c r="B125"/>
      <c r="C125"/>
      <c r="D125"/>
      <c r="E125"/>
      <c r="F125"/>
      <c r="G125"/>
      <c r="H125"/>
      <c r="I125"/>
      <c r="J125"/>
      <c r="K125"/>
      <c r="L125"/>
    </row>
    <row r="126" spans="1:12" x14ac:dyDescent="0.25">
      <c r="A126"/>
      <c r="B126"/>
      <c r="C126"/>
      <c r="D126"/>
      <c r="E126"/>
      <c r="F126"/>
      <c r="G126"/>
      <c r="H126"/>
      <c r="I126"/>
      <c r="J126"/>
      <c r="K126"/>
      <c r="L126"/>
    </row>
    <row r="127" spans="1:12" x14ac:dyDescent="0.25">
      <c r="A127"/>
      <c r="B127"/>
      <c r="C127"/>
      <c r="D127"/>
      <c r="E127"/>
      <c r="F127"/>
      <c r="G127"/>
      <c r="H127"/>
      <c r="I127"/>
      <c r="J127"/>
      <c r="K127"/>
      <c r="L127"/>
    </row>
    <row r="128" spans="1:12" x14ac:dyDescent="0.25">
      <c r="A128"/>
      <c r="B128"/>
      <c r="C128"/>
      <c r="D128"/>
      <c r="E128"/>
      <c r="F128"/>
      <c r="G128"/>
      <c r="H128"/>
      <c r="I128"/>
      <c r="J128"/>
      <c r="K128"/>
      <c r="L128"/>
    </row>
    <row r="129" spans="1:12" x14ac:dyDescent="0.25">
      <c r="A129"/>
      <c r="B129"/>
      <c r="C129"/>
      <c r="D129"/>
      <c r="E129"/>
      <c r="F129"/>
      <c r="G129"/>
      <c r="H129"/>
      <c r="I129"/>
      <c r="J129"/>
      <c r="K129"/>
      <c r="L129"/>
    </row>
    <row r="130" spans="1:12" x14ac:dyDescent="0.25">
      <c r="A130"/>
      <c r="B130"/>
      <c r="C130"/>
      <c r="D130"/>
      <c r="E130"/>
      <c r="F130"/>
      <c r="G130"/>
      <c r="H130"/>
      <c r="I130"/>
      <c r="J130"/>
      <c r="K130"/>
      <c r="L130"/>
    </row>
    <row r="131" spans="1:12" x14ac:dyDescent="0.25">
      <c r="A131"/>
      <c r="B131"/>
      <c r="C131"/>
      <c r="D131"/>
      <c r="E131"/>
      <c r="F131"/>
      <c r="G131"/>
      <c r="H131"/>
      <c r="I131"/>
      <c r="J131"/>
      <c r="K131"/>
      <c r="L131"/>
    </row>
    <row r="132" spans="1:12" x14ac:dyDescent="0.25">
      <c r="A132"/>
      <c r="B132"/>
      <c r="C132"/>
      <c r="D132"/>
      <c r="E132"/>
      <c r="F132"/>
      <c r="G132"/>
      <c r="H132"/>
      <c r="I132"/>
      <c r="J132"/>
      <c r="K132"/>
      <c r="L132"/>
    </row>
    <row r="133" spans="1:12" x14ac:dyDescent="0.25">
      <c r="A133"/>
      <c r="B133"/>
      <c r="C133"/>
      <c r="D133"/>
      <c r="E133"/>
      <c r="F133"/>
      <c r="G133"/>
      <c r="H133"/>
      <c r="I133"/>
      <c r="J133"/>
      <c r="K133"/>
      <c r="L133"/>
    </row>
    <row r="134" spans="1:12" x14ac:dyDescent="0.25">
      <c r="A134"/>
      <c r="B134"/>
      <c r="C134"/>
      <c r="D134"/>
      <c r="E134"/>
      <c r="F134"/>
      <c r="G134"/>
      <c r="H134"/>
      <c r="I134"/>
      <c r="J134"/>
      <c r="K134"/>
      <c r="L134"/>
    </row>
    <row r="135" spans="1:12" x14ac:dyDescent="0.25">
      <c r="A135"/>
      <c r="B135"/>
      <c r="C135"/>
      <c r="D135"/>
      <c r="E135"/>
      <c r="F135"/>
      <c r="G135"/>
      <c r="H135"/>
      <c r="I135"/>
      <c r="J135"/>
      <c r="K135"/>
      <c r="L135"/>
    </row>
    <row r="136" spans="1:12" x14ac:dyDescent="0.25">
      <c r="A136"/>
      <c r="B136"/>
      <c r="C136"/>
      <c r="D136"/>
      <c r="E136"/>
      <c r="F136"/>
      <c r="G136"/>
      <c r="H136"/>
      <c r="I136"/>
      <c r="J136"/>
      <c r="K136"/>
      <c r="L136"/>
    </row>
    <row r="137" spans="1:12" x14ac:dyDescent="0.25">
      <c r="A137"/>
      <c r="B137"/>
      <c r="C137"/>
      <c r="D137"/>
      <c r="E137"/>
      <c r="F137"/>
      <c r="G137"/>
      <c r="H137"/>
      <c r="I137"/>
      <c r="J137"/>
      <c r="K137"/>
      <c r="L137"/>
    </row>
    <row r="138" spans="1:12" x14ac:dyDescent="0.25">
      <c r="A138"/>
      <c r="B138"/>
      <c r="C138"/>
      <c r="D138"/>
      <c r="E138"/>
      <c r="F138"/>
      <c r="G138"/>
      <c r="H138"/>
      <c r="I138"/>
      <c r="J138"/>
      <c r="K138"/>
      <c r="L138"/>
    </row>
    <row r="139" spans="1:12" x14ac:dyDescent="0.25">
      <c r="A139"/>
      <c r="B139"/>
      <c r="C139"/>
      <c r="D139"/>
      <c r="E139"/>
      <c r="F139"/>
      <c r="G139"/>
      <c r="H139"/>
      <c r="I139"/>
      <c r="J139"/>
      <c r="K139"/>
      <c r="L139"/>
    </row>
    <row r="140" spans="1:12" x14ac:dyDescent="0.25">
      <c r="A140"/>
      <c r="B140"/>
      <c r="C140"/>
      <c r="D140"/>
      <c r="E140"/>
      <c r="F140"/>
      <c r="G140"/>
      <c r="H140"/>
      <c r="I140"/>
      <c r="J140"/>
      <c r="K140"/>
      <c r="L140"/>
    </row>
    <row r="141" spans="1:12" x14ac:dyDescent="0.2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2" x14ac:dyDescent="0.2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2" x14ac:dyDescent="0.2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2" x14ac:dyDescent="0.2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x14ac:dyDescent="0.2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x14ac:dyDescent="0.2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x14ac:dyDescent="0.25">
      <c r="A147"/>
      <c r="B147"/>
      <c r="C147"/>
      <c r="D147"/>
      <c r="E147"/>
      <c r="F147"/>
      <c r="G147"/>
      <c r="H147"/>
      <c r="I147"/>
      <c r="J147"/>
      <c r="K147"/>
      <c r="L147"/>
    </row>
    <row r="148" spans="1:12" x14ac:dyDescent="0.25">
      <c r="A148"/>
      <c r="B148"/>
      <c r="C148"/>
      <c r="D148"/>
      <c r="E148"/>
      <c r="F148"/>
      <c r="G148"/>
      <c r="H148"/>
      <c r="I148"/>
      <c r="J148"/>
      <c r="K148"/>
      <c r="L148"/>
    </row>
    <row r="149" spans="1:12" x14ac:dyDescent="0.25">
      <c r="A149"/>
      <c r="B149"/>
      <c r="C149"/>
      <c r="D149"/>
      <c r="E149"/>
      <c r="F149"/>
      <c r="G149"/>
      <c r="H149"/>
      <c r="I149"/>
      <c r="J149"/>
      <c r="K149"/>
      <c r="L149"/>
    </row>
    <row r="150" spans="1:12" x14ac:dyDescent="0.25">
      <c r="A150"/>
      <c r="B150"/>
      <c r="C150"/>
      <c r="D150"/>
      <c r="E150"/>
      <c r="F150"/>
      <c r="G150"/>
      <c r="H150"/>
      <c r="I150"/>
      <c r="J150"/>
      <c r="K150"/>
      <c r="L150"/>
    </row>
    <row r="151" spans="1:12" x14ac:dyDescent="0.25">
      <c r="A151"/>
      <c r="B151"/>
      <c r="C151"/>
      <c r="D151"/>
      <c r="E151"/>
      <c r="F151"/>
      <c r="G151"/>
      <c r="H151"/>
      <c r="I151"/>
      <c r="J151"/>
      <c r="K151"/>
      <c r="L151"/>
    </row>
    <row r="152" spans="1:12" x14ac:dyDescent="0.25">
      <c r="A152"/>
      <c r="B152"/>
      <c r="C152"/>
      <c r="D152"/>
      <c r="E152"/>
      <c r="F152"/>
      <c r="G152"/>
      <c r="H152"/>
      <c r="I152"/>
      <c r="J152"/>
      <c r="K152"/>
      <c r="L152"/>
    </row>
    <row r="153" spans="1:12" x14ac:dyDescent="0.25">
      <c r="A153"/>
      <c r="B153"/>
      <c r="C153"/>
      <c r="D153"/>
      <c r="E153"/>
      <c r="F153"/>
      <c r="G153"/>
      <c r="H153"/>
      <c r="I153"/>
      <c r="J153"/>
      <c r="K153"/>
      <c r="L153"/>
    </row>
    <row r="154" spans="1:12" x14ac:dyDescent="0.25">
      <c r="A154"/>
      <c r="B154"/>
      <c r="C154"/>
      <c r="D154"/>
      <c r="E154"/>
      <c r="F154"/>
      <c r="G154"/>
      <c r="H154"/>
      <c r="I154"/>
      <c r="J154"/>
      <c r="K154"/>
      <c r="L154"/>
    </row>
    <row r="155" spans="1:12" x14ac:dyDescent="0.25">
      <c r="A155"/>
      <c r="B155"/>
      <c r="C155"/>
      <c r="D155"/>
      <c r="E155"/>
      <c r="F155"/>
      <c r="G155"/>
      <c r="H155"/>
      <c r="I155"/>
      <c r="J155"/>
      <c r="K155"/>
      <c r="L155"/>
    </row>
    <row r="156" spans="1:12" x14ac:dyDescent="0.25">
      <c r="A156"/>
      <c r="B156"/>
      <c r="C156"/>
      <c r="D156"/>
      <c r="E156"/>
      <c r="F156"/>
      <c r="G156"/>
      <c r="H156"/>
      <c r="I156"/>
      <c r="J156"/>
      <c r="K156"/>
      <c r="L156"/>
    </row>
    <row r="157" spans="1:12" x14ac:dyDescent="0.25">
      <c r="A157"/>
      <c r="B157"/>
      <c r="C157"/>
      <c r="D157"/>
      <c r="E157"/>
      <c r="F157"/>
      <c r="G157"/>
      <c r="H157"/>
      <c r="I157"/>
      <c r="J157"/>
      <c r="K157"/>
      <c r="L157"/>
    </row>
    <row r="158" spans="1:12" x14ac:dyDescent="0.25">
      <c r="A158"/>
      <c r="B158"/>
      <c r="C158"/>
      <c r="D158"/>
      <c r="E158"/>
      <c r="F158"/>
      <c r="G158"/>
      <c r="H158"/>
      <c r="I158"/>
      <c r="J158"/>
      <c r="K158"/>
      <c r="L158"/>
    </row>
    <row r="159" spans="1:12" x14ac:dyDescent="0.25">
      <c r="A159"/>
      <c r="B159"/>
      <c r="C159"/>
      <c r="D159"/>
      <c r="E159"/>
      <c r="F159"/>
      <c r="G159"/>
      <c r="H159"/>
      <c r="I159"/>
      <c r="J159"/>
      <c r="K159"/>
      <c r="L159"/>
    </row>
    <row r="160" spans="1:12" x14ac:dyDescent="0.25">
      <c r="A160"/>
      <c r="B160"/>
      <c r="C160"/>
      <c r="D160"/>
      <c r="E160"/>
      <c r="F160"/>
      <c r="G160"/>
      <c r="H160"/>
      <c r="I160"/>
      <c r="J160"/>
      <c r="K160"/>
      <c r="L160"/>
    </row>
    <row r="161" spans="1:12" x14ac:dyDescent="0.25">
      <c r="A161"/>
      <c r="B161"/>
      <c r="C161"/>
      <c r="D161"/>
      <c r="E161"/>
      <c r="F161"/>
      <c r="G161"/>
      <c r="H161"/>
      <c r="I161"/>
      <c r="J161"/>
      <c r="K161"/>
      <c r="L161"/>
    </row>
    <row r="162" spans="1:12" x14ac:dyDescent="0.25">
      <c r="A162"/>
      <c r="B162"/>
      <c r="C162"/>
      <c r="D162"/>
      <c r="E162"/>
      <c r="F162"/>
      <c r="G162"/>
      <c r="H162"/>
      <c r="I162"/>
      <c r="J162"/>
      <c r="K162"/>
      <c r="L162"/>
    </row>
    <row r="163" spans="1:12" x14ac:dyDescent="0.25">
      <c r="A163"/>
      <c r="B163"/>
      <c r="C163"/>
      <c r="D163"/>
      <c r="E163"/>
      <c r="F163"/>
      <c r="G163"/>
      <c r="H163"/>
      <c r="I163"/>
      <c r="J163"/>
      <c r="K163"/>
      <c r="L163"/>
    </row>
    <row r="164" spans="1:12" x14ac:dyDescent="0.25">
      <c r="A164"/>
      <c r="B164"/>
      <c r="C164"/>
      <c r="D164"/>
      <c r="E164"/>
      <c r="F164"/>
      <c r="G164"/>
      <c r="H164"/>
      <c r="I164"/>
      <c r="J164"/>
      <c r="K164"/>
      <c r="L164"/>
    </row>
    <row r="165" spans="1:12" x14ac:dyDescent="0.25">
      <c r="A165"/>
      <c r="B165"/>
      <c r="C165"/>
      <c r="D165"/>
      <c r="E165"/>
      <c r="F165"/>
      <c r="G165"/>
      <c r="H165"/>
      <c r="I165"/>
      <c r="J165"/>
      <c r="K165"/>
      <c r="L165"/>
    </row>
    <row r="166" spans="1:12" x14ac:dyDescent="0.25">
      <c r="A166"/>
      <c r="B166"/>
      <c r="C166"/>
      <c r="D166"/>
      <c r="E166"/>
      <c r="F166"/>
      <c r="G166"/>
      <c r="H166"/>
      <c r="I166"/>
      <c r="J166"/>
      <c r="K166"/>
      <c r="L166"/>
    </row>
    <row r="167" spans="1:12" x14ac:dyDescent="0.25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2" x14ac:dyDescent="0.25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2" x14ac:dyDescent="0.25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2" x14ac:dyDescent="0.25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2" x14ac:dyDescent="0.25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2" x14ac:dyDescent="0.25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2" x14ac:dyDescent="0.25">
      <c r="A173"/>
      <c r="B173"/>
      <c r="C173"/>
      <c r="D173"/>
      <c r="E173"/>
      <c r="F173"/>
      <c r="G173"/>
      <c r="H173"/>
      <c r="I173"/>
      <c r="J173"/>
      <c r="K173"/>
      <c r="L173"/>
    </row>
    <row r="174" spans="1:12" x14ac:dyDescent="0.25">
      <c r="A174"/>
      <c r="B174"/>
      <c r="C174"/>
      <c r="D174"/>
      <c r="E174"/>
      <c r="F174"/>
      <c r="G174"/>
      <c r="H174"/>
      <c r="I174"/>
      <c r="J174"/>
      <c r="K174"/>
      <c r="L174"/>
    </row>
    <row r="175" spans="1:12" x14ac:dyDescent="0.25">
      <c r="A175"/>
      <c r="B175"/>
      <c r="C175"/>
      <c r="D175"/>
      <c r="E175"/>
      <c r="F175"/>
      <c r="G175"/>
      <c r="H175"/>
      <c r="I175"/>
      <c r="J175"/>
      <c r="K175"/>
      <c r="L175"/>
    </row>
    <row r="176" spans="1:12" x14ac:dyDescent="0.25">
      <c r="A176"/>
      <c r="B176"/>
      <c r="C176"/>
      <c r="D176"/>
      <c r="E176"/>
      <c r="F176"/>
      <c r="G176"/>
      <c r="H176"/>
      <c r="I176"/>
      <c r="J176"/>
      <c r="K176"/>
      <c r="L176"/>
    </row>
    <row r="177" spans="1:12" x14ac:dyDescent="0.25">
      <c r="A177"/>
      <c r="B177"/>
      <c r="C177"/>
      <c r="D177"/>
      <c r="E177"/>
      <c r="F177"/>
      <c r="G177"/>
      <c r="H177"/>
      <c r="I177"/>
      <c r="J177"/>
      <c r="K177"/>
      <c r="L177"/>
    </row>
    <row r="178" spans="1:12" x14ac:dyDescent="0.25">
      <c r="A178"/>
      <c r="B178"/>
      <c r="C178"/>
      <c r="D178"/>
      <c r="E178"/>
      <c r="F178"/>
      <c r="G178"/>
      <c r="H178"/>
      <c r="I178"/>
      <c r="J178"/>
      <c r="K178"/>
      <c r="L178"/>
    </row>
    <row r="179" spans="1:12" x14ac:dyDescent="0.25">
      <c r="A179"/>
      <c r="B179"/>
      <c r="C179"/>
      <c r="D179"/>
      <c r="E179"/>
      <c r="F179"/>
      <c r="G179"/>
      <c r="H179"/>
      <c r="I179"/>
      <c r="J179"/>
      <c r="K179"/>
      <c r="L179"/>
    </row>
    <row r="180" spans="1:12" x14ac:dyDescent="0.25">
      <c r="A180"/>
      <c r="B180"/>
      <c r="C180"/>
      <c r="D180"/>
      <c r="E180"/>
      <c r="F180"/>
      <c r="G180"/>
      <c r="H180"/>
      <c r="I180"/>
      <c r="J180"/>
      <c r="K180"/>
      <c r="L180"/>
    </row>
    <row r="181" spans="1:12" x14ac:dyDescent="0.25">
      <c r="A181"/>
      <c r="B181"/>
      <c r="C181"/>
      <c r="D181"/>
      <c r="E181"/>
      <c r="F181"/>
      <c r="G181"/>
      <c r="H181"/>
      <c r="I181"/>
      <c r="J181"/>
      <c r="K181"/>
      <c r="L181"/>
    </row>
    <row r="182" spans="1:12" x14ac:dyDescent="0.25">
      <c r="A182"/>
      <c r="B182"/>
      <c r="C182"/>
      <c r="D182"/>
      <c r="E182"/>
      <c r="F182"/>
      <c r="G182"/>
      <c r="H182"/>
      <c r="I182"/>
      <c r="J182"/>
      <c r="K182"/>
      <c r="L182"/>
    </row>
    <row r="183" spans="1:12" x14ac:dyDescent="0.25">
      <c r="A183"/>
      <c r="B183"/>
      <c r="C183"/>
      <c r="D183"/>
      <c r="E183"/>
      <c r="F183"/>
      <c r="G183"/>
      <c r="H183"/>
      <c r="I183"/>
      <c r="J183"/>
      <c r="K183"/>
      <c r="L183"/>
    </row>
    <row r="184" spans="1:12" x14ac:dyDescent="0.25">
      <c r="A184"/>
      <c r="B184"/>
      <c r="C184"/>
      <c r="D184"/>
      <c r="E184"/>
      <c r="F184"/>
      <c r="G184"/>
      <c r="H184"/>
      <c r="I184"/>
      <c r="J184"/>
      <c r="K184"/>
      <c r="L184"/>
    </row>
    <row r="185" spans="1:12" x14ac:dyDescent="0.25">
      <c r="A185"/>
      <c r="B185"/>
      <c r="C185"/>
      <c r="D185"/>
      <c r="E185"/>
      <c r="F185"/>
      <c r="G185"/>
      <c r="H185"/>
      <c r="I185"/>
      <c r="J185"/>
      <c r="K185"/>
      <c r="L185"/>
    </row>
    <row r="186" spans="1:12" x14ac:dyDescent="0.25">
      <c r="A186"/>
      <c r="B186"/>
      <c r="C186"/>
      <c r="D186"/>
      <c r="E186"/>
      <c r="F186"/>
      <c r="G186"/>
      <c r="H186"/>
      <c r="I186"/>
      <c r="J186"/>
      <c r="K186"/>
      <c r="L186"/>
    </row>
    <row r="187" spans="1:12" x14ac:dyDescent="0.25">
      <c r="A187"/>
      <c r="B187"/>
      <c r="C187"/>
      <c r="D187"/>
      <c r="E187"/>
      <c r="F187"/>
      <c r="G187"/>
      <c r="H187"/>
      <c r="I187"/>
      <c r="J187"/>
      <c r="K187"/>
      <c r="L187"/>
    </row>
    <row r="188" spans="1:12" x14ac:dyDescent="0.25">
      <c r="A188"/>
      <c r="B188"/>
      <c r="C188"/>
      <c r="D188"/>
      <c r="E188"/>
      <c r="F188"/>
      <c r="G188"/>
      <c r="H188"/>
      <c r="I188"/>
      <c r="J188"/>
      <c r="K188"/>
      <c r="L188"/>
    </row>
    <row r="189" spans="1:12" x14ac:dyDescent="0.25">
      <c r="A189"/>
      <c r="B189"/>
      <c r="C189"/>
      <c r="D189"/>
      <c r="E189"/>
      <c r="F189"/>
      <c r="G189"/>
      <c r="H189"/>
      <c r="I189"/>
      <c r="J189"/>
      <c r="K189"/>
      <c r="L189"/>
    </row>
    <row r="190" spans="1:12" x14ac:dyDescent="0.25">
      <c r="A190"/>
      <c r="B190"/>
      <c r="C190"/>
      <c r="D190"/>
      <c r="E190"/>
      <c r="F190"/>
      <c r="G190"/>
      <c r="H190"/>
      <c r="I190"/>
      <c r="J190"/>
      <c r="K190"/>
      <c r="L190"/>
    </row>
    <row r="191" spans="1:12" x14ac:dyDescent="0.25">
      <c r="A191"/>
      <c r="B191"/>
      <c r="C191"/>
      <c r="D191"/>
      <c r="E191"/>
      <c r="F191"/>
      <c r="G191"/>
      <c r="H191"/>
      <c r="I191"/>
      <c r="J191"/>
      <c r="K191"/>
      <c r="L191"/>
    </row>
    <row r="192" spans="1:12" x14ac:dyDescent="0.25">
      <c r="A192"/>
      <c r="B192"/>
      <c r="C192"/>
      <c r="D192"/>
      <c r="E192"/>
      <c r="F192"/>
      <c r="G192"/>
      <c r="H192"/>
      <c r="I192"/>
      <c r="J192"/>
      <c r="K192"/>
      <c r="L192"/>
    </row>
    <row r="193" spans="1:12" x14ac:dyDescent="0.25">
      <c r="A193"/>
      <c r="B193"/>
      <c r="C193"/>
      <c r="D193"/>
      <c r="E193"/>
      <c r="F193"/>
      <c r="G193"/>
      <c r="H193"/>
      <c r="I193"/>
      <c r="J193"/>
      <c r="K193"/>
      <c r="L193"/>
    </row>
    <row r="194" spans="1:12" x14ac:dyDescent="0.25">
      <c r="A194"/>
      <c r="B194"/>
      <c r="C194"/>
      <c r="D194"/>
      <c r="E194"/>
      <c r="F194"/>
      <c r="G194"/>
      <c r="H194"/>
      <c r="I194"/>
      <c r="J194"/>
      <c r="K194"/>
      <c r="L194"/>
    </row>
    <row r="195" spans="1:12" x14ac:dyDescent="0.25">
      <c r="A195"/>
      <c r="B195"/>
      <c r="C195"/>
      <c r="D195"/>
      <c r="E195"/>
      <c r="F195"/>
      <c r="G195"/>
      <c r="H195"/>
      <c r="I195"/>
      <c r="J195"/>
      <c r="K195"/>
      <c r="L195"/>
    </row>
    <row r="196" spans="1:12" x14ac:dyDescent="0.25">
      <c r="A196"/>
      <c r="B196"/>
      <c r="C196"/>
      <c r="D196"/>
      <c r="E196"/>
      <c r="F196"/>
      <c r="G196"/>
      <c r="H196"/>
      <c r="I196"/>
      <c r="J196"/>
      <c r="K196"/>
      <c r="L196"/>
    </row>
    <row r="197" spans="1:12" x14ac:dyDescent="0.25">
      <c r="A197"/>
      <c r="B197"/>
      <c r="C197"/>
      <c r="D197"/>
      <c r="E197"/>
      <c r="F197"/>
      <c r="G197"/>
      <c r="H197"/>
      <c r="I197"/>
      <c r="J197"/>
      <c r="K197"/>
      <c r="L197"/>
    </row>
    <row r="198" spans="1:12" x14ac:dyDescent="0.25">
      <c r="A198"/>
      <c r="B198"/>
      <c r="C198"/>
      <c r="D198"/>
      <c r="E198"/>
      <c r="F198"/>
      <c r="G198"/>
      <c r="H198"/>
      <c r="I198"/>
      <c r="J198"/>
      <c r="K198"/>
      <c r="L198"/>
    </row>
    <row r="199" spans="1:12" x14ac:dyDescent="0.25">
      <c r="A199"/>
      <c r="B199"/>
      <c r="C199"/>
      <c r="D199"/>
      <c r="E199"/>
      <c r="F199"/>
      <c r="G199"/>
      <c r="H199"/>
      <c r="I199"/>
      <c r="J199"/>
      <c r="K199"/>
      <c r="L199"/>
    </row>
    <row r="200" spans="1:12" x14ac:dyDescent="0.25">
      <c r="A200"/>
      <c r="B200"/>
      <c r="C200"/>
      <c r="D200"/>
      <c r="E200"/>
      <c r="F200"/>
      <c r="G200"/>
      <c r="H200"/>
      <c r="I200"/>
      <c r="J200"/>
      <c r="K200"/>
      <c r="L200"/>
    </row>
    <row r="201" spans="1:12" x14ac:dyDescent="0.25">
      <c r="A201"/>
      <c r="B201"/>
      <c r="C201"/>
      <c r="D201"/>
      <c r="E201"/>
      <c r="F201"/>
      <c r="G201"/>
      <c r="H201"/>
      <c r="I201"/>
      <c r="J201"/>
      <c r="K201"/>
      <c r="L201"/>
    </row>
    <row r="202" spans="1:12" x14ac:dyDescent="0.25">
      <c r="A202"/>
      <c r="B202"/>
      <c r="C202"/>
      <c r="D202"/>
      <c r="E202"/>
      <c r="F202"/>
      <c r="G202"/>
      <c r="H202"/>
      <c r="I202"/>
      <c r="J202"/>
      <c r="K202"/>
      <c r="L202"/>
    </row>
    <row r="203" spans="1:12" x14ac:dyDescent="0.25">
      <c r="A203"/>
      <c r="B203"/>
      <c r="C203"/>
      <c r="D203"/>
      <c r="E203"/>
      <c r="F203"/>
      <c r="G203"/>
      <c r="H203"/>
      <c r="I203"/>
      <c r="J203"/>
      <c r="K203"/>
      <c r="L203"/>
    </row>
    <row r="204" spans="1:12" x14ac:dyDescent="0.25">
      <c r="A204"/>
      <c r="B204"/>
      <c r="C204"/>
      <c r="D204"/>
      <c r="E204"/>
      <c r="F204"/>
      <c r="G204"/>
      <c r="H204"/>
      <c r="I204"/>
      <c r="J204"/>
      <c r="K204"/>
      <c r="L204"/>
    </row>
    <row r="205" spans="1:12" x14ac:dyDescent="0.25">
      <c r="A205"/>
      <c r="B205"/>
      <c r="C205"/>
      <c r="D205"/>
      <c r="E205"/>
      <c r="F205"/>
      <c r="G205"/>
      <c r="H205"/>
      <c r="I205"/>
      <c r="J205"/>
      <c r="K205"/>
      <c r="L205"/>
    </row>
    <row r="206" spans="1:12" x14ac:dyDescent="0.25">
      <c r="A206"/>
      <c r="B206"/>
      <c r="C206"/>
      <c r="D206"/>
      <c r="E206"/>
      <c r="F206"/>
      <c r="G206"/>
      <c r="H206"/>
      <c r="I206"/>
      <c r="J206"/>
      <c r="K206"/>
      <c r="L206"/>
    </row>
    <row r="207" spans="1:12" x14ac:dyDescent="0.25">
      <c r="A207"/>
      <c r="B207"/>
      <c r="C207"/>
      <c r="D207"/>
      <c r="E207"/>
      <c r="F207"/>
      <c r="G207"/>
      <c r="H207"/>
      <c r="I207"/>
      <c r="J207"/>
      <c r="K207"/>
      <c r="L207"/>
    </row>
    <row r="208" spans="1:12" x14ac:dyDescent="0.25">
      <c r="A208"/>
      <c r="B208"/>
      <c r="C208"/>
      <c r="D208"/>
      <c r="E208"/>
      <c r="F208"/>
      <c r="G208"/>
      <c r="H208"/>
      <c r="I208"/>
      <c r="J208"/>
      <c r="K208"/>
      <c r="L208"/>
    </row>
    <row r="209" spans="1:12" x14ac:dyDescent="0.25">
      <c r="A209"/>
      <c r="B209"/>
      <c r="C209"/>
      <c r="D209"/>
      <c r="E209"/>
      <c r="F209"/>
      <c r="G209"/>
      <c r="H209"/>
      <c r="I209"/>
      <c r="J209"/>
      <c r="K209"/>
      <c r="L209"/>
    </row>
    <row r="210" spans="1:12" x14ac:dyDescent="0.25">
      <c r="A210"/>
      <c r="B210"/>
      <c r="C210"/>
      <c r="D210"/>
      <c r="E210"/>
      <c r="F210"/>
      <c r="G210"/>
      <c r="H210"/>
      <c r="I210"/>
      <c r="J210"/>
      <c r="K210"/>
      <c r="L210"/>
    </row>
    <row r="211" spans="1:12" x14ac:dyDescent="0.25">
      <c r="A211"/>
      <c r="B211"/>
      <c r="C211"/>
      <c r="D211"/>
      <c r="E211"/>
      <c r="F211"/>
      <c r="G211"/>
      <c r="H211"/>
      <c r="I211"/>
      <c r="J211"/>
      <c r="K211"/>
      <c r="L211"/>
    </row>
    <row r="212" spans="1:12" x14ac:dyDescent="0.25">
      <c r="A212"/>
      <c r="B212"/>
      <c r="C212"/>
      <c r="D212"/>
      <c r="E212"/>
      <c r="F212"/>
      <c r="G212"/>
      <c r="H212"/>
      <c r="I212"/>
      <c r="J212"/>
      <c r="K212"/>
      <c r="L212"/>
    </row>
    <row r="213" spans="1:12" x14ac:dyDescent="0.25">
      <c r="A213"/>
      <c r="B213"/>
      <c r="C213"/>
      <c r="D213"/>
      <c r="E213"/>
      <c r="F213"/>
      <c r="G213"/>
      <c r="H213"/>
      <c r="I213"/>
      <c r="J213"/>
      <c r="K213"/>
      <c r="L213"/>
    </row>
    <row r="214" spans="1:12" x14ac:dyDescent="0.25">
      <c r="A214"/>
      <c r="B214"/>
      <c r="C214"/>
      <c r="D214"/>
      <c r="E214"/>
      <c r="F214"/>
      <c r="G214"/>
      <c r="H214"/>
      <c r="I214"/>
      <c r="J214"/>
      <c r="K214"/>
      <c r="L214"/>
    </row>
    <row r="215" spans="1:12" x14ac:dyDescent="0.25">
      <c r="A215"/>
      <c r="B215"/>
      <c r="C215"/>
      <c r="D215"/>
      <c r="E215"/>
      <c r="F215"/>
      <c r="G215"/>
      <c r="H215"/>
      <c r="I215"/>
      <c r="J215"/>
      <c r="K215"/>
      <c r="L215"/>
    </row>
    <row r="216" spans="1:12" x14ac:dyDescent="0.25">
      <c r="A216"/>
      <c r="B216"/>
      <c r="C216"/>
      <c r="D216"/>
      <c r="E216"/>
      <c r="F216"/>
      <c r="G216"/>
      <c r="H216"/>
      <c r="I216"/>
      <c r="J216"/>
      <c r="K216"/>
      <c r="L216"/>
    </row>
    <row r="217" spans="1:12" x14ac:dyDescent="0.25">
      <c r="A217"/>
      <c r="B217"/>
      <c r="C217"/>
      <c r="D217"/>
      <c r="E217"/>
      <c r="F217"/>
      <c r="G217"/>
      <c r="H217"/>
      <c r="I217"/>
      <c r="J217"/>
      <c r="K217"/>
      <c r="L217"/>
    </row>
    <row r="218" spans="1:12" x14ac:dyDescent="0.25">
      <c r="A218"/>
      <c r="B218"/>
      <c r="C218"/>
      <c r="D218"/>
      <c r="E218"/>
      <c r="F218"/>
      <c r="G218"/>
      <c r="H218"/>
      <c r="I218"/>
      <c r="J218"/>
      <c r="K218"/>
      <c r="L218"/>
    </row>
    <row r="219" spans="1:12" x14ac:dyDescent="0.25">
      <c r="A219"/>
      <c r="B219"/>
      <c r="C219"/>
      <c r="D219"/>
      <c r="E219"/>
      <c r="F219"/>
      <c r="G219"/>
      <c r="H219"/>
      <c r="I219"/>
      <c r="J219"/>
      <c r="K219"/>
      <c r="L219"/>
    </row>
    <row r="220" spans="1:12" x14ac:dyDescent="0.25">
      <c r="A220"/>
      <c r="B220"/>
      <c r="C220"/>
      <c r="D220"/>
      <c r="E220"/>
      <c r="F220"/>
      <c r="G220"/>
      <c r="H220"/>
      <c r="I220"/>
      <c r="J220"/>
      <c r="K220"/>
      <c r="L220"/>
    </row>
    <row r="221" spans="1:12" x14ac:dyDescent="0.25">
      <c r="A221"/>
      <c r="B221"/>
      <c r="C221"/>
      <c r="D221"/>
      <c r="E221"/>
      <c r="F221"/>
      <c r="G221"/>
      <c r="H221"/>
      <c r="I221"/>
      <c r="J221"/>
      <c r="K221"/>
      <c r="L221"/>
    </row>
    <row r="222" spans="1:12" x14ac:dyDescent="0.25">
      <c r="A222"/>
      <c r="B222"/>
      <c r="C222"/>
      <c r="D222"/>
      <c r="E222"/>
      <c r="F222"/>
      <c r="G222"/>
      <c r="H222"/>
      <c r="I222"/>
      <c r="J222"/>
      <c r="K222"/>
      <c r="L222"/>
    </row>
    <row r="223" spans="1:12" x14ac:dyDescent="0.25">
      <c r="A223"/>
      <c r="B223"/>
      <c r="C223"/>
      <c r="D223"/>
      <c r="E223"/>
      <c r="F223"/>
      <c r="G223"/>
      <c r="H223"/>
      <c r="I223"/>
      <c r="J223"/>
      <c r="K223"/>
      <c r="L223"/>
    </row>
    <row r="224" spans="1:12" x14ac:dyDescent="0.25">
      <c r="A224"/>
      <c r="B224"/>
      <c r="C224"/>
      <c r="D224"/>
      <c r="E224"/>
      <c r="F224"/>
      <c r="G224"/>
      <c r="H224"/>
      <c r="I224"/>
      <c r="J224"/>
      <c r="K224"/>
      <c r="L224"/>
    </row>
    <row r="225" spans="1:12" x14ac:dyDescent="0.25">
      <c r="A225"/>
      <c r="B225"/>
      <c r="C225"/>
      <c r="D225"/>
      <c r="E225"/>
      <c r="F225"/>
      <c r="G225"/>
      <c r="H225"/>
      <c r="I225"/>
      <c r="J225"/>
      <c r="K225"/>
      <c r="L225"/>
    </row>
    <row r="226" spans="1:12" x14ac:dyDescent="0.25">
      <c r="A226"/>
      <c r="B226"/>
      <c r="C226"/>
      <c r="D226"/>
      <c r="E226"/>
      <c r="F226"/>
      <c r="G226"/>
      <c r="H226"/>
      <c r="I226"/>
      <c r="J226"/>
      <c r="K226"/>
      <c r="L226"/>
    </row>
    <row r="227" spans="1:12" x14ac:dyDescent="0.25">
      <c r="A227"/>
      <c r="B227"/>
      <c r="C227"/>
      <c r="D227"/>
      <c r="E227"/>
      <c r="F227"/>
      <c r="G227"/>
      <c r="H227"/>
      <c r="I227"/>
      <c r="J227"/>
      <c r="K227"/>
      <c r="L227"/>
    </row>
    <row r="228" spans="1:12" x14ac:dyDescent="0.25">
      <c r="A228"/>
      <c r="B228"/>
      <c r="C228"/>
      <c r="D228"/>
      <c r="E228"/>
      <c r="F228"/>
      <c r="G228"/>
      <c r="H228"/>
      <c r="I228"/>
      <c r="J228"/>
      <c r="K228"/>
      <c r="L228"/>
    </row>
    <row r="229" spans="1:12" x14ac:dyDescent="0.25">
      <c r="A229"/>
      <c r="B229"/>
      <c r="C229"/>
      <c r="D229"/>
      <c r="E229"/>
      <c r="F229"/>
      <c r="G229"/>
      <c r="H229"/>
      <c r="I229"/>
      <c r="J229"/>
      <c r="K229"/>
      <c r="L229"/>
    </row>
    <row r="230" spans="1:12" x14ac:dyDescent="0.25">
      <c r="A230"/>
      <c r="B230"/>
      <c r="C230"/>
      <c r="D230"/>
      <c r="E230"/>
      <c r="F230"/>
      <c r="G230"/>
      <c r="H230"/>
      <c r="I230"/>
      <c r="J230"/>
      <c r="K230"/>
      <c r="L230"/>
    </row>
    <row r="231" spans="1:12" x14ac:dyDescent="0.25">
      <c r="A231"/>
      <c r="B231"/>
      <c r="C231"/>
      <c r="D231"/>
      <c r="E231"/>
      <c r="F231"/>
      <c r="G231"/>
      <c r="H231"/>
      <c r="I231"/>
      <c r="J231"/>
      <c r="K231"/>
      <c r="L231"/>
    </row>
    <row r="232" spans="1:12" x14ac:dyDescent="0.25">
      <c r="A232"/>
      <c r="B232"/>
      <c r="C232"/>
      <c r="D232"/>
      <c r="E232"/>
      <c r="F232"/>
      <c r="G232"/>
      <c r="H232"/>
      <c r="I232"/>
      <c r="J232"/>
      <c r="K232"/>
      <c r="L232"/>
    </row>
    <row r="233" spans="1:12" x14ac:dyDescent="0.25">
      <c r="A233"/>
      <c r="B233"/>
      <c r="C233"/>
      <c r="D233"/>
      <c r="E233"/>
      <c r="F233"/>
      <c r="G233"/>
      <c r="H233"/>
      <c r="I233"/>
      <c r="J233"/>
      <c r="K233"/>
      <c r="L233"/>
    </row>
    <row r="234" spans="1:12" x14ac:dyDescent="0.25">
      <c r="A234"/>
      <c r="B234"/>
      <c r="C234"/>
      <c r="D234"/>
      <c r="E234"/>
      <c r="F234"/>
      <c r="G234"/>
      <c r="H234"/>
      <c r="I234"/>
      <c r="J234"/>
      <c r="K234"/>
      <c r="L234"/>
    </row>
    <row r="235" spans="1:12" x14ac:dyDescent="0.25">
      <c r="A235"/>
      <c r="B235"/>
      <c r="C235"/>
      <c r="D235"/>
      <c r="E235"/>
      <c r="F235"/>
      <c r="G235"/>
      <c r="H235"/>
      <c r="I235"/>
      <c r="J235"/>
      <c r="K235"/>
      <c r="L235"/>
    </row>
    <row r="236" spans="1:12" x14ac:dyDescent="0.25">
      <c r="A236"/>
      <c r="B236"/>
      <c r="C236"/>
      <c r="D236"/>
      <c r="E236"/>
      <c r="F236"/>
      <c r="G236"/>
      <c r="H236"/>
      <c r="I236"/>
      <c r="J236"/>
      <c r="K236"/>
      <c r="L236"/>
    </row>
    <row r="237" spans="1:12" x14ac:dyDescent="0.25">
      <c r="A237"/>
      <c r="B237"/>
      <c r="C237"/>
      <c r="D237"/>
      <c r="E237"/>
      <c r="F237"/>
      <c r="G237"/>
      <c r="H237"/>
      <c r="I237"/>
      <c r="J237"/>
      <c r="K237"/>
      <c r="L237"/>
    </row>
    <row r="238" spans="1:12" x14ac:dyDescent="0.25">
      <c r="A238"/>
      <c r="B238"/>
      <c r="C238"/>
      <c r="D238"/>
      <c r="E238"/>
      <c r="F238"/>
      <c r="G238"/>
      <c r="H238"/>
      <c r="I238"/>
      <c r="J238"/>
      <c r="K238"/>
      <c r="L238"/>
    </row>
    <row r="239" spans="1:12" x14ac:dyDescent="0.25">
      <c r="A239"/>
      <c r="B239"/>
      <c r="C239"/>
      <c r="D239"/>
      <c r="E239"/>
      <c r="F239"/>
      <c r="G239"/>
      <c r="H239"/>
      <c r="I239"/>
      <c r="J239"/>
      <c r="K239"/>
      <c r="L239"/>
    </row>
    <row r="240" spans="1:12" x14ac:dyDescent="0.25">
      <c r="A240"/>
      <c r="B240"/>
      <c r="C240"/>
      <c r="D240"/>
      <c r="E240"/>
      <c r="F240"/>
      <c r="G240"/>
      <c r="H240"/>
      <c r="I240"/>
      <c r="J240"/>
      <c r="K240"/>
      <c r="L240"/>
    </row>
    <row r="241" spans="1:12" x14ac:dyDescent="0.25">
      <c r="A241"/>
      <c r="B241"/>
      <c r="C241"/>
      <c r="D241"/>
      <c r="E241"/>
      <c r="F241"/>
      <c r="G241"/>
      <c r="H241"/>
      <c r="I241"/>
      <c r="J241"/>
      <c r="K241"/>
      <c r="L241"/>
    </row>
    <row r="242" spans="1:12" x14ac:dyDescent="0.25">
      <c r="A242"/>
      <c r="B242"/>
      <c r="C242"/>
      <c r="D242"/>
      <c r="E242"/>
      <c r="F242"/>
      <c r="G242"/>
      <c r="H242"/>
      <c r="I242"/>
      <c r="J242"/>
      <c r="K242"/>
      <c r="L242"/>
    </row>
    <row r="243" spans="1:12" x14ac:dyDescent="0.25">
      <c r="A243"/>
      <c r="B243"/>
      <c r="C243"/>
      <c r="D243"/>
      <c r="E243"/>
      <c r="F243"/>
      <c r="G243"/>
      <c r="H243"/>
      <c r="I243"/>
      <c r="J243"/>
      <c r="K243"/>
      <c r="L243"/>
    </row>
    <row r="244" spans="1:12" x14ac:dyDescent="0.25">
      <c r="A244"/>
      <c r="B244"/>
      <c r="C244"/>
      <c r="D244"/>
      <c r="E244"/>
      <c r="F244"/>
      <c r="G244"/>
      <c r="H244"/>
      <c r="I244"/>
      <c r="J244"/>
      <c r="K244"/>
      <c r="L244"/>
    </row>
    <row r="245" spans="1:12" x14ac:dyDescent="0.25">
      <c r="A245"/>
      <c r="B245"/>
      <c r="C245"/>
      <c r="D245"/>
      <c r="E245"/>
      <c r="F245"/>
      <c r="G245"/>
      <c r="H245"/>
      <c r="I245"/>
      <c r="J245"/>
      <c r="K245"/>
      <c r="L245"/>
    </row>
    <row r="246" spans="1:12" x14ac:dyDescent="0.25">
      <c r="A246"/>
      <c r="B246"/>
      <c r="C246"/>
      <c r="D246"/>
      <c r="E246"/>
      <c r="F246"/>
      <c r="G246"/>
      <c r="H246"/>
      <c r="I246"/>
      <c r="J246"/>
      <c r="K246"/>
      <c r="L246"/>
    </row>
    <row r="247" spans="1:12" x14ac:dyDescent="0.25">
      <c r="A247"/>
      <c r="B247"/>
      <c r="C247"/>
      <c r="D247"/>
      <c r="E247"/>
      <c r="F247"/>
      <c r="G247"/>
      <c r="H247"/>
      <c r="I247"/>
      <c r="J247"/>
      <c r="K247"/>
      <c r="L247"/>
    </row>
    <row r="248" spans="1:12" x14ac:dyDescent="0.25">
      <c r="A248"/>
      <c r="B248"/>
      <c r="C248"/>
      <c r="D248"/>
      <c r="E248"/>
      <c r="F248"/>
      <c r="G248"/>
      <c r="H248"/>
      <c r="I248"/>
      <c r="J248"/>
      <c r="K248"/>
      <c r="L248"/>
    </row>
    <row r="249" spans="1:12" x14ac:dyDescent="0.25">
      <c r="A249"/>
      <c r="B249"/>
      <c r="C249"/>
      <c r="D249"/>
      <c r="E249"/>
      <c r="F249"/>
      <c r="G249"/>
      <c r="H249"/>
      <c r="I249"/>
      <c r="J249"/>
      <c r="K249"/>
      <c r="L249"/>
    </row>
    <row r="250" spans="1:12" x14ac:dyDescent="0.25">
      <c r="A250"/>
      <c r="B250"/>
      <c r="C250"/>
      <c r="D250"/>
      <c r="E250"/>
      <c r="F250"/>
      <c r="G250"/>
      <c r="H250"/>
      <c r="I250"/>
      <c r="J250"/>
      <c r="K250"/>
      <c r="L250"/>
    </row>
    <row r="251" spans="1:12" x14ac:dyDescent="0.25">
      <c r="A251"/>
      <c r="B251"/>
      <c r="C251"/>
      <c r="D251"/>
      <c r="E251"/>
      <c r="F251"/>
      <c r="G251"/>
      <c r="H251"/>
      <c r="I251"/>
      <c r="J251"/>
      <c r="K251"/>
      <c r="L251"/>
    </row>
    <row r="252" spans="1:12" x14ac:dyDescent="0.25">
      <c r="A252"/>
      <c r="B252"/>
      <c r="C252"/>
      <c r="D252"/>
      <c r="E252"/>
      <c r="F252"/>
      <c r="G252"/>
      <c r="H252"/>
      <c r="I252"/>
      <c r="J252"/>
      <c r="K252"/>
      <c r="L252"/>
    </row>
    <row r="253" spans="1:12" x14ac:dyDescent="0.25">
      <c r="A253"/>
      <c r="B253"/>
      <c r="C253"/>
      <c r="D253"/>
      <c r="E253"/>
      <c r="F253"/>
      <c r="G253"/>
      <c r="H253"/>
      <c r="I253"/>
      <c r="J253"/>
      <c r="K253"/>
      <c r="L253"/>
    </row>
    <row r="254" spans="1:12" x14ac:dyDescent="0.25">
      <c r="A254"/>
      <c r="B254"/>
      <c r="C254"/>
      <c r="D254"/>
      <c r="E254"/>
      <c r="F254"/>
      <c r="G254"/>
      <c r="H254"/>
      <c r="I254"/>
      <c r="J254"/>
      <c r="K254"/>
      <c r="L254"/>
    </row>
    <row r="255" spans="1:12" x14ac:dyDescent="0.25">
      <c r="A255"/>
      <c r="B255"/>
      <c r="C255"/>
      <c r="D255"/>
      <c r="E255"/>
      <c r="F255"/>
      <c r="G255"/>
      <c r="H255"/>
      <c r="I255"/>
      <c r="J255"/>
      <c r="K255"/>
      <c r="L255"/>
    </row>
    <row r="256" spans="1:12" x14ac:dyDescent="0.25">
      <c r="A256"/>
      <c r="B256"/>
      <c r="C256"/>
      <c r="D256"/>
      <c r="E256"/>
      <c r="F256"/>
      <c r="G256"/>
      <c r="H256"/>
      <c r="I256"/>
      <c r="J256"/>
      <c r="K256"/>
      <c r="L256"/>
    </row>
    <row r="257" spans="1:12" x14ac:dyDescent="0.25">
      <c r="A257"/>
      <c r="B257"/>
      <c r="C257"/>
      <c r="D257"/>
      <c r="E257"/>
      <c r="F257"/>
      <c r="G257"/>
      <c r="H257"/>
      <c r="I257"/>
      <c r="J257"/>
      <c r="K257"/>
      <c r="L257"/>
    </row>
    <row r="258" spans="1:12" x14ac:dyDescent="0.25">
      <c r="A258"/>
      <c r="B258"/>
      <c r="C258"/>
      <c r="D258"/>
      <c r="E258"/>
      <c r="F258"/>
      <c r="G258"/>
      <c r="H258"/>
      <c r="I258"/>
      <c r="J258"/>
      <c r="K258"/>
      <c r="L258"/>
    </row>
    <row r="259" spans="1:12" x14ac:dyDescent="0.25">
      <c r="A259"/>
      <c r="B259"/>
      <c r="C259"/>
      <c r="D259"/>
      <c r="E259"/>
      <c r="F259"/>
      <c r="G259"/>
      <c r="H259"/>
      <c r="I259"/>
      <c r="J259"/>
      <c r="K259"/>
      <c r="L259"/>
    </row>
    <row r="260" spans="1:12" x14ac:dyDescent="0.25">
      <c r="A260"/>
      <c r="B260"/>
      <c r="C260"/>
      <c r="D260"/>
      <c r="E260"/>
      <c r="F260"/>
      <c r="G260"/>
      <c r="H260"/>
      <c r="I260"/>
      <c r="J260"/>
      <c r="K260"/>
      <c r="L260"/>
    </row>
    <row r="261" spans="1:12" x14ac:dyDescent="0.25">
      <c r="A261"/>
      <c r="B261"/>
      <c r="C261"/>
      <c r="D261"/>
      <c r="E261"/>
      <c r="F261"/>
      <c r="G261"/>
      <c r="H261"/>
      <c r="I261"/>
      <c r="J261"/>
      <c r="K261"/>
      <c r="L261"/>
    </row>
    <row r="262" spans="1:12" x14ac:dyDescent="0.25">
      <c r="A262"/>
      <c r="B262"/>
      <c r="C262"/>
      <c r="D262"/>
      <c r="E262"/>
      <c r="F262"/>
      <c r="G262"/>
      <c r="H262"/>
      <c r="I262"/>
      <c r="J262"/>
      <c r="K262"/>
      <c r="L262"/>
    </row>
    <row r="263" spans="1:12" x14ac:dyDescent="0.25">
      <c r="A263"/>
      <c r="B263"/>
      <c r="C263"/>
      <c r="D263"/>
      <c r="E263"/>
      <c r="F263"/>
      <c r="G263"/>
      <c r="H263"/>
      <c r="I263"/>
      <c r="J263"/>
      <c r="K263"/>
      <c r="L263"/>
    </row>
    <row r="264" spans="1:12" x14ac:dyDescent="0.25">
      <c r="A264"/>
      <c r="B264"/>
      <c r="C264"/>
      <c r="D264"/>
      <c r="E264"/>
      <c r="F264"/>
      <c r="G264"/>
      <c r="H264"/>
      <c r="I264"/>
      <c r="J264"/>
      <c r="K264"/>
      <c r="L264"/>
    </row>
    <row r="265" spans="1:12" x14ac:dyDescent="0.25">
      <c r="A265"/>
      <c r="B265"/>
      <c r="C265"/>
      <c r="D265"/>
      <c r="E265"/>
      <c r="F265"/>
      <c r="G265"/>
      <c r="H265"/>
      <c r="I265"/>
      <c r="J265"/>
      <c r="K265"/>
      <c r="L265"/>
    </row>
    <row r="266" spans="1:12" x14ac:dyDescent="0.25">
      <c r="A266"/>
      <c r="B266"/>
      <c r="C266"/>
      <c r="D266"/>
      <c r="E266"/>
      <c r="F266"/>
      <c r="G266"/>
      <c r="H266"/>
      <c r="I266"/>
      <c r="J266"/>
      <c r="K266"/>
      <c r="L266"/>
    </row>
    <row r="267" spans="1:12" x14ac:dyDescent="0.25">
      <c r="A267"/>
      <c r="B267"/>
      <c r="C267"/>
      <c r="D267"/>
      <c r="E267"/>
      <c r="F267"/>
      <c r="G267"/>
      <c r="H267"/>
      <c r="I267"/>
      <c r="J267"/>
      <c r="K267"/>
      <c r="L267"/>
    </row>
    <row r="268" spans="1:12" x14ac:dyDescent="0.25">
      <c r="A268"/>
      <c r="B268"/>
      <c r="C268"/>
      <c r="D268"/>
      <c r="E268"/>
      <c r="F268"/>
      <c r="G268"/>
      <c r="H268"/>
      <c r="I268"/>
      <c r="J268"/>
      <c r="K268"/>
      <c r="L268"/>
    </row>
    <row r="269" spans="1:12" x14ac:dyDescent="0.25">
      <c r="A269"/>
      <c r="B269"/>
      <c r="C269"/>
      <c r="D269"/>
      <c r="E269"/>
      <c r="F269"/>
      <c r="G269"/>
      <c r="H269"/>
      <c r="I269"/>
      <c r="J269"/>
      <c r="K269"/>
      <c r="L269"/>
    </row>
    <row r="270" spans="1:12" x14ac:dyDescent="0.25">
      <c r="A270"/>
      <c r="B270"/>
      <c r="C270"/>
      <c r="D270"/>
      <c r="E270"/>
      <c r="F270"/>
      <c r="G270"/>
      <c r="H270"/>
      <c r="I270"/>
      <c r="J270"/>
      <c r="K270"/>
      <c r="L270"/>
    </row>
    <row r="271" spans="1:12" x14ac:dyDescent="0.25">
      <c r="A271"/>
      <c r="B271"/>
      <c r="C271"/>
      <c r="D271"/>
      <c r="E271"/>
      <c r="F271"/>
      <c r="G271"/>
      <c r="H271"/>
      <c r="I271"/>
      <c r="J271"/>
      <c r="K271"/>
      <c r="L271"/>
    </row>
    <row r="272" spans="1:12" x14ac:dyDescent="0.25">
      <c r="A272"/>
      <c r="B272"/>
      <c r="C272"/>
      <c r="D272"/>
      <c r="E272"/>
      <c r="F272"/>
      <c r="G272"/>
      <c r="H272"/>
      <c r="I272"/>
      <c r="J272"/>
      <c r="K272"/>
      <c r="L272"/>
    </row>
    <row r="273" spans="1:12" x14ac:dyDescent="0.25">
      <c r="A273"/>
      <c r="B273"/>
      <c r="C273"/>
      <c r="D273"/>
      <c r="E273"/>
      <c r="F273"/>
      <c r="G273"/>
      <c r="H273"/>
      <c r="I273"/>
      <c r="J273"/>
      <c r="K273"/>
      <c r="L273"/>
    </row>
    <row r="274" spans="1:12" x14ac:dyDescent="0.25">
      <c r="A274"/>
      <c r="B274"/>
      <c r="C274"/>
      <c r="D274"/>
      <c r="E274"/>
      <c r="F274"/>
      <c r="G274"/>
      <c r="H274"/>
      <c r="I274"/>
      <c r="J274"/>
      <c r="K274"/>
      <c r="L274"/>
    </row>
    <row r="275" spans="1:12" x14ac:dyDescent="0.25">
      <c r="A275"/>
      <c r="B275"/>
      <c r="C275"/>
      <c r="D275"/>
      <c r="E275"/>
      <c r="F275"/>
      <c r="G275"/>
      <c r="H275"/>
      <c r="I275"/>
      <c r="J275"/>
      <c r="K275"/>
      <c r="L275"/>
    </row>
    <row r="276" spans="1:12" x14ac:dyDescent="0.25">
      <c r="A276"/>
      <c r="B276"/>
      <c r="C276"/>
      <c r="D276"/>
      <c r="E276"/>
      <c r="F276"/>
      <c r="G276"/>
      <c r="H276"/>
      <c r="I276"/>
      <c r="J276"/>
      <c r="K276"/>
      <c r="L276"/>
    </row>
    <row r="277" spans="1:12" x14ac:dyDescent="0.25">
      <c r="A277"/>
      <c r="B277"/>
      <c r="C277"/>
      <c r="D277"/>
      <c r="E277"/>
      <c r="F277"/>
      <c r="G277"/>
      <c r="H277"/>
      <c r="I277"/>
      <c r="J277"/>
      <c r="K277"/>
      <c r="L277"/>
    </row>
    <row r="278" spans="1:12" x14ac:dyDescent="0.25">
      <c r="A278"/>
      <c r="B278"/>
      <c r="C278"/>
      <c r="D278"/>
      <c r="E278"/>
      <c r="F278"/>
      <c r="G278"/>
      <c r="H278"/>
      <c r="I278"/>
      <c r="J278"/>
      <c r="K278"/>
      <c r="L278"/>
    </row>
    <row r="279" spans="1:12" x14ac:dyDescent="0.25">
      <c r="A279"/>
      <c r="B279"/>
      <c r="C279"/>
      <c r="D279"/>
      <c r="E279"/>
      <c r="F279"/>
      <c r="G279"/>
      <c r="H279"/>
      <c r="I279"/>
      <c r="J279"/>
      <c r="K279"/>
      <c r="L279"/>
    </row>
    <row r="280" spans="1:12" x14ac:dyDescent="0.25">
      <c r="A280"/>
      <c r="B280"/>
      <c r="C280"/>
      <c r="D280"/>
      <c r="E280"/>
      <c r="F280"/>
      <c r="G280"/>
      <c r="H280"/>
      <c r="I280"/>
      <c r="J280"/>
      <c r="K280"/>
      <c r="L280"/>
    </row>
    <row r="281" spans="1:12" x14ac:dyDescent="0.25">
      <c r="A281"/>
      <c r="B281"/>
      <c r="C281"/>
      <c r="D281"/>
      <c r="E281"/>
      <c r="F281"/>
      <c r="G281"/>
      <c r="H281"/>
      <c r="I281"/>
      <c r="J281"/>
      <c r="K281"/>
      <c r="L281"/>
    </row>
    <row r="282" spans="1:12" x14ac:dyDescent="0.25">
      <c r="A282"/>
      <c r="B282"/>
      <c r="C282"/>
      <c r="D282"/>
      <c r="E282"/>
      <c r="F282"/>
      <c r="G282"/>
      <c r="H282"/>
      <c r="I282"/>
      <c r="J282"/>
      <c r="K282"/>
      <c r="L282"/>
    </row>
    <row r="283" spans="1:12" x14ac:dyDescent="0.25">
      <c r="A283"/>
      <c r="B283"/>
      <c r="C283"/>
      <c r="D283"/>
      <c r="E283"/>
      <c r="F283"/>
      <c r="G283"/>
      <c r="H283"/>
      <c r="I283"/>
      <c r="J283"/>
      <c r="K283"/>
      <c r="L283"/>
    </row>
    <row r="284" spans="1:12" x14ac:dyDescent="0.25">
      <c r="A284"/>
      <c r="B284"/>
      <c r="C284"/>
      <c r="D284"/>
      <c r="E284"/>
      <c r="F284"/>
      <c r="G284"/>
      <c r="H284"/>
      <c r="I284"/>
      <c r="J284"/>
      <c r="K284"/>
      <c r="L284"/>
    </row>
    <row r="285" spans="1:12" x14ac:dyDescent="0.25">
      <c r="A285"/>
      <c r="B285"/>
      <c r="C285"/>
      <c r="D285"/>
      <c r="E285"/>
      <c r="F285"/>
      <c r="G285"/>
      <c r="H285"/>
      <c r="I285"/>
      <c r="J285"/>
      <c r="K285"/>
      <c r="L285"/>
    </row>
    <row r="286" spans="1:12" x14ac:dyDescent="0.25">
      <c r="A286"/>
      <c r="B286"/>
      <c r="C286"/>
      <c r="D286"/>
      <c r="E286"/>
      <c r="F286"/>
      <c r="G286"/>
      <c r="H286"/>
      <c r="I286"/>
      <c r="J286"/>
      <c r="K286"/>
      <c r="L286"/>
    </row>
    <row r="287" spans="1:12" x14ac:dyDescent="0.25">
      <c r="A287"/>
      <c r="B287"/>
      <c r="C287"/>
      <c r="D287"/>
      <c r="E287"/>
      <c r="F287"/>
      <c r="G287"/>
      <c r="H287"/>
      <c r="I287"/>
      <c r="J287"/>
      <c r="K287"/>
      <c r="L287"/>
    </row>
    <row r="288" spans="1:12" x14ac:dyDescent="0.25">
      <c r="A288"/>
      <c r="B288"/>
      <c r="C288"/>
      <c r="D288"/>
      <c r="E288"/>
      <c r="F288"/>
      <c r="G288"/>
      <c r="H288"/>
      <c r="I288"/>
      <c r="J288"/>
      <c r="K288"/>
      <c r="L288"/>
    </row>
    <row r="289" spans="1:12" x14ac:dyDescent="0.25">
      <c r="A289"/>
      <c r="B289"/>
      <c r="C289"/>
      <c r="D289"/>
      <c r="E289"/>
      <c r="F289"/>
      <c r="G289"/>
      <c r="H289"/>
      <c r="I289"/>
      <c r="J289"/>
      <c r="K289"/>
      <c r="L289"/>
    </row>
    <row r="290" spans="1:12" x14ac:dyDescent="0.25">
      <c r="A290"/>
      <c r="B290"/>
      <c r="C290"/>
      <c r="D290"/>
      <c r="E290"/>
      <c r="F290"/>
      <c r="G290"/>
      <c r="H290"/>
      <c r="I290"/>
      <c r="J290"/>
      <c r="K290"/>
      <c r="L290"/>
    </row>
    <row r="291" spans="1:12" x14ac:dyDescent="0.25">
      <c r="A291"/>
      <c r="B291"/>
      <c r="C291"/>
      <c r="D291"/>
      <c r="E291"/>
      <c r="F291"/>
      <c r="G291"/>
      <c r="H291"/>
      <c r="I291"/>
      <c r="J291"/>
      <c r="K291"/>
      <c r="L291"/>
    </row>
    <row r="292" spans="1:12" x14ac:dyDescent="0.25">
      <c r="A292"/>
      <c r="B292"/>
      <c r="C292"/>
      <c r="D292"/>
      <c r="E292"/>
      <c r="F292"/>
      <c r="G292"/>
      <c r="H292"/>
      <c r="I292"/>
      <c r="J292"/>
      <c r="K292"/>
      <c r="L292"/>
    </row>
    <row r="293" spans="1:12" x14ac:dyDescent="0.25">
      <c r="A293"/>
      <c r="B293"/>
      <c r="C293"/>
      <c r="D293"/>
      <c r="E293"/>
      <c r="F293"/>
      <c r="G293"/>
      <c r="H293"/>
      <c r="I293"/>
      <c r="J293"/>
      <c r="K293"/>
      <c r="L293"/>
    </row>
    <row r="294" spans="1:12" x14ac:dyDescent="0.25">
      <c r="A294"/>
      <c r="B294"/>
      <c r="C294"/>
      <c r="D294"/>
      <c r="E294"/>
      <c r="F294"/>
      <c r="G294"/>
      <c r="H294"/>
      <c r="I294"/>
      <c r="J294"/>
      <c r="K294"/>
      <c r="L294"/>
    </row>
    <row r="295" spans="1:12" x14ac:dyDescent="0.25">
      <c r="A295"/>
      <c r="B295"/>
      <c r="C295"/>
      <c r="D295"/>
      <c r="E295"/>
      <c r="F295"/>
      <c r="G295"/>
      <c r="H295"/>
      <c r="I295"/>
      <c r="J295"/>
      <c r="K295"/>
      <c r="L295"/>
    </row>
    <row r="296" spans="1:12" x14ac:dyDescent="0.25">
      <c r="A296"/>
      <c r="B296"/>
      <c r="C296"/>
      <c r="D296"/>
      <c r="E296"/>
      <c r="F296"/>
      <c r="G296"/>
      <c r="H296"/>
      <c r="I296"/>
      <c r="J296"/>
      <c r="K296"/>
      <c r="L296"/>
    </row>
    <row r="297" spans="1:12" x14ac:dyDescent="0.25">
      <c r="A297"/>
      <c r="B297"/>
      <c r="C297"/>
      <c r="D297"/>
      <c r="E297"/>
      <c r="F297"/>
      <c r="G297"/>
      <c r="H297"/>
      <c r="I297"/>
      <c r="J297"/>
      <c r="K297"/>
      <c r="L297"/>
    </row>
    <row r="298" spans="1:12" x14ac:dyDescent="0.25">
      <c r="A298"/>
      <c r="B298"/>
      <c r="C298"/>
      <c r="D298"/>
      <c r="E298"/>
      <c r="F298"/>
      <c r="G298"/>
      <c r="H298"/>
      <c r="I298"/>
      <c r="J298"/>
      <c r="K298"/>
      <c r="L298"/>
    </row>
    <row r="299" spans="1:12" x14ac:dyDescent="0.25">
      <c r="A299"/>
      <c r="B299"/>
      <c r="C299"/>
      <c r="D299"/>
      <c r="E299"/>
      <c r="F299"/>
      <c r="G299"/>
      <c r="H299"/>
      <c r="I299"/>
      <c r="J299"/>
      <c r="K299"/>
      <c r="L299"/>
    </row>
    <row r="300" spans="1:12" x14ac:dyDescent="0.25">
      <c r="A300"/>
      <c r="B300"/>
      <c r="C300"/>
      <c r="D300"/>
      <c r="E300"/>
      <c r="F300"/>
      <c r="G300"/>
      <c r="H300"/>
      <c r="I300"/>
      <c r="J300"/>
      <c r="K300"/>
      <c r="L300"/>
    </row>
    <row r="301" spans="1:12" x14ac:dyDescent="0.25">
      <c r="A301"/>
      <c r="B301"/>
      <c r="C301"/>
      <c r="D301"/>
      <c r="E301"/>
      <c r="F301"/>
      <c r="G301"/>
      <c r="H301"/>
      <c r="I301"/>
      <c r="J301"/>
      <c r="K301"/>
      <c r="L301"/>
    </row>
    <row r="302" spans="1:12" x14ac:dyDescent="0.25">
      <c r="A302"/>
      <c r="B302"/>
      <c r="C302"/>
      <c r="D302"/>
      <c r="E302"/>
      <c r="F302"/>
      <c r="G302"/>
      <c r="H302"/>
      <c r="I302"/>
      <c r="J302"/>
      <c r="K302"/>
      <c r="L302"/>
    </row>
    <row r="303" spans="1:12" x14ac:dyDescent="0.25">
      <c r="A303"/>
      <c r="B303"/>
      <c r="C303"/>
      <c r="D303"/>
      <c r="E303"/>
      <c r="F303"/>
      <c r="G303"/>
      <c r="H303"/>
      <c r="I303"/>
      <c r="J303"/>
      <c r="K303"/>
      <c r="L303"/>
    </row>
    <row r="304" spans="1:12" x14ac:dyDescent="0.25">
      <c r="A304"/>
      <c r="B304"/>
      <c r="C304"/>
      <c r="D304"/>
      <c r="E304"/>
      <c r="F304"/>
      <c r="G304"/>
      <c r="H304"/>
      <c r="I304"/>
      <c r="J304"/>
      <c r="K304"/>
      <c r="L304"/>
    </row>
    <row r="305" spans="1:12" x14ac:dyDescent="0.25">
      <c r="A305"/>
      <c r="B305"/>
      <c r="C305"/>
      <c r="D305"/>
      <c r="E305"/>
      <c r="F305"/>
      <c r="G305"/>
      <c r="H305"/>
      <c r="I305"/>
      <c r="J305"/>
      <c r="K305"/>
      <c r="L305"/>
    </row>
    <row r="306" spans="1:12" x14ac:dyDescent="0.25">
      <c r="A306"/>
      <c r="B306"/>
      <c r="C306"/>
      <c r="D306"/>
      <c r="E306"/>
      <c r="F306"/>
      <c r="G306"/>
      <c r="H306"/>
      <c r="I306"/>
      <c r="J306"/>
      <c r="K306"/>
      <c r="L306"/>
    </row>
    <row r="307" spans="1:12" x14ac:dyDescent="0.25">
      <c r="A307"/>
      <c r="B307"/>
      <c r="C307"/>
      <c r="D307"/>
      <c r="E307"/>
      <c r="F307"/>
      <c r="G307"/>
      <c r="H307"/>
      <c r="I307"/>
      <c r="J307"/>
      <c r="K307"/>
      <c r="L307"/>
    </row>
    <row r="308" spans="1:12" x14ac:dyDescent="0.25">
      <c r="A308"/>
      <c r="B308"/>
      <c r="C308"/>
      <c r="D308"/>
      <c r="E308"/>
      <c r="F308"/>
      <c r="G308"/>
      <c r="H308"/>
      <c r="I308"/>
      <c r="J308"/>
      <c r="K308"/>
      <c r="L308"/>
    </row>
    <row r="309" spans="1:12" x14ac:dyDescent="0.25">
      <c r="A309"/>
      <c r="B309"/>
      <c r="C309"/>
      <c r="D309"/>
      <c r="E309"/>
      <c r="F309"/>
      <c r="G309"/>
      <c r="H309"/>
      <c r="I309"/>
      <c r="J309"/>
      <c r="K309"/>
      <c r="L309"/>
    </row>
    <row r="310" spans="1:12" x14ac:dyDescent="0.25">
      <c r="A310"/>
      <c r="B310"/>
      <c r="C310"/>
      <c r="D310"/>
      <c r="E310"/>
      <c r="F310"/>
      <c r="G310"/>
      <c r="H310"/>
      <c r="I310"/>
      <c r="J310"/>
      <c r="K310"/>
      <c r="L310"/>
    </row>
    <row r="311" spans="1:12" x14ac:dyDescent="0.25">
      <c r="A311"/>
      <c r="B311"/>
      <c r="C311"/>
      <c r="D311"/>
      <c r="E311"/>
      <c r="F311"/>
      <c r="G311"/>
      <c r="H311"/>
      <c r="I311"/>
      <c r="J311"/>
      <c r="K311"/>
      <c r="L311"/>
    </row>
    <row r="312" spans="1:12" x14ac:dyDescent="0.25">
      <c r="A312"/>
      <c r="B312"/>
      <c r="C312"/>
      <c r="D312"/>
      <c r="E312"/>
      <c r="F312"/>
      <c r="G312"/>
      <c r="H312"/>
      <c r="I312"/>
      <c r="J312"/>
      <c r="K312"/>
      <c r="L312"/>
    </row>
    <row r="313" spans="1:12" x14ac:dyDescent="0.25">
      <c r="A313"/>
      <c r="B313"/>
      <c r="C313"/>
      <c r="D313"/>
      <c r="E313"/>
      <c r="F313"/>
      <c r="G313"/>
      <c r="H313"/>
      <c r="I313"/>
      <c r="J313"/>
      <c r="K313"/>
      <c r="L313"/>
    </row>
    <row r="314" spans="1:12" x14ac:dyDescent="0.25">
      <c r="A314"/>
      <c r="B314"/>
      <c r="C314"/>
      <c r="D314"/>
      <c r="E314"/>
      <c r="F314"/>
      <c r="G314"/>
      <c r="H314"/>
      <c r="I314"/>
      <c r="J314"/>
      <c r="K314"/>
      <c r="L314"/>
    </row>
    <row r="315" spans="1:12" x14ac:dyDescent="0.25">
      <c r="A315"/>
      <c r="B315"/>
      <c r="C315"/>
      <c r="D315"/>
      <c r="E315"/>
      <c r="F315"/>
      <c r="G315"/>
      <c r="H315"/>
      <c r="I315"/>
      <c r="J315"/>
      <c r="K315"/>
      <c r="L315"/>
    </row>
    <row r="316" spans="1:12" x14ac:dyDescent="0.25">
      <c r="A316"/>
      <c r="B316"/>
      <c r="C316"/>
      <c r="D316"/>
      <c r="E316"/>
      <c r="F316"/>
      <c r="G316"/>
      <c r="H316"/>
      <c r="I316"/>
      <c r="J316"/>
      <c r="K316"/>
      <c r="L316"/>
    </row>
    <row r="317" spans="1:12" x14ac:dyDescent="0.25">
      <c r="A317"/>
      <c r="B317"/>
      <c r="C317"/>
      <c r="D317"/>
      <c r="E317"/>
      <c r="F317"/>
      <c r="G317"/>
      <c r="H317"/>
      <c r="I317"/>
      <c r="J317"/>
      <c r="K317"/>
      <c r="L317"/>
    </row>
    <row r="318" spans="1:12" x14ac:dyDescent="0.25">
      <c r="A318"/>
      <c r="B318"/>
      <c r="C318"/>
      <c r="D318"/>
      <c r="E318"/>
      <c r="F318"/>
      <c r="G318"/>
      <c r="H318"/>
      <c r="I318"/>
      <c r="J318"/>
      <c r="K318"/>
      <c r="L318"/>
    </row>
    <row r="319" spans="1:12" x14ac:dyDescent="0.25">
      <c r="A319"/>
      <c r="B319"/>
      <c r="C319"/>
      <c r="D319"/>
      <c r="E319"/>
      <c r="F319"/>
      <c r="G319"/>
      <c r="H319"/>
      <c r="I319"/>
      <c r="J319"/>
      <c r="K319"/>
      <c r="L319"/>
    </row>
    <row r="320" spans="1:12" x14ac:dyDescent="0.25">
      <c r="A320"/>
      <c r="B320"/>
      <c r="C320"/>
      <c r="D320"/>
      <c r="E320"/>
      <c r="F320"/>
      <c r="G320"/>
      <c r="H320"/>
      <c r="I320"/>
      <c r="J320"/>
      <c r="K320"/>
      <c r="L320"/>
    </row>
    <row r="321" spans="1:12" x14ac:dyDescent="0.25">
      <c r="A321"/>
      <c r="B321"/>
      <c r="C321"/>
      <c r="D321"/>
      <c r="E321"/>
      <c r="F321"/>
      <c r="G321"/>
      <c r="H321"/>
      <c r="I321"/>
      <c r="J321"/>
      <c r="K321"/>
      <c r="L321"/>
    </row>
    <row r="322" spans="1:12" x14ac:dyDescent="0.25">
      <c r="A322"/>
      <c r="B322"/>
      <c r="C322"/>
      <c r="D322"/>
      <c r="E322"/>
      <c r="F322"/>
      <c r="G322"/>
      <c r="H322"/>
      <c r="I322"/>
      <c r="J322"/>
      <c r="K322"/>
      <c r="L322"/>
    </row>
    <row r="323" spans="1:12" x14ac:dyDescent="0.25">
      <c r="A323"/>
      <c r="B323"/>
      <c r="C323"/>
      <c r="D323"/>
      <c r="E323"/>
      <c r="F323"/>
      <c r="G323"/>
      <c r="H323"/>
      <c r="I323"/>
      <c r="J323"/>
      <c r="K323"/>
      <c r="L323"/>
    </row>
    <row r="324" spans="1:12" x14ac:dyDescent="0.25">
      <c r="A324"/>
      <c r="B324"/>
      <c r="C324"/>
      <c r="D324"/>
      <c r="E324"/>
      <c r="F324"/>
      <c r="G324"/>
      <c r="H324"/>
      <c r="I324"/>
      <c r="J324"/>
      <c r="K324"/>
      <c r="L324"/>
    </row>
    <row r="325" spans="1:12" x14ac:dyDescent="0.25">
      <c r="A325"/>
      <c r="B325"/>
      <c r="C325"/>
      <c r="D325"/>
      <c r="E325"/>
      <c r="F325"/>
      <c r="G325"/>
      <c r="H325"/>
      <c r="I325"/>
      <c r="J325"/>
      <c r="K325"/>
      <c r="L325"/>
    </row>
    <row r="326" spans="1:12" x14ac:dyDescent="0.25">
      <c r="A326"/>
      <c r="B326"/>
      <c r="C326"/>
      <c r="D326"/>
      <c r="E326"/>
      <c r="F326"/>
      <c r="G326"/>
      <c r="H326"/>
      <c r="I326"/>
      <c r="J326"/>
      <c r="K326"/>
      <c r="L326"/>
    </row>
    <row r="327" spans="1:12" x14ac:dyDescent="0.25">
      <c r="A327"/>
      <c r="B327"/>
      <c r="C327"/>
      <c r="D327"/>
      <c r="E327"/>
      <c r="F327"/>
      <c r="G327"/>
      <c r="H327"/>
      <c r="I327"/>
      <c r="J327"/>
      <c r="K327"/>
      <c r="L327"/>
    </row>
    <row r="328" spans="1:12" x14ac:dyDescent="0.25">
      <c r="A328"/>
      <c r="B328"/>
      <c r="C328"/>
      <c r="D328"/>
      <c r="E328"/>
      <c r="F328"/>
      <c r="G328"/>
      <c r="H328"/>
      <c r="I328"/>
      <c r="J328"/>
      <c r="K328"/>
      <c r="L328"/>
    </row>
    <row r="329" spans="1:12" x14ac:dyDescent="0.25">
      <c r="A329"/>
      <c r="B329"/>
      <c r="C329"/>
      <c r="D329"/>
      <c r="E329"/>
      <c r="F329"/>
      <c r="G329"/>
      <c r="H329"/>
      <c r="I329"/>
      <c r="J329"/>
      <c r="K329"/>
      <c r="L329"/>
    </row>
    <row r="330" spans="1:12" x14ac:dyDescent="0.25">
      <c r="A330"/>
      <c r="B330"/>
      <c r="C330"/>
      <c r="D330"/>
      <c r="E330"/>
      <c r="F330"/>
      <c r="G330"/>
      <c r="H330"/>
      <c r="I330"/>
      <c r="J330"/>
      <c r="K330"/>
      <c r="L330"/>
    </row>
    <row r="331" spans="1:12" x14ac:dyDescent="0.25">
      <c r="A331"/>
      <c r="B331"/>
      <c r="C331"/>
      <c r="D331"/>
      <c r="E331"/>
      <c r="F331"/>
      <c r="G331"/>
      <c r="H331"/>
      <c r="I331"/>
      <c r="J331"/>
      <c r="K331"/>
      <c r="L331"/>
    </row>
    <row r="332" spans="1:12" x14ac:dyDescent="0.25">
      <c r="A332"/>
      <c r="B332"/>
      <c r="C332"/>
      <c r="D332"/>
      <c r="E332"/>
      <c r="F332"/>
      <c r="G332"/>
      <c r="H332"/>
      <c r="I332"/>
      <c r="J332"/>
      <c r="K332"/>
      <c r="L332"/>
    </row>
    <row r="333" spans="1:12" x14ac:dyDescent="0.25">
      <c r="A333"/>
      <c r="B333"/>
      <c r="C333"/>
      <c r="D333"/>
      <c r="E333"/>
      <c r="F333"/>
      <c r="G333"/>
      <c r="H333"/>
      <c r="I333"/>
      <c r="J333"/>
      <c r="K333"/>
      <c r="L333"/>
    </row>
    <row r="334" spans="1:12" x14ac:dyDescent="0.25">
      <c r="A334"/>
      <c r="B334"/>
      <c r="C334"/>
      <c r="D334"/>
      <c r="E334"/>
      <c r="F334"/>
      <c r="G334"/>
      <c r="H334"/>
      <c r="I334"/>
      <c r="J334"/>
      <c r="K334"/>
      <c r="L334"/>
    </row>
    <row r="335" spans="1:12" x14ac:dyDescent="0.25">
      <c r="A335"/>
      <c r="B335"/>
      <c r="C335"/>
      <c r="D335"/>
      <c r="E335"/>
      <c r="F335"/>
      <c r="G335"/>
      <c r="H335"/>
      <c r="I335"/>
      <c r="J335"/>
      <c r="K335"/>
      <c r="L335"/>
    </row>
    <row r="336" spans="1:12" x14ac:dyDescent="0.25">
      <c r="A336"/>
      <c r="B336"/>
      <c r="C336"/>
      <c r="D336"/>
      <c r="E336"/>
      <c r="F336"/>
      <c r="G336"/>
      <c r="H336"/>
      <c r="I336"/>
      <c r="J336"/>
      <c r="K336"/>
      <c r="L336"/>
    </row>
    <row r="337" spans="1:12" x14ac:dyDescent="0.25">
      <c r="A337"/>
      <c r="B337"/>
      <c r="C337"/>
      <c r="D337"/>
      <c r="E337"/>
      <c r="F337"/>
      <c r="G337"/>
      <c r="H337"/>
      <c r="I337"/>
      <c r="J337"/>
      <c r="K337"/>
      <c r="L337"/>
    </row>
    <row r="338" spans="1:12" x14ac:dyDescent="0.25">
      <c r="A338"/>
      <c r="B338"/>
      <c r="C338"/>
      <c r="D338"/>
      <c r="E338"/>
      <c r="F338"/>
      <c r="G338"/>
      <c r="H338"/>
      <c r="I338"/>
      <c r="J338"/>
      <c r="K338"/>
      <c r="L338"/>
    </row>
    <row r="339" spans="1:12" x14ac:dyDescent="0.25">
      <c r="A339"/>
      <c r="B339"/>
      <c r="C339"/>
      <c r="D339"/>
      <c r="E339"/>
      <c r="F339"/>
      <c r="G339"/>
      <c r="H339"/>
      <c r="I339"/>
      <c r="J339"/>
      <c r="K339"/>
      <c r="L339"/>
    </row>
    <row r="340" spans="1:12" x14ac:dyDescent="0.25">
      <c r="A340"/>
      <c r="B340"/>
      <c r="C340"/>
      <c r="D340"/>
      <c r="E340"/>
      <c r="F340"/>
      <c r="G340"/>
      <c r="H340"/>
      <c r="I340"/>
      <c r="J340"/>
      <c r="K340"/>
      <c r="L340"/>
    </row>
    <row r="341" spans="1:12" x14ac:dyDescent="0.25">
      <c r="A341"/>
      <c r="B341"/>
      <c r="C341"/>
      <c r="D341"/>
      <c r="E341"/>
      <c r="F341"/>
      <c r="G341"/>
      <c r="H341"/>
      <c r="I341"/>
      <c r="J341"/>
      <c r="K341"/>
      <c r="L341"/>
    </row>
    <row r="342" spans="1:12" x14ac:dyDescent="0.25">
      <c r="A342"/>
      <c r="B342"/>
      <c r="C342"/>
      <c r="D342"/>
      <c r="E342"/>
      <c r="F342"/>
      <c r="G342"/>
      <c r="H342"/>
      <c r="I342"/>
      <c r="J342"/>
      <c r="K342"/>
      <c r="L342"/>
    </row>
    <row r="343" spans="1:12" x14ac:dyDescent="0.25">
      <c r="A343"/>
      <c r="B343"/>
      <c r="C343"/>
      <c r="D343"/>
      <c r="E343"/>
      <c r="F343"/>
      <c r="G343"/>
      <c r="H343"/>
      <c r="I343"/>
      <c r="J343"/>
      <c r="K343"/>
      <c r="L343"/>
    </row>
    <row r="344" spans="1:12" x14ac:dyDescent="0.25">
      <c r="A344"/>
      <c r="B344"/>
      <c r="C344"/>
      <c r="D344"/>
      <c r="E344"/>
      <c r="F344"/>
      <c r="G344"/>
      <c r="H344"/>
      <c r="I344"/>
      <c r="J344"/>
      <c r="K344"/>
      <c r="L344"/>
    </row>
    <row r="345" spans="1:12" x14ac:dyDescent="0.25">
      <c r="A345"/>
      <c r="B345"/>
      <c r="C345"/>
      <c r="D345"/>
      <c r="E345"/>
      <c r="F345"/>
      <c r="G345"/>
      <c r="H345"/>
      <c r="I345"/>
      <c r="J345"/>
      <c r="K345"/>
      <c r="L345"/>
    </row>
    <row r="346" spans="1:12" x14ac:dyDescent="0.25">
      <c r="A346"/>
      <c r="B346"/>
      <c r="C346"/>
      <c r="D346"/>
      <c r="E346"/>
      <c r="F346"/>
      <c r="G346"/>
      <c r="H346"/>
      <c r="I346"/>
      <c r="J346"/>
      <c r="K346"/>
      <c r="L346"/>
    </row>
    <row r="347" spans="1:12" x14ac:dyDescent="0.25">
      <c r="A347"/>
      <c r="B347"/>
      <c r="C347"/>
      <c r="D347"/>
      <c r="E347"/>
      <c r="F347"/>
      <c r="G347"/>
      <c r="H347"/>
      <c r="I347"/>
      <c r="J347"/>
      <c r="K347"/>
      <c r="L347"/>
    </row>
    <row r="348" spans="1:12" x14ac:dyDescent="0.25">
      <c r="A348"/>
      <c r="B348"/>
      <c r="C348"/>
      <c r="D348"/>
      <c r="E348"/>
      <c r="F348"/>
      <c r="G348"/>
      <c r="H348"/>
      <c r="I348"/>
      <c r="J348"/>
      <c r="K348"/>
      <c r="L348"/>
    </row>
    <row r="349" spans="1:12" x14ac:dyDescent="0.25">
      <c r="A349"/>
      <c r="B349"/>
      <c r="C349"/>
      <c r="D349"/>
      <c r="E349"/>
      <c r="F349"/>
      <c r="G349"/>
      <c r="H349"/>
      <c r="I349"/>
      <c r="J349"/>
      <c r="K349"/>
      <c r="L349"/>
    </row>
    <row r="350" spans="1:12" x14ac:dyDescent="0.25">
      <c r="A350"/>
      <c r="B350"/>
      <c r="C350"/>
      <c r="D350"/>
      <c r="E350"/>
      <c r="F350"/>
      <c r="G350"/>
      <c r="H350"/>
      <c r="I350"/>
      <c r="J350"/>
      <c r="K350"/>
      <c r="L350"/>
    </row>
    <row r="351" spans="1:12" x14ac:dyDescent="0.25">
      <c r="A351"/>
      <c r="B351"/>
      <c r="C351"/>
      <c r="D351"/>
      <c r="E351"/>
      <c r="F351"/>
      <c r="G351"/>
      <c r="H351"/>
      <c r="I351"/>
      <c r="J351"/>
      <c r="K351"/>
      <c r="L351"/>
    </row>
    <row r="352" spans="1:12" x14ac:dyDescent="0.25">
      <c r="A352"/>
      <c r="B352"/>
      <c r="C352"/>
      <c r="D352"/>
      <c r="E352"/>
      <c r="F352"/>
      <c r="G352"/>
      <c r="H352"/>
      <c r="I352"/>
      <c r="J352"/>
      <c r="K352"/>
      <c r="L352"/>
    </row>
    <row r="353" spans="1:12" x14ac:dyDescent="0.25">
      <c r="A353"/>
      <c r="B353"/>
      <c r="C353"/>
      <c r="D353"/>
      <c r="E353"/>
      <c r="F353"/>
      <c r="G353"/>
      <c r="H353"/>
      <c r="I353"/>
      <c r="J353"/>
      <c r="K353"/>
      <c r="L353"/>
    </row>
    <row r="354" spans="1:12" x14ac:dyDescent="0.25">
      <c r="A354"/>
      <c r="B354"/>
      <c r="C354"/>
      <c r="D354"/>
      <c r="E354"/>
      <c r="F354"/>
      <c r="G354"/>
      <c r="H354"/>
      <c r="I354"/>
      <c r="J354"/>
      <c r="K354"/>
      <c r="L354"/>
    </row>
    <row r="355" spans="1:12" x14ac:dyDescent="0.25">
      <c r="A355"/>
      <c r="B355"/>
      <c r="C355"/>
      <c r="D355"/>
      <c r="E355"/>
      <c r="F355"/>
      <c r="G355"/>
      <c r="H355"/>
      <c r="I355"/>
      <c r="J355"/>
      <c r="K355"/>
      <c r="L355"/>
    </row>
    <row r="356" spans="1:12" x14ac:dyDescent="0.25">
      <c r="A356"/>
      <c r="B356"/>
      <c r="C356"/>
      <c r="D356"/>
      <c r="E356"/>
      <c r="F356"/>
      <c r="G356"/>
      <c r="H356"/>
      <c r="I356"/>
      <c r="J356"/>
      <c r="K356"/>
      <c r="L356"/>
    </row>
    <row r="357" spans="1:12" x14ac:dyDescent="0.25">
      <c r="A357"/>
      <c r="B357"/>
      <c r="C357"/>
      <c r="D357"/>
      <c r="E357"/>
      <c r="F357"/>
      <c r="G357"/>
      <c r="H357"/>
      <c r="I357"/>
      <c r="J357"/>
      <c r="K357"/>
      <c r="L357"/>
    </row>
    <row r="358" spans="1:12" x14ac:dyDescent="0.25">
      <c r="A358"/>
      <c r="B358"/>
      <c r="C358"/>
      <c r="D358"/>
      <c r="E358"/>
      <c r="F358"/>
      <c r="G358"/>
      <c r="H358"/>
      <c r="I358"/>
      <c r="J358"/>
      <c r="K358"/>
      <c r="L358"/>
    </row>
    <row r="359" spans="1:12" x14ac:dyDescent="0.25">
      <c r="A359"/>
      <c r="B359"/>
      <c r="C359"/>
      <c r="D359"/>
      <c r="E359"/>
      <c r="F359"/>
      <c r="G359"/>
      <c r="H359"/>
      <c r="I359"/>
      <c r="J359"/>
      <c r="K359"/>
      <c r="L359"/>
    </row>
    <row r="360" spans="1:12" x14ac:dyDescent="0.25">
      <c r="A360"/>
      <c r="B360"/>
      <c r="C360"/>
      <c r="D360"/>
      <c r="E360"/>
      <c r="F360"/>
      <c r="G360"/>
      <c r="H360"/>
      <c r="I360"/>
      <c r="J360"/>
      <c r="K360"/>
      <c r="L360"/>
    </row>
    <row r="361" spans="1:12" x14ac:dyDescent="0.25">
      <c r="A361"/>
      <c r="B361"/>
      <c r="C361"/>
      <c r="D361"/>
      <c r="E361"/>
      <c r="F361"/>
      <c r="G361"/>
      <c r="H361"/>
      <c r="I361"/>
      <c r="J361"/>
      <c r="K361"/>
      <c r="L361"/>
    </row>
    <row r="362" spans="1:12" x14ac:dyDescent="0.25">
      <c r="A362"/>
      <c r="B362"/>
      <c r="C362"/>
      <c r="D362"/>
      <c r="E362"/>
      <c r="F362"/>
      <c r="G362"/>
      <c r="H362"/>
      <c r="I362"/>
      <c r="J362"/>
      <c r="K362"/>
      <c r="L362"/>
    </row>
    <row r="363" spans="1:12" x14ac:dyDescent="0.25">
      <c r="A363"/>
      <c r="B363"/>
      <c r="C363"/>
      <c r="D363"/>
      <c r="E363"/>
      <c r="F363"/>
      <c r="G363"/>
      <c r="H363"/>
      <c r="I363"/>
      <c r="J363"/>
      <c r="K363"/>
      <c r="L363"/>
    </row>
    <row r="364" spans="1:12" x14ac:dyDescent="0.25">
      <c r="A364"/>
      <c r="B364"/>
      <c r="C364"/>
      <c r="D364"/>
      <c r="E364"/>
      <c r="F364"/>
      <c r="G364"/>
      <c r="H364"/>
      <c r="I364"/>
      <c r="J364"/>
      <c r="K364"/>
      <c r="L364"/>
    </row>
    <row r="365" spans="1:12" x14ac:dyDescent="0.25">
      <c r="A365"/>
      <c r="B365"/>
      <c r="C365"/>
      <c r="D365"/>
      <c r="E365"/>
      <c r="F365"/>
      <c r="G365"/>
      <c r="H365"/>
      <c r="I365"/>
      <c r="J365"/>
      <c r="K365"/>
      <c r="L365"/>
    </row>
    <row r="366" spans="1:12" x14ac:dyDescent="0.25">
      <c r="A366"/>
      <c r="B366"/>
      <c r="C366"/>
      <c r="D366"/>
      <c r="E366"/>
      <c r="F366"/>
      <c r="G366"/>
      <c r="H366"/>
      <c r="I366"/>
      <c r="J366"/>
      <c r="K366"/>
      <c r="L366"/>
    </row>
    <row r="367" spans="1:12" x14ac:dyDescent="0.25">
      <c r="A367"/>
      <c r="B367"/>
      <c r="C367"/>
      <c r="D367"/>
      <c r="E367"/>
      <c r="F367"/>
      <c r="G367"/>
      <c r="H367"/>
      <c r="I367"/>
      <c r="J367"/>
      <c r="K367"/>
      <c r="L367"/>
    </row>
    <row r="368" spans="1:12" x14ac:dyDescent="0.25">
      <c r="A368"/>
      <c r="B368"/>
      <c r="C368"/>
      <c r="D368"/>
      <c r="E368"/>
      <c r="F368"/>
      <c r="G368"/>
      <c r="H368"/>
      <c r="I368"/>
      <c r="J368"/>
      <c r="K368"/>
      <c r="L368"/>
    </row>
    <row r="369" spans="1:12" x14ac:dyDescent="0.25">
      <c r="A369"/>
      <c r="B369"/>
      <c r="C369"/>
      <c r="D369"/>
      <c r="E369"/>
      <c r="F369"/>
      <c r="G369"/>
      <c r="H369"/>
      <c r="I369"/>
      <c r="J369"/>
      <c r="K369"/>
      <c r="L369"/>
    </row>
    <row r="370" spans="1:12" x14ac:dyDescent="0.25">
      <c r="A370"/>
      <c r="B370"/>
      <c r="C370"/>
      <c r="D370"/>
      <c r="E370"/>
      <c r="F370"/>
      <c r="G370"/>
      <c r="H370"/>
      <c r="I370"/>
      <c r="J370"/>
      <c r="K370"/>
      <c r="L370"/>
    </row>
    <row r="371" spans="1:12" x14ac:dyDescent="0.25">
      <c r="A371"/>
      <c r="B371"/>
      <c r="C371"/>
      <c r="D371"/>
      <c r="E371"/>
      <c r="F371"/>
      <c r="G371"/>
      <c r="H371"/>
      <c r="I371"/>
      <c r="J371"/>
      <c r="K371"/>
      <c r="L371"/>
    </row>
    <row r="372" spans="1:12" x14ac:dyDescent="0.25">
      <c r="A372"/>
      <c r="B372"/>
      <c r="C372"/>
      <c r="D372"/>
      <c r="E372"/>
      <c r="F372"/>
      <c r="G372"/>
      <c r="H372"/>
      <c r="I372"/>
      <c r="J372"/>
      <c r="K372"/>
      <c r="L372"/>
    </row>
    <row r="373" spans="1:12" x14ac:dyDescent="0.25">
      <c r="A373"/>
      <c r="B373"/>
      <c r="C373"/>
      <c r="D373"/>
      <c r="E373"/>
      <c r="F373"/>
      <c r="G373"/>
      <c r="H373"/>
      <c r="I373"/>
      <c r="J373"/>
      <c r="K373"/>
      <c r="L373"/>
    </row>
    <row r="374" spans="1:12" x14ac:dyDescent="0.25">
      <c r="A374"/>
      <c r="B374"/>
      <c r="C374"/>
      <c r="D374"/>
      <c r="E374"/>
      <c r="F374"/>
      <c r="G374"/>
      <c r="H374"/>
      <c r="I374"/>
      <c r="J374"/>
      <c r="K374"/>
      <c r="L374"/>
    </row>
    <row r="375" spans="1:12" x14ac:dyDescent="0.25">
      <c r="A375"/>
      <c r="B375"/>
      <c r="C375"/>
      <c r="D375"/>
      <c r="E375"/>
      <c r="F375"/>
      <c r="G375"/>
      <c r="H375"/>
      <c r="I375"/>
      <c r="J375"/>
      <c r="K375"/>
      <c r="L375"/>
    </row>
    <row r="376" spans="1:12" x14ac:dyDescent="0.25">
      <c r="A376"/>
      <c r="B376"/>
      <c r="C376"/>
      <c r="D376"/>
      <c r="E376"/>
      <c r="F376"/>
      <c r="G376"/>
      <c r="H376"/>
      <c r="I376"/>
      <c r="J376"/>
      <c r="K376"/>
      <c r="L376"/>
    </row>
    <row r="377" spans="1:12" x14ac:dyDescent="0.25">
      <c r="A377"/>
      <c r="B377"/>
      <c r="C377"/>
      <c r="D377"/>
      <c r="E377"/>
      <c r="F377"/>
      <c r="G377"/>
      <c r="H377"/>
      <c r="I377"/>
      <c r="J377"/>
      <c r="K377"/>
      <c r="L377"/>
    </row>
    <row r="378" spans="1:12" x14ac:dyDescent="0.25">
      <c r="A378"/>
      <c r="B378"/>
      <c r="C378"/>
      <c r="D378"/>
      <c r="E378"/>
      <c r="F378"/>
      <c r="G378"/>
      <c r="H378"/>
      <c r="I378"/>
      <c r="J378"/>
      <c r="K378"/>
      <c r="L378"/>
    </row>
    <row r="379" spans="1:12" x14ac:dyDescent="0.25">
      <c r="A379"/>
      <c r="B379"/>
      <c r="C379"/>
      <c r="D379"/>
      <c r="E379"/>
      <c r="F379"/>
      <c r="G379"/>
      <c r="H379"/>
      <c r="I379"/>
      <c r="J379"/>
      <c r="K379"/>
      <c r="L379"/>
    </row>
    <row r="380" spans="1:12" x14ac:dyDescent="0.25">
      <c r="A380"/>
      <c r="B380"/>
      <c r="C380"/>
      <c r="D380"/>
      <c r="E380"/>
      <c r="F380"/>
      <c r="G380"/>
      <c r="H380"/>
      <c r="I380"/>
      <c r="J380"/>
      <c r="K380"/>
      <c r="L380"/>
    </row>
    <row r="381" spans="1:12" x14ac:dyDescent="0.25">
      <c r="A381"/>
      <c r="B381"/>
      <c r="C381"/>
      <c r="D381"/>
      <c r="E381"/>
      <c r="F381"/>
      <c r="G381"/>
      <c r="H381"/>
      <c r="I381"/>
      <c r="J381"/>
      <c r="K381"/>
      <c r="L381"/>
    </row>
    <row r="382" spans="1:12" x14ac:dyDescent="0.25">
      <c r="A382"/>
      <c r="B382"/>
      <c r="C382"/>
      <c r="D382"/>
      <c r="E382"/>
      <c r="F382"/>
      <c r="G382"/>
      <c r="H382"/>
      <c r="I382"/>
      <c r="J382"/>
      <c r="K382"/>
      <c r="L382"/>
    </row>
    <row r="383" spans="1:12" x14ac:dyDescent="0.25">
      <c r="A383"/>
      <c r="B383"/>
      <c r="C383"/>
      <c r="D383"/>
      <c r="E383"/>
      <c r="F383"/>
      <c r="G383"/>
      <c r="H383"/>
      <c r="I383"/>
      <c r="J383"/>
      <c r="K383"/>
      <c r="L383"/>
    </row>
    <row r="384" spans="1:12" x14ac:dyDescent="0.25">
      <c r="A384"/>
      <c r="B384"/>
      <c r="C384"/>
      <c r="D384"/>
      <c r="E384"/>
      <c r="F384"/>
      <c r="G384"/>
      <c r="H384"/>
      <c r="I384"/>
      <c r="J384"/>
      <c r="K384"/>
      <c r="L384"/>
    </row>
    <row r="385" spans="1:12" x14ac:dyDescent="0.25">
      <c r="A385"/>
      <c r="B385"/>
      <c r="C385"/>
      <c r="D385"/>
      <c r="E385"/>
      <c r="F385"/>
      <c r="G385"/>
      <c r="H385"/>
      <c r="I385"/>
      <c r="J385"/>
      <c r="K385"/>
      <c r="L385"/>
    </row>
    <row r="386" spans="1:12" x14ac:dyDescent="0.25">
      <c r="A386"/>
      <c r="B386"/>
      <c r="C386"/>
      <c r="D386"/>
      <c r="E386"/>
      <c r="F386"/>
      <c r="G386"/>
      <c r="H386"/>
      <c r="I386"/>
      <c r="J386"/>
      <c r="K386"/>
      <c r="L386"/>
    </row>
    <row r="387" spans="1:12" x14ac:dyDescent="0.25">
      <c r="A387"/>
      <c r="B387"/>
      <c r="C387"/>
      <c r="D387"/>
      <c r="E387"/>
      <c r="F387"/>
      <c r="G387"/>
      <c r="H387"/>
      <c r="I387"/>
      <c r="J387"/>
      <c r="K387"/>
      <c r="L387"/>
    </row>
    <row r="388" spans="1:12" x14ac:dyDescent="0.25">
      <c r="A388"/>
      <c r="B388"/>
      <c r="C388"/>
      <c r="D388"/>
      <c r="E388"/>
      <c r="F388"/>
      <c r="G388"/>
      <c r="H388"/>
      <c r="I388"/>
      <c r="J388"/>
      <c r="K388"/>
      <c r="L388"/>
    </row>
    <row r="389" spans="1:12" x14ac:dyDescent="0.25">
      <c r="A389"/>
      <c r="B389"/>
      <c r="C389"/>
      <c r="D389"/>
      <c r="E389"/>
      <c r="F389"/>
      <c r="G389"/>
      <c r="H389"/>
      <c r="I389"/>
      <c r="J389"/>
      <c r="K389"/>
      <c r="L389"/>
    </row>
    <row r="390" spans="1:12" x14ac:dyDescent="0.25">
      <c r="A390"/>
      <c r="B390"/>
      <c r="C390"/>
      <c r="D390"/>
      <c r="E390"/>
      <c r="F390"/>
      <c r="G390"/>
      <c r="H390"/>
      <c r="I390"/>
      <c r="J390"/>
      <c r="K390"/>
      <c r="L390"/>
    </row>
    <row r="391" spans="1:12" x14ac:dyDescent="0.25">
      <c r="A391"/>
      <c r="B391"/>
      <c r="C391"/>
      <c r="D391"/>
      <c r="E391"/>
      <c r="F391"/>
      <c r="G391"/>
      <c r="H391"/>
      <c r="I391"/>
      <c r="J391"/>
      <c r="K391"/>
      <c r="L391"/>
    </row>
    <row r="392" spans="1:12" x14ac:dyDescent="0.25">
      <c r="A392"/>
      <c r="B392"/>
      <c r="C392"/>
      <c r="D392"/>
      <c r="E392"/>
      <c r="F392"/>
      <c r="G392"/>
      <c r="H392"/>
      <c r="I392"/>
      <c r="J392"/>
      <c r="K392"/>
      <c r="L392"/>
    </row>
    <row r="393" spans="1:12" x14ac:dyDescent="0.25">
      <c r="A393"/>
      <c r="B393"/>
      <c r="C393"/>
      <c r="D393"/>
      <c r="E393"/>
      <c r="F393"/>
      <c r="G393"/>
      <c r="H393"/>
      <c r="I393"/>
      <c r="J393"/>
      <c r="K393"/>
      <c r="L393"/>
    </row>
    <row r="394" spans="1:12" x14ac:dyDescent="0.25">
      <c r="A394"/>
      <c r="B394"/>
      <c r="C394"/>
      <c r="D394"/>
      <c r="E394"/>
      <c r="F394"/>
      <c r="G394"/>
      <c r="H394"/>
      <c r="I394"/>
      <c r="J394"/>
      <c r="K394"/>
      <c r="L394"/>
    </row>
    <row r="395" spans="1:12" x14ac:dyDescent="0.25">
      <c r="A395"/>
      <c r="B395"/>
      <c r="C395"/>
      <c r="D395"/>
      <c r="E395"/>
      <c r="F395"/>
      <c r="G395"/>
      <c r="H395"/>
      <c r="I395"/>
      <c r="J395"/>
      <c r="K395"/>
      <c r="L395"/>
    </row>
    <row r="396" spans="1:12" x14ac:dyDescent="0.25">
      <c r="A396"/>
      <c r="B396"/>
      <c r="C396"/>
      <c r="D396"/>
      <c r="E396"/>
      <c r="F396"/>
      <c r="G396"/>
      <c r="H396"/>
      <c r="I396"/>
      <c r="J396"/>
      <c r="K396"/>
      <c r="L396"/>
    </row>
    <row r="397" spans="1:12" x14ac:dyDescent="0.25">
      <c r="A397"/>
      <c r="B397"/>
      <c r="C397"/>
      <c r="D397"/>
      <c r="E397"/>
      <c r="F397"/>
      <c r="G397"/>
      <c r="H397"/>
      <c r="I397"/>
      <c r="J397"/>
      <c r="K397"/>
      <c r="L397"/>
    </row>
    <row r="398" spans="1:12" x14ac:dyDescent="0.25">
      <c r="A398"/>
      <c r="B398"/>
      <c r="C398"/>
      <c r="D398"/>
      <c r="E398"/>
      <c r="F398"/>
      <c r="G398"/>
      <c r="H398"/>
      <c r="I398"/>
      <c r="J398"/>
      <c r="K398"/>
      <c r="L398"/>
    </row>
    <row r="399" spans="1:12" x14ac:dyDescent="0.25">
      <c r="A399"/>
      <c r="B399"/>
      <c r="C399"/>
      <c r="D399"/>
      <c r="E399"/>
      <c r="F399"/>
      <c r="G399"/>
      <c r="H399"/>
      <c r="I399"/>
      <c r="J399"/>
      <c r="K399"/>
      <c r="L399"/>
    </row>
    <row r="400" spans="1:12" x14ac:dyDescent="0.25">
      <c r="A400"/>
      <c r="B400"/>
      <c r="C400"/>
      <c r="D400"/>
      <c r="E400"/>
      <c r="F400"/>
      <c r="G400"/>
      <c r="H400"/>
      <c r="I400"/>
      <c r="J400"/>
      <c r="K400"/>
      <c r="L400"/>
    </row>
    <row r="401" spans="1:12" x14ac:dyDescent="0.25">
      <c r="A401"/>
      <c r="B401"/>
      <c r="C401"/>
      <c r="D401"/>
      <c r="E401"/>
      <c r="F401"/>
      <c r="G401"/>
      <c r="H401"/>
      <c r="I401"/>
      <c r="J401"/>
      <c r="K401"/>
      <c r="L401"/>
    </row>
    <row r="402" spans="1:12" x14ac:dyDescent="0.25">
      <c r="A402"/>
      <c r="B402"/>
      <c r="C402"/>
      <c r="D402"/>
      <c r="E402"/>
      <c r="F402"/>
      <c r="G402"/>
      <c r="H402"/>
      <c r="I402"/>
      <c r="J402"/>
      <c r="K402"/>
      <c r="L402"/>
    </row>
    <row r="403" spans="1:12" x14ac:dyDescent="0.25">
      <c r="A403"/>
      <c r="B403"/>
      <c r="C403"/>
      <c r="D403"/>
      <c r="E403"/>
      <c r="F403"/>
      <c r="G403"/>
      <c r="H403"/>
      <c r="I403"/>
      <c r="J403"/>
      <c r="K403"/>
      <c r="L403"/>
    </row>
    <row r="404" spans="1:12" x14ac:dyDescent="0.25">
      <c r="A404"/>
      <c r="B404"/>
      <c r="C404"/>
      <c r="D404"/>
      <c r="E404"/>
      <c r="F404"/>
      <c r="G404"/>
      <c r="H404"/>
      <c r="I404"/>
      <c r="J404"/>
      <c r="K404"/>
      <c r="L404"/>
    </row>
    <row r="405" spans="1:12" x14ac:dyDescent="0.25">
      <c r="A405"/>
      <c r="B405"/>
      <c r="C405"/>
      <c r="D405"/>
      <c r="E405"/>
      <c r="F405"/>
      <c r="G405"/>
      <c r="H405"/>
      <c r="I405"/>
      <c r="J405"/>
      <c r="K405"/>
      <c r="L405"/>
    </row>
    <row r="406" spans="1:12" x14ac:dyDescent="0.25">
      <c r="A406"/>
      <c r="B406"/>
      <c r="C406"/>
      <c r="D406"/>
      <c r="E406"/>
      <c r="F406"/>
      <c r="G406"/>
      <c r="H406"/>
      <c r="I406"/>
      <c r="J406"/>
      <c r="K406"/>
      <c r="L406"/>
    </row>
    <row r="407" spans="1:12" x14ac:dyDescent="0.25">
      <c r="A407"/>
      <c r="B407"/>
      <c r="C407"/>
      <c r="D407"/>
      <c r="E407"/>
      <c r="F407"/>
      <c r="G407"/>
      <c r="H407"/>
      <c r="I407"/>
      <c r="J407"/>
      <c r="K407"/>
      <c r="L407"/>
    </row>
    <row r="408" spans="1:12" x14ac:dyDescent="0.25">
      <c r="A408"/>
      <c r="B408"/>
      <c r="C408"/>
      <c r="D408"/>
      <c r="E408"/>
      <c r="F408"/>
      <c r="G408"/>
      <c r="H408"/>
      <c r="I408"/>
      <c r="J408"/>
      <c r="K408"/>
      <c r="L408"/>
    </row>
    <row r="409" spans="1:12" x14ac:dyDescent="0.25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 x14ac:dyDescent="0.25">
      <c r="A410"/>
      <c r="B410"/>
      <c r="C410"/>
      <c r="D410"/>
      <c r="E410"/>
      <c r="F410"/>
      <c r="G410"/>
      <c r="H410"/>
      <c r="I410"/>
      <c r="J410"/>
      <c r="K410"/>
      <c r="L410"/>
    </row>
    <row r="411" spans="1:12" x14ac:dyDescent="0.25">
      <c r="A411"/>
      <c r="B411"/>
      <c r="C411"/>
      <c r="D411"/>
      <c r="E411"/>
      <c r="F411"/>
      <c r="G411"/>
      <c r="H411"/>
      <c r="I411"/>
      <c r="J411"/>
      <c r="K411"/>
      <c r="L411"/>
    </row>
    <row r="412" spans="1:12" x14ac:dyDescent="0.25">
      <c r="A412"/>
      <c r="B412"/>
      <c r="C412"/>
      <c r="D412"/>
      <c r="E412"/>
      <c r="F412"/>
      <c r="G412"/>
      <c r="H412"/>
      <c r="I412"/>
      <c r="J412"/>
      <c r="K412"/>
      <c r="L412"/>
    </row>
    <row r="413" spans="1:12" x14ac:dyDescent="0.25">
      <c r="A413"/>
      <c r="B413"/>
      <c r="C413"/>
      <c r="D413"/>
      <c r="E413"/>
      <c r="F413"/>
      <c r="G413"/>
      <c r="H413"/>
      <c r="I413"/>
      <c r="J413"/>
      <c r="K413"/>
      <c r="L413"/>
    </row>
    <row r="414" spans="1:12" x14ac:dyDescent="0.25">
      <c r="A414"/>
      <c r="B414"/>
      <c r="C414"/>
      <c r="D414"/>
      <c r="E414"/>
      <c r="F414"/>
      <c r="G414"/>
      <c r="H414"/>
      <c r="I414"/>
      <c r="J414"/>
      <c r="K414"/>
      <c r="L414"/>
    </row>
    <row r="415" spans="1:12" x14ac:dyDescent="0.25">
      <c r="A415"/>
      <c r="B415"/>
      <c r="C415"/>
      <c r="D415"/>
      <c r="E415"/>
      <c r="F415"/>
      <c r="G415"/>
      <c r="H415"/>
      <c r="I415"/>
      <c r="J415"/>
      <c r="K415"/>
      <c r="L415"/>
    </row>
    <row r="416" spans="1:12" x14ac:dyDescent="0.25">
      <c r="A416"/>
      <c r="B416"/>
      <c r="C416"/>
      <c r="D416"/>
      <c r="E416"/>
      <c r="F416"/>
      <c r="G416"/>
      <c r="H416"/>
      <c r="I416"/>
      <c r="J416"/>
      <c r="K416"/>
      <c r="L416"/>
    </row>
    <row r="417" spans="1:12" x14ac:dyDescent="0.25">
      <c r="A417"/>
      <c r="B417"/>
      <c r="C417"/>
      <c r="D417"/>
      <c r="E417"/>
      <c r="F417"/>
      <c r="G417"/>
      <c r="H417"/>
      <c r="I417"/>
      <c r="J417"/>
      <c r="K417"/>
      <c r="L417"/>
    </row>
    <row r="418" spans="1:12" x14ac:dyDescent="0.25">
      <c r="A418"/>
      <c r="B418"/>
      <c r="C418"/>
      <c r="D418"/>
      <c r="E418"/>
      <c r="F418"/>
      <c r="G418"/>
      <c r="H418"/>
      <c r="I418"/>
      <c r="J418"/>
      <c r="K418"/>
      <c r="L418"/>
    </row>
    <row r="419" spans="1:12" x14ac:dyDescent="0.25">
      <c r="A419"/>
      <c r="B419"/>
      <c r="C419"/>
      <c r="D419"/>
      <c r="E419"/>
      <c r="F419"/>
      <c r="G419"/>
      <c r="H419"/>
      <c r="I419"/>
      <c r="J419"/>
      <c r="K419"/>
      <c r="L419"/>
    </row>
    <row r="420" spans="1:12" x14ac:dyDescent="0.25">
      <c r="A420"/>
      <c r="B420"/>
      <c r="C420"/>
      <c r="D420"/>
      <c r="E420"/>
      <c r="F420"/>
      <c r="G420"/>
      <c r="H420"/>
      <c r="I420"/>
      <c r="J420"/>
      <c r="K420"/>
      <c r="L420"/>
    </row>
    <row r="421" spans="1:12" x14ac:dyDescent="0.25">
      <c r="A421"/>
      <c r="B421"/>
      <c r="C421"/>
      <c r="D421"/>
      <c r="E421"/>
      <c r="F421"/>
      <c r="G421"/>
      <c r="H421"/>
      <c r="I421"/>
      <c r="J421"/>
      <c r="K421"/>
      <c r="L421"/>
    </row>
    <row r="422" spans="1:12" x14ac:dyDescent="0.25">
      <c r="A422"/>
      <c r="B422"/>
      <c r="C422"/>
      <c r="D422"/>
      <c r="E422"/>
      <c r="F422"/>
      <c r="G422"/>
      <c r="H422"/>
      <c r="I422"/>
      <c r="J422"/>
      <c r="K422"/>
      <c r="L422"/>
    </row>
    <row r="423" spans="1:12" x14ac:dyDescent="0.25">
      <c r="A423"/>
      <c r="B423"/>
      <c r="C423"/>
      <c r="D423"/>
      <c r="E423"/>
      <c r="F423"/>
      <c r="G423"/>
      <c r="H423"/>
      <c r="I423"/>
      <c r="J423"/>
      <c r="K423"/>
      <c r="L423"/>
    </row>
    <row r="424" spans="1:12" x14ac:dyDescent="0.25">
      <c r="A424"/>
      <c r="B424"/>
      <c r="C424"/>
      <c r="D424"/>
      <c r="E424"/>
      <c r="F424"/>
      <c r="G424"/>
      <c r="H424"/>
      <c r="I424"/>
      <c r="J424"/>
      <c r="K424"/>
      <c r="L424"/>
    </row>
    <row r="425" spans="1:12" x14ac:dyDescent="0.25">
      <c r="A425"/>
      <c r="B425"/>
      <c r="C425"/>
      <c r="D425"/>
      <c r="E425"/>
      <c r="F425"/>
      <c r="G425"/>
      <c r="H425"/>
      <c r="I425"/>
      <c r="J425"/>
      <c r="K425"/>
      <c r="L425"/>
    </row>
    <row r="426" spans="1:12" x14ac:dyDescent="0.25">
      <c r="A426"/>
      <c r="B426"/>
      <c r="C426"/>
      <c r="D426"/>
      <c r="E426"/>
      <c r="F426"/>
      <c r="G426"/>
      <c r="H426"/>
      <c r="I426"/>
      <c r="J426"/>
      <c r="K426"/>
      <c r="L426"/>
    </row>
    <row r="427" spans="1:12" x14ac:dyDescent="0.25">
      <c r="A427"/>
      <c r="B427"/>
      <c r="C427"/>
      <c r="D427"/>
      <c r="E427"/>
      <c r="F427"/>
      <c r="G427"/>
      <c r="H427"/>
      <c r="I427"/>
      <c r="J427"/>
      <c r="K427"/>
      <c r="L427"/>
    </row>
    <row r="428" spans="1:12" x14ac:dyDescent="0.25">
      <c r="A428"/>
      <c r="B428"/>
      <c r="C428"/>
      <c r="D428"/>
      <c r="E428"/>
      <c r="F428"/>
      <c r="G428"/>
      <c r="H428"/>
      <c r="I428"/>
      <c r="J428"/>
      <c r="K428"/>
      <c r="L428"/>
    </row>
    <row r="429" spans="1:12" x14ac:dyDescent="0.25">
      <c r="A429"/>
      <c r="B429"/>
      <c r="C429"/>
      <c r="D429"/>
      <c r="E429"/>
      <c r="F429"/>
      <c r="G429"/>
      <c r="H429"/>
      <c r="I429"/>
      <c r="J429"/>
      <c r="K429"/>
      <c r="L429"/>
    </row>
    <row r="430" spans="1:12" x14ac:dyDescent="0.25">
      <c r="A430"/>
      <c r="B430"/>
      <c r="C430"/>
      <c r="D430"/>
      <c r="E430"/>
      <c r="F430"/>
      <c r="G430"/>
      <c r="H430"/>
      <c r="I430"/>
      <c r="J430"/>
      <c r="K430"/>
      <c r="L430"/>
    </row>
    <row r="431" spans="1:12" x14ac:dyDescent="0.25">
      <c r="A431"/>
      <c r="B431"/>
      <c r="C431"/>
      <c r="D431"/>
      <c r="E431"/>
      <c r="F431"/>
      <c r="G431"/>
      <c r="H431"/>
      <c r="I431"/>
      <c r="J431"/>
      <c r="K431"/>
      <c r="L431"/>
    </row>
    <row r="432" spans="1:12" x14ac:dyDescent="0.25">
      <c r="A432"/>
      <c r="B432"/>
      <c r="C432"/>
      <c r="D432"/>
      <c r="E432"/>
      <c r="F432"/>
      <c r="G432"/>
      <c r="H432"/>
      <c r="I432"/>
      <c r="J432"/>
      <c r="K432"/>
      <c r="L432"/>
    </row>
    <row r="433" spans="1:12" x14ac:dyDescent="0.25">
      <c r="A433"/>
      <c r="B433"/>
      <c r="C433"/>
      <c r="D433"/>
      <c r="E433"/>
      <c r="F433"/>
      <c r="G433"/>
      <c r="H433"/>
      <c r="I433"/>
      <c r="J433"/>
      <c r="K433"/>
      <c r="L433"/>
    </row>
    <row r="434" spans="1:12" x14ac:dyDescent="0.25">
      <c r="A434"/>
      <c r="B434"/>
      <c r="C434"/>
      <c r="D434"/>
      <c r="E434"/>
      <c r="F434"/>
      <c r="G434"/>
      <c r="H434"/>
      <c r="I434"/>
      <c r="J434"/>
      <c r="K434"/>
      <c r="L434"/>
    </row>
    <row r="435" spans="1:12" x14ac:dyDescent="0.25">
      <c r="A435"/>
      <c r="B435"/>
      <c r="C435"/>
      <c r="D435"/>
      <c r="E435"/>
      <c r="F435"/>
      <c r="G435"/>
      <c r="H435"/>
      <c r="I435"/>
      <c r="J435"/>
      <c r="K435"/>
      <c r="L435"/>
    </row>
    <row r="436" spans="1:12" x14ac:dyDescent="0.25">
      <c r="A436"/>
      <c r="B436"/>
      <c r="C436"/>
      <c r="D436"/>
      <c r="E436"/>
      <c r="F436"/>
      <c r="G436"/>
      <c r="H436"/>
      <c r="I436"/>
      <c r="J436"/>
      <c r="K436"/>
      <c r="L436"/>
    </row>
    <row r="437" spans="1:12" x14ac:dyDescent="0.25">
      <c r="A437"/>
      <c r="B437"/>
      <c r="C437"/>
      <c r="D437"/>
      <c r="E437"/>
      <c r="F437"/>
      <c r="G437"/>
      <c r="H437"/>
      <c r="I437"/>
      <c r="J437"/>
      <c r="K437"/>
      <c r="L437"/>
    </row>
    <row r="438" spans="1:12" x14ac:dyDescent="0.25">
      <c r="A438"/>
      <c r="B438"/>
      <c r="C438"/>
      <c r="D438"/>
      <c r="E438"/>
      <c r="F438"/>
      <c r="G438"/>
      <c r="H438"/>
      <c r="I438"/>
      <c r="J438"/>
      <c r="K438"/>
      <c r="L438"/>
    </row>
    <row r="439" spans="1:12" x14ac:dyDescent="0.25">
      <c r="A439"/>
      <c r="B439"/>
      <c r="C439"/>
      <c r="D439"/>
      <c r="E439"/>
      <c r="F439"/>
      <c r="G439"/>
      <c r="H439"/>
      <c r="I439"/>
      <c r="J439"/>
      <c r="K439"/>
      <c r="L439"/>
    </row>
    <row r="440" spans="1:12" x14ac:dyDescent="0.25">
      <c r="A440"/>
      <c r="B440"/>
      <c r="C440"/>
      <c r="D440"/>
      <c r="E440"/>
      <c r="F440"/>
      <c r="G440"/>
      <c r="H440"/>
      <c r="I440"/>
      <c r="J440"/>
      <c r="K440"/>
      <c r="L440"/>
    </row>
    <row r="441" spans="1:12" x14ac:dyDescent="0.25">
      <c r="A441"/>
      <c r="B441"/>
      <c r="C441"/>
      <c r="D441"/>
      <c r="E441"/>
      <c r="F441"/>
      <c r="G441"/>
      <c r="H441"/>
      <c r="I441"/>
      <c r="J441"/>
      <c r="K441"/>
      <c r="L441"/>
    </row>
    <row r="442" spans="1:12" x14ac:dyDescent="0.25">
      <c r="A442"/>
      <c r="B442"/>
      <c r="C442"/>
      <c r="D442"/>
      <c r="E442"/>
      <c r="F442"/>
      <c r="G442"/>
      <c r="H442"/>
      <c r="I442"/>
      <c r="J442"/>
      <c r="K442"/>
      <c r="L442"/>
    </row>
    <row r="443" spans="1:12" x14ac:dyDescent="0.25">
      <c r="A443"/>
      <c r="B443"/>
      <c r="C443"/>
      <c r="D443"/>
      <c r="E443"/>
      <c r="F443"/>
      <c r="G443"/>
      <c r="H443"/>
      <c r="I443"/>
      <c r="J443"/>
      <c r="K443"/>
      <c r="L443"/>
    </row>
    <row r="444" spans="1:12" x14ac:dyDescent="0.25">
      <c r="A444"/>
      <c r="B444"/>
      <c r="C444"/>
      <c r="D444"/>
      <c r="E444"/>
      <c r="F444"/>
      <c r="G444"/>
      <c r="H444"/>
      <c r="I444"/>
      <c r="J444"/>
      <c r="K444"/>
      <c r="L444"/>
    </row>
    <row r="445" spans="1:12" x14ac:dyDescent="0.25">
      <c r="A445"/>
      <c r="B445"/>
      <c r="C445"/>
      <c r="D445"/>
      <c r="E445"/>
      <c r="F445"/>
      <c r="G445"/>
      <c r="H445"/>
      <c r="I445"/>
      <c r="J445"/>
      <c r="K445"/>
      <c r="L445"/>
    </row>
    <row r="446" spans="1:12" x14ac:dyDescent="0.25">
      <c r="A446"/>
      <c r="B446"/>
      <c r="C446"/>
      <c r="D446"/>
      <c r="E446"/>
      <c r="F446"/>
      <c r="G446"/>
      <c r="H446"/>
      <c r="I446"/>
      <c r="J446"/>
      <c r="K446"/>
      <c r="L446"/>
    </row>
    <row r="447" spans="1:12" x14ac:dyDescent="0.25">
      <c r="A447"/>
      <c r="B447"/>
      <c r="C447"/>
      <c r="D447"/>
      <c r="E447"/>
      <c r="F447"/>
      <c r="G447"/>
      <c r="H447"/>
      <c r="I447"/>
      <c r="J447"/>
      <c r="K447"/>
      <c r="L447"/>
    </row>
    <row r="448" spans="1:12" x14ac:dyDescent="0.25">
      <c r="A448"/>
      <c r="B448"/>
      <c r="C448"/>
      <c r="D448"/>
      <c r="E448"/>
      <c r="F448"/>
      <c r="G448"/>
      <c r="H448"/>
      <c r="I448"/>
      <c r="J448"/>
      <c r="K448"/>
      <c r="L448"/>
    </row>
    <row r="449" spans="1:12" x14ac:dyDescent="0.25">
      <c r="A449"/>
      <c r="B449"/>
      <c r="C449"/>
      <c r="D449"/>
      <c r="E449"/>
      <c r="F449"/>
      <c r="G449"/>
      <c r="H449"/>
      <c r="I449"/>
      <c r="J449"/>
      <c r="K449"/>
      <c r="L449"/>
    </row>
    <row r="450" spans="1:12" x14ac:dyDescent="0.25">
      <c r="A450"/>
      <c r="B450"/>
      <c r="C450"/>
      <c r="D450"/>
      <c r="E450"/>
      <c r="F450"/>
      <c r="G450"/>
      <c r="H450"/>
      <c r="I450"/>
      <c r="J450"/>
      <c r="K450"/>
      <c r="L450"/>
    </row>
    <row r="451" spans="1:12" x14ac:dyDescent="0.25">
      <c r="A451"/>
      <c r="B451"/>
      <c r="C451"/>
      <c r="D451"/>
      <c r="E451"/>
      <c r="F451"/>
      <c r="G451"/>
      <c r="H451"/>
      <c r="I451"/>
      <c r="J451"/>
      <c r="K451"/>
      <c r="L451"/>
    </row>
    <row r="452" spans="1:12" x14ac:dyDescent="0.25">
      <c r="A452"/>
      <c r="B452"/>
      <c r="C452"/>
      <c r="D452"/>
      <c r="E452"/>
      <c r="F452"/>
      <c r="G452"/>
      <c r="H452"/>
      <c r="I452"/>
      <c r="J452"/>
      <c r="K452"/>
      <c r="L452"/>
    </row>
    <row r="453" spans="1:12" x14ac:dyDescent="0.25">
      <c r="A453"/>
      <c r="B453"/>
      <c r="C453"/>
      <c r="D453"/>
      <c r="E453"/>
      <c r="F453"/>
      <c r="G453"/>
      <c r="H453"/>
      <c r="I453"/>
      <c r="J453"/>
      <c r="K453"/>
      <c r="L453"/>
    </row>
    <row r="454" spans="1:12" x14ac:dyDescent="0.25">
      <c r="A454"/>
      <c r="B454"/>
      <c r="C454"/>
      <c r="D454"/>
      <c r="E454"/>
      <c r="F454"/>
      <c r="G454"/>
      <c r="H454"/>
      <c r="I454"/>
      <c r="J454"/>
      <c r="K454"/>
      <c r="L454"/>
    </row>
    <row r="455" spans="1:12" x14ac:dyDescent="0.25">
      <c r="A455"/>
      <c r="B455"/>
      <c r="C455"/>
      <c r="D455"/>
      <c r="E455"/>
      <c r="F455"/>
      <c r="G455"/>
      <c r="H455"/>
      <c r="I455"/>
      <c r="J455"/>
      <c r="K455"/>
      <c r="L455"/>
    </row>
    <row r="456" spans="1:12" x14ac:dyDescent="0.25">
      <c r="A456"/>
      <c r="B456"/>
      <c r="C456"/>
      <c r="D456"/>
      <c r="E456"/>
      <c r="F456"/>
      <c r="G456"/>
      <c r="H456"/>
      <c r="I456"/>
      <c r="J456"/>
      <c r="K456"/>
      <c r="L456"/>
    </row>
    <row r="457" spans="1:12" x14ac:dyDescent="0.25">
      <c r="A457"/>
      <c r="B457"/>
      <c r="C457"/>
      <c r="D457"/>
      <c r="E457"/>
      <c r="F457"/>
      <c r="G457"/>
      <c r="H457"/>
      <c r="I457"/>
      <c r="J457"/>
      <c r="K457"/>
      <c r="L457"/>
    </row>
    <row r="458" spans="1:12" x14ac:dyDescent="0.25">
      <c r="A458"/>
      <c r="B458"/>
      <c r="C458"/>
      <c r="D458"/>
      <c r="E458"/>
      <c r="F458"/>
      <c r="G458"/>
      <c r="H458"/>
      <c r="I458"/>
      <c r="J458"/>
      <c r="K458"/>
      <c r="L458"/>
    </row>
    <row r="459" spans="1:12" x14ac:dyDescent="0.25">
      <c r="A459"/>
      <c r="B459"/>
      <c r="C459"/>
      <c r="D459"/>
      <c r="E459"/>
      <c r="F459"/>
      <c r="G459"/>
      <c r="H459"/>
      <c r="I459"/>
      <c r="J459"/>
      <c r="K459"/>
      <c r="L459"/>
    </row>
    <row r="460" spans="1:12" x14ac:dyDescent="0.25">
      <c r="A460"/>
      <c r="B460"/>
      <c r="C460"/>
      <c r="D460"/>
      <c r="E460"/>
      <c r="F460"/>
      <c r="G460"/>
      <c r="H460"/>
      <c r="I460"/>
      <c r="J460"/>
      <c r="K460"/>
      <c r="L460"/>
    </row>
    <row r="461" spans="1:12" x14ac:dyDescent="0.25">
      <c r="A461"/>
      <c r="B461"/>
      <c r="C461"/>
      <c r="D461"/>
      <c r="E461"/>
      <c r="F461"/>
      <c r="G461"/>
      <c r="H461"/>
      <c r="I461"/>
      <c r="J461"/>
      <c r="K461"/>
      <c r="L461"/>
    </row>
    <row r="462" spans="1:12" x14ac:dyDescent="0.25">
      <c r="A462"/>
      <c r="B462"/>
      <c r="C462"/>
      <c r="D462"/>
      <c r="E462"/>
      <c r="F462"/>
      <c r="G462"/>
      <c r="H462"/>
      <c r="I462"/>
      <c r="J462"/>
      <c r="K462"/>
      <c r="L462"/>
    </row>
    <row r="463" spans="1:12" x14ac:dyDescent="0.25">
      <c r="A463"/>
      <c r="B463"/>
      <c r="C463"/>
      <c r="D463"/>
      <c r="E463"/>
      <c r="F463"/>
      <c r="G463"/>
      <c r="H463"/>
      <c r="I463"/>
      <c r="J463"/>
      <c r="K463"/>
      <c r="L463"/>
    </row>
    <row r="464" spans="1:12" x14ac:dyDescent="0.25">
      <c r="A464"/>
      <c r="B464"/>
      <c r="C464"/>
      <c r="D464"/>
      <c r="E464"/>
      <c r="F464"/>
      <c r="G464"/>
      <c r="H464"/>
      <c r="I464"/>
      <c r="J464"/>
      <c r="K464"/>
      <c r="L464"/>
    </row>
    <row r="465" spans="1:12" x14ac:dyDescent="0.25">
      <c r="A465"/>
      <c r="B465"/>
      <c r="C465"/>
      <c r="D465"/>
      <c r="E465"/>
      <c r="F465"/>
      <c r="G465"/>
      <c r="H465"/>
      <c r="I465"/>
      <c r="J465"/>
      <c r="K465"/>
      <c r="L465"/>
    </row>
    <row r="466" spans="1:12" x14ac:dyDescent="0.25">
      <c r="A466"/>
      <c r="B466"/>
      <c r="C466"/>
      <c r="D466"/>
      <c r="E466"/>
      <c r="F466"/>
      <c r="G466"/>
      <c r="H466"/>
      <c r="I466"/>
      <c r="J466"/>
      <c r="K466"/>
      <c r="L466"/>
    </row>
    <row r="467" spans="1:12" x14ac:dyDescent="0.25">
      <c r="A467"/>
      <c r="B467"/>
      <c r="C467"/>
      <c r="D467"/>
      <c r="E467"/>
      <c r="F467"/>
      <c r="G467"/>
      <c r="H467"/>
      <c r="I467"/>
      <c r="J467"/>
      <c r="K467"/>
      <c r="L467"/>
    </row>
    <row r="468" spans="1:12" x14ac:dyDescent="0.25">
      <c r="A468"/>
      <c r="B468"/>
      <c r="C468"/>
      <c r="D468"/>
      <c r="E468"/>
      <c r="F468"/>
      <c r="G468"/>
      <c r="H468"/>
      <c r="I468"/>
      <c r="J468"/>
      <c r="K468"/>
      <c r="L468"/>
    </row>
    <row r="469" spans="1:12" x14ac:dyDescent="0.25">
      <c r="A469"/>
      <c r="B469"/>
      <c r="C469"/>
      <c r="D469"/>
      <c r="E469"/>
      <c r="F469"/>
      <c r="G469"/>
      <c r="H469"/>
      <c r="I469"/>
      <c r="J469"/>
      <c r="K469"/>
      <c r="L469"/>
    </row>
    <row r="470" spans="1:12" x14ac:dyDescent="0.25">
      <c r="A470"/>
      <c r="B470"/>
      <c r="C470"/>
      <c r="D470"/>
      <c r="E470"/>
      <c r="F470"/>
      <c r="G470"/>
      <c r="H470"/>
      <c r="I470"/>
      <c r="J470"/>
      <c r="K470"/>
      <c r="L470"/>
    </row>
    <row r="471" spans="1:12" x14ac:dyDescent="0.25">
      <c r="A471"/>
      <c r="B471"/>
      <c r="C471"/>
      <c r="D471"/>
      <c r="E471"/>
      <c r="F471"/>
      <c r="G471"/>
      <c r="H471"/>
      <c r="I471"/>
      <c r="J471"/>
      <c r="K471"/>
      <c r="L471"/>
    </row>
    <row r="472" spans="1:12" x14ac:dyDescent="0.25">
      <c r="A472"/>
      <c r="B472"/>
      <c r="C472"/>
      <c r="D472"/>
      <c r="E472"/>
      <c r="F472"/>
      <c r="G472"/>
      <c r="H472"/>
      <c r="I472"/>
      <c r="J472"/>
      <c r="K472"/>
      <c r="L472"/>
    </row>
    <row r="473" spans="1:12" x14ac:dyDescent="0.25">
      <c r="A473"/>
      <c r="B473"/>
      <c r="C473"/>
      <c r="D473"/>
      <c r="E473"/>
      <c r="F473"/>
      <c r="G473"/>
      <c r="H473"/>
      <c r="I473"/>
      <c r="J473"/>
      <c r="K473"/>
      <c r="L473"/>
    </row>
    <row r="474" spans="1:12" x14ac:dyDescent="0.25">
      <c r="A474"/>
      <c r="B474"/>
      <c r="C474"/>
      <c r="D474"/>
      <c r="E474"/>
      <c r="F474"/>
      <c r="G474"/>
      <c r="H474"/>
      <c r="I474"/>
      <c r="J474"/>
      <c r="K474"/>
      <c r="L474"/>
    </row>
    <row r="475" spans="1:12" x14ac:dyDescent="0.25">
      <c r="A475"/>
      <c r="B475"/>
      <c r="C475"/>
      <c r="D475"/>
      <c r="E475"/>
      <c r="F475"/>
      <c r="G475"/>
      <c r="H475"/>
      <c r="I475"/>
      <c r="J475"/>
      <c r="K475"/>
      <c r="L475"/>
    </row>
    <row r="476" spans="1:12" x14ac:dyDescent="0.25">
      <c r="A476"/>
      <c r="B476"/>
      <c r="C476"/>
      <c r="D476"/>
      <c r="E476"/>
      <c r="F476"/>
      <c r="G476"/>
      <c r="H476"/>
      <c r="I476"/>
      <c r="J476"/>
      <c r="K476"/>
      <c r="L476"/>
    </row>
    <row r="477" spans="1:12" x14ac:dyDescent="0.25">
      <c r="A477"/>
      <c r="B477"/>
      <c r="C477"/>
      <c r="D477"/>
      <c r="E477"/>
      <c r="F477"/>
      <c r="G477"/>
      <c r="H477"/>
      <c r="I477"/>
      <c r="J477"/>
      <c r="K477"/>
      <c r="L477"/>
    </row>
    <row r="478" spans="1:12" x14ac:dyDescent="0.25">
      <c r="A478"/>
      <c r="B478"/>
      <c r="C478"/>
      <c r="D478"/>
      <c r="E478"/>
      <c r="F478"/>
      <c r="G478"/>
      <c r="H478"/>
      <c r="I478"/>
      <c r="J478"/>
      <c r="K478"/>
      <c r="L478"/>
    </row>
    <row r="479" spans="1:12" x14ac:dyDescent="0.25">
      <c r="A479"/>
      <c r="B479"/>
      <c r="C479"/>
      <c r="D479"/>
      <c r="E479"/>
      <c r="F479"/>
      <c r="G479"/>
      <c r="H479"/>
      <c r="I479"/>
      <c r="J479"/>
      <c r="K479"/>
      <c r="L479"/>
    </row>
    <row r="480" spans="1:12" x14ac:dyDescent="0.25">
      <c r="A480"/>
      <c r="B480"/>
      <c r="C480"/>
      <c r="D480"/>
      <c r="E480"/>
      <c r="F480"/>
      <c r="G480"/>
      <c r="H480"/>
      <c r="I480"/>
      <c r="J480"/>
      <c r="K480"/>
      <c r="L480"/>
    </row>
    <row r="481" spans="1:12" x14ac:dyDescent="0.25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 x14ac:dyDescent="0.25">
      <c r="A482"/>
      <c r="B482"/>
      <c r="C482"/>
      <c r="D482"/>
      <c r="E482"/>
      <c r="F482"/>
      <c r="G482"/>
      <c r="H482"/>
      <c r="I482"/>
      <c r="J482"/>
      <c r="K482"/>
      <c r="L482"/>
    </row>
    <row r="483" spans="1:12" x14ac:dyDescent="0.25">
      <c r="A483"/>
      <c r="B483"/>
      <c r="C483"/>
      <c r="D483"/>
      <c r="E483"/>
      <c r="F483"/>
      <c r="G483"/>
      <c r="H483"/>
      <c r="I483"/>
      <c r="J483"/>
      <c r="K483"/>
      <c r="L483"/>
    </row>
    <row r="484" spans="1:12" x14ac:dyDescent="0.25">
      <c r="A484"/>
      <c r="B484"/>
      <c r="C484"/>
      <c r="D484"/>
      <c r="E484"/>
      <c r="F484"/>
      <c r="G484"/>
      <c r="H484"/>
      <c r="I484"/>
      <c r="J484"/>
      <c r="K484"/>
      <c r="L484"/>
    </row>
    <row r="485" spans="1:12" x14ac:dyDescent="0.25">
      <c r="A485"/>
      <c r="B485"/>
      <c r="C485"/>
      <c r="D485"/>
      <c r="E485"/>
      <c r="F485"/>
      <c r="G485"/>
      <c r="H485"/>
      <c r="I485"/>
      <c r="J485"/>
      <c r="K485"/>
      <c r="L485"/>
    </row>
    <row r="486" spans="1:12" x14ac:dyDescent="0.25">
      <c r="A486"/>
      <c r="B486"/>
      <c r="C486"/>
      <c r="D486"/>
      <c r="E486"/>
      <c r="F486"/>
      <c r="G486"/>
      <c r="H486"/>
      <c r="I486"/>
      <c r="J486"/>
      <c r="K486"/>
      <c r="L486"/>
    </row>
    <row r="487" spans="1:12" x14ac:dyDescent="0.25">
      <c r="A487"/>
      <c r="B487"/>
      <c r="C487"/>
      <c r="D487"/>
      <c r="E487"/>
      <c r="F487"/>
      <c r="G487"/>
      <c r="H487"/>
      <c r="I487"/>
      <c r="J487"/>
      <c r="K487"/>
      <c r="L487"/>
    </row>
    <row r="488" spans="1:12" x14ac:dyDescent="0.25">
      <c r="A488"/>
      <c r="B488"/>
      <c r="C488"/>
      <c r="D488"/>
      <c r="E488"/>
      <c r="F488"/>
      <c r="G488"/>
      <c r="H488"/>
      <c r="I488"/>
      <c r="J488"/>
      <c r="K488"/>
      <c r="L488"/>
    </row>
    <row r="489" spans="1:12" x14ac:dyDescent="0.25">
      <c r="A489"/>
      <c r="B489"/>
      <c r="C489"/>
      <c r="D489"/>
      <c r="E489"/>
      <c r="F489"/>
      <c r="G489"/>
      <c r="H489"/>
      <c r="I489"/>
      <c r="J489"/>
      <c r="K489"/>
      <c r="L489"/>
    </row>
    <row r="490" spans="1:12" x14ac:dyDescent="0.25">
      <c r="A490"/>
      <c r="B490"/>
      <c r="C490"/>
      <c r="D490"/>
      <c r="E490"/>
      <c r="F490"/>
      <c r="G490"/>
      <c r="H490"/>
      <c r="I490"/>
      <c r="J490"/>
      <c r="K490"/>
      <c r="L490"/>
    </row>
    <row r="491" spans="1:12" x14ac:dyDescent="0.25">
      <c r="A491"/>
      <c r="B491"/>
      <c r="C491"/>
      <c r="D491"/>
      <c r="E491"/>
      <c r="F491"/>
      <c r="G491"/>
      <c r="H491"/>
      <c r="I491"/>
      <c r="J491"/>
      <c r="K491"/>
      <c r="L491"/>
    </row>
    <row r="492" spans="1:12" x14ac:dyDescent="0.25">
      <c r="A492"/>
      <c r="B492"/>
      <c r="C492"/>
      <c r="D492"/>
      <c r="E492"/>
      <c r="F492"/>
      <c r="G492"/>
      <c r="H492"/>
      <c r="I492"/>
      <c r="J492"/>
      <c r="K492"/>
      <c r="L492"/>
    </row>
    <row r="493" spans="1:12" x14ac:dyDescent="0.25">
      <c r="A493"/>
      <c r="B493"/>
      <c r="C493"/>
      <c r="D493"/>
      <c r="E493"/>
      <c r="F493"/>
      <c r="G493"/>
      <c r="H493"/>
      <c r="I493"/>
      <c r="J493"/>
      <c r="K493"/>
      <c r="L493"/>
    </row>
    <row r="494" spans="1:12" x14ac:dyDescent="0.25">
      <c r="A494"/>
      <c r="B494"/>
      <c r="C494"/>
      <c r="D494"/>
      <c r="E494"/>
      <c r="F494"/>
      <c r="G494"/>
      <c r="H494"/>
      <c r="I494"/>
      <c r="J494"/>
      <c r="K494"/>
      <c r="L494"/>
    </row>
    <row r="495" spans="1:12" x14ac:dyDescent="0.25">
      <c r="A495"/>
      <c r="B495"/>
      <c r="C495"/>
      <c r="D495"/>
      <c r="E495"/>
      <c r="F495"/>
      <c r="G495"/>
      <c r="H495"/>
      <c r="I495"/>
      <c r="J495"/>
      <c r="K495"/>
      <c r="L495"/>
    </row>
    <row r="496" spans="1:12" x14ac:dyDescent="0.25">
      <c r="A496"/>
      <c r="B496"/>
      <c r="C496"/>
      <c r="D496"/>
      <c r="E496"/>
      <c r="F496"/>
      <c r="G496"/>
      <c r="H496"/>
      <c r="I496"/>
      <c r="J496"/>
      <c r="K496"/>
      <c r="L496"/>
    </row>
    <row r="497" spans="1:12" x14ac:dyDescent="0.25">
      <c r="A497"/>
      <c r="B497"/>
      <c r="C497"/>
      <c r="D497"/>
      <c r="E497"/>
      <c r="F497"/>
      <c r="G497"/>
      <c r="H497"/>
      <c r="I497"/>
      <c r="J497"/>
      <c r="K497"/>
      <c r="L497"/>
    </row>
    <row r="498" spans="1:12" x14ac:dyDescent="0.25">
      <c r="A498"/>
      <c r="B498"/>
      <c r="C498"/>
      <c r="D498"/>
      <c r="E498"/>
      <c r="F498"/>
      <c r="G498"/>
      <c r="H498"/>
      <c r="I498"/>
      <c r="J498"/>
      <c r="K498"/>
      <c r="L498"/>
    </row>
    <row r="499" spans="1:12" x14ac:dyDescent="0.25">
      <c r="A499"/>
      <c r="B499"/>
      <c r="C499"/>
      <c r="D499"/>
      <c r="E499"/>
      <c r="F499"/>
      <c r="G499"/>
      <c r="H499"/>
      <c r="I499"/>
      <c r="J499"/>
      <c r="K499"/>
      <c r="L499"/>
    </row>
    <row r="500" spans="1:12" x14ac:dyDescent="0.25">
      <c r="A500"/>
      <c r="B500"/>
      <c r="C500"/>
      <c r="D500"/>
      <c r="E500"/>
      <c r="F500"/>
      <c r="G500"/>
      <c r="H500"/>
      <c r="I500"/>
      <c r="J500"/>
      <c r="K500"/>
      <c r="L500"/>
    </row>
    <row r="501" spans="1:12" x14ac:dyDescent="0.25">
      <c r="A501"/>
      <c r="B501"/>
      <c r="C501"/>
      <c r="D501"/>
      <c r="E501"/>
      <c r="F501"/>
      <c r="G501"/>
      <c r="H501"/>
      <c r="I501"/>
      <c r="J501"/>
      <c r="K501"/>
      <c r="L501"/>
    </row>
    <row r="502" spans="1:12" x14ac:dyDescent="0.25">
      <c r="A502"/>
      <c r="B502"/>
      <c r="C502"/>
      <c r="D502"/>
      <c r="E502"/>
      <c r="F502"/>
      <c r="G502"/>
      <c r="H502"/>
      <c r="I502"/>
      <c r="J502"/>
      <c r="K502"/>
      <c r="L502"/>
    </row>
    <row r="503" spans="1:12" x14ac:dyDescent="0.25">
      <c r="A503"/>
      <c r="B503"/>
      <c r="C503"/>
      <c r="D503"/>
      <c r="E503"/>
      <c r="F503"/>
      <c r="G503"/>
      <c r="H503"/>
      <c r="I503"/>
      <c r="J503"/>
      <c r="K503"/>
      <c r="L503"/>
    </row>
    <row r="504" spans="1:12" x14ac:dyDescent="0.25">
      <c r="A504"/>
      <c r="B504"/>
      <c r="C504"/>
      <c r="D504"/>
      <c r="E504"/>
      <c r="F504"/>
      <c r="G504"/>
      <c r="H504"/>
      <c r="I504"/>
      <c r="J504"/>
      <c r="K504"/>
      <c r="L504"/>
    </row>
    <row r="505" spans="1:12" x14ac:dyDescent="0.25">
      <c r="A505"/>
      <c r="B505"/>
      <c r="C505"/>
      <c r="D505"/>
      <c r="E505"/>
      <c r="F505"/>
      <c r="G505"/>
      <c r="H505"/>
      <c r="I505"/>
      <c r="J505"/>
      <c r="K505"/>
      <c r="L505"/>
    </row>
    <row r="506" spans="1:12" x14ac:dyDescent="0.25">
      <c r="A506"/>
      <c r="B506"/>
      <c r="C506"/>
      <c r="D506"/>
      <c r="E506"/>
      <c r="F506"/>
      <c r="G506"/>
      <c r="H506"/>
      <c r="I506"/>
      <c r="J506"/>
      <c r="K506"/>
      <c r="L506"/>
    </row>
    <row r="507" spans="1:12" x14ac:dyDescent="0.25">
      <c r="A507"/>
      <c r="B507"/>
      <c r="C507"/>
      <c r="D507"/>
      <c r="E507"/>
      <c r="F507"/>
      <c r="G507"/>
      <c r="H507"/>
      <c r="I507"/>
      <c r="J507"/>
      <c r="K507"/>
      <c r="L507"/>
    </row>
    <row r="508" spans="1:12" x14ac:dyDescent="0.25">
      <c r="A508"/>
      <c r="B508"/>
      <c r="C508"/>
      <c r="D508"/>
      <c r="E508"/>
      <c r="F508"/>
      <c r="G508"/>
      <c r="H508"/>
      <c r="I508"/>
      <c r="J508"/>
      <c r="K508"/>
      <c r="L508"/>
    </row>
    <row r="509" spans="1:12" x14ac:dyDescent="0.25">
      <c r="A509"/>
      <c r="B509"/>
      <c r="C509"/>
      <c r="D509"/>
      <c r="E509"/>
      <c r="F509"/>
      <c r="G509"/>
      <c r="H509"/>
      <c r="I509"/>
      <c r="J509"/>
      <c r="K509"/>
      <c r="L509"/>
    </row>
    <row r="510" spans="1:12" x14ac:dyDescent="0.25">
      <c r="A510"/>
      <c r="B510"/>
      <c r="C510"/>
      <c r="D510"/>
      <c r="E510"/>
      <c r="F510"/>
      <c r="G510"/>
      <c r="H510"/>
      <c r="I510"/>
      <c r="J510"/>
      <c r="K510"/>
      <c r="L510"/>
    </row>
    <row r="511" spans="1:12" x14ac:dyDescent="0.25">
      <c r="A511"/>
      <c r="B511"/>
      <c r="C511"/>
      <c r="D511"/>
      <c r="E511"/>
      <c r="F511"/>
      <c r="G511"/>
      <c r="H511"/>
      <c r="I511"/>
      <c r="J511"/>
      <c r="K511"/>
      <c r="L511"/>
    </row>
    <row r="512" spans="1:12" x14ac:dyDescent="0.25">
      <c r="A512"/>
      <c r="B512"/>
      <c r="C512"/>
      <c r="D512"/>
      <c r="E512"/>
      <c r="F512"/>
      <c r="G512"/>
      <c r="H512"/>
      <c r="I512"/>
      <c r="J512"/>
      <c r="K512"/>
      <c r="L512"/>
    </row>
    <row r="513" spans="1:12" x14ac:dyDescent="0.25">
      <c r="A513"/>
      <c r="B513"/>
      <c r="C513"/>
      <c r="D513"/>
      <c r="E513"/>
      <c r="F513"/>
      <c r="G513"/>
      <c r="H513"/>
      <c r="I513"/>
      <c r="J513"/>
      <c r="K513"/>
      <c r="L513"/>
    </row>
    <row r="514" spans="1:12" x14ac:dyDescent="0.25">
      <c r="A514"/>
      <c r="B514"/>
      <c r="C514"/>
      <c r="D514"/>
      <c r="E514"/>
      <c r="F514"/>
      <c r="G514"/>
      <c r="H514"/>
      <c r="I514"/>
      <c r="J514"/>
      <c r="K514"/>
      <c r="L514"/>
    </row>
    <row r="515" spans="1:12" x14ac:dyDescent="0.25">
      <c r="A515"/>
      <c r="B515"/>
      <c r="C515"/>
      <c r="D515"/>
      <c r="E515"/>
      <c r="F515"/>
      <c r="G515"/>
      <c r="H515"/>
      <c r="I515"/>
      <c r="J515"/>
      <c r="K515"/>
      <c r="L515"/>
    </row>
    <row r="516" spans="1:12" x14ac:dyDescent="0.25">
      <c r="A516"/>
      <c r="B516"/>
      <c r="C516"/>
      <c r="D516"/>
      <c r="E516"/>
      <c r="F516"/>
      <c r="G516"/>
      <c r="H516"/>
      <c r="I516"/>
      <c r="J516"/>
      <c r="K516"/>
      <c r="L516"/>
    </row>
    <row r="517" spans="1:12" x14ac:dyDescent="0.25">
      <c r="A517"/>
      <c r="B517"/>
      <c r="C517"/>
      <c r="D517"/>
      <c r="E517"/>
      <c r="F517"/>
      <c r="G517"/>
      <c r="H517"/>
      <c r="I517"/>
      <c r="J517"/>
      <c r="K517"/>
      <c r="L517"/>
    </row>
    <row r="518" spans="1:12" x14ac:dyDescent="0.25">
      <c r="A518"/>
      <c r="B518"/>
      <c r="C518"/>
      <c r="D518"/>
      <c r="E518"/>
      <c r="F518"/>
      <c r="G518"/>
      <c r="H518"/>
      <c r="I518"/>
      <c r="J518"/>
      <c r="K518"/>
      <c r="L518"/>
    </row>
    <row r="519" spans="1:12" x14ac:dyDescent="0.25">
      <c r="A519"/>
      <c r="B519"/>
      <c r="C519"/>
      <c r="D519"/>
      <c r="E519"/>
      <c r="F519"/>
      <c r="G519"/>
      <c r="H519"/>
      <c r="I519"/>
      <c r="J519"/>
      <c r="K519"/>
      <c r="L519"/>
    </row>
    <row r="520" spans="1:12" x14ac:dyDescent="0.25">
      <c r="A520"/>
      <c r="B520"/>
      <c r="C520"/>
      <c r="D520"/>
      <c r="E520"/>
      <c r="F520"/>
      <c r="G520"/>
      <c r="H520"/>
      <c r="I520"/>
      <c r="J520"/>
      <c r="K520"/>
      <c r="L520"/>
    </row>
    <row r="521" spans="1:12" x14ac:dyDescent="0.25">
      <c r="A521"/>
      <c r="B521"/>
      <c r="C521"/>
      <c r="D521"/>
      <c r="E521"/>
      <c r="F521"/>
      <c r="G521"/>
      <c r="H521"/>
      <c r="I521"/>
      <c r="J521"/>
      <c r="K521"/>
      <c r="L521"/>
    </row>
    <row r="522" spans="1:12" x14ac:dyDescent="0.25">
      <c r="A522"/>
      <c r="B522"/>
      <c r="C522"/>
      <c r="D522"/>
      <c r="E522"/>
      <c r="F522"/>
      <c r="G522"/>
      <c r="H522"/>
      <c r="I522"/>
      <c r="J522"/>
      <c r="K522"/>
      <c r="L522"/>
    </row>
    <row r="523" spans="1:12" x14ac:dyDescent="0.25">
      <c r="A523"/>
      <c r="B523"/>
      <c r="C523"/>
      <c r="D523"/>
      <c r="E523"/>
      <c r="F523"/>
      <c r="G523"/>
      <c r="H523"/>
      <c r="I523"/>
      <c r="J523"/>
      <c r="K523"/>
      <c r="L523"/>
    </row>
    <row r="524" spans="1:12" x14ac:dyDescent="0.25">
      <c r="A524"/>
      <c r="B524"/>
      <c r="C524"/>
      <c r="D524"/>
      <c r="E524"/>
      <c r="F524"/>
      <c r="G524"/>
      <c r="H524"/>
      <c r="I524"/>
      <c r="J524"/>
      <c r="K524"/>
      <c r="L524"/>
    </row>
    <row r="525" spans="1:12" x14ac:dyDescent="0.25">
      <c r="A525"/>
      <c r="B525"/>
      <c r="C525"/>
      <c r="D525"/>
      <c r="E525"/>
      <c r="F525"/>
      <c r="G525"/>
      <c r="H525"/>
      <c r="I525"/>
      <c r="J525"/>
      <c r="K525"/>
      <c r="L525"/>
    </row>
    <row r="526" spans="1:12" x14ac:dyDescent="0.25">
      <c r="A526"/>
      <c r="B526"/>
      <c r="C526"/>
      <c r="D526"/>
      <c r="E526"/>
      <c r="F526"/>
      <c r="G526"/>
      <c r="H526"/>
      <c r="I526"/>
      <c r="J526"/>
      <c r="K526"/>
      <c r="L526"/>
    </row>
    <row r="527" spans="1:12" x14ac:dyDescent="0.25">
      <c r="A527"/>
      <c r="B527"/>
      <c r="C527"/>
      <c r="D527"/>
      <c r="E527"/>
      <c r="F527"/>
      <c r="G527"/>
      <c r="H527"/>
      <c r="I527"/>
      <c r="J527"/>
      <c r="K527"/>
      <c r="L527"/>
    </row>
    <row r="528" spans="1:12" x14ac:dyDescent="0.25">
      <c r="A528"/>
      <c r="B528"/>
      <c r="C528"/>
      <c r="D528"/>
      <c r="E528"/>
      <c r="F528"/>
      <c r="G528"/>
      <c r="H528"/>
      <c r="I528"/>
      <c r="J528"/>
      <c r="K528"/>
      <c r="L528"/>
    </row>
    <row r="529" spans="1:12" x14ac:dyDescent="0.25">
      <c r="A529"/>
      <c r="B529"/>
      <c r="C529"/>
      <c r="D529"/>
      <c r="E529"/>
      <c r="F529"/>
      <c r="G529"/>
      <c r="H529"/>
      <c r="I529"/>
      <c r="J529"/>
      <c r="K529"/>
      <c r="L529"/>
    </row>
    <row r="530" spans="1:12" x14ac:dyDescent="0.25">
      <c r="A530"/>
      <c r="B530"/>
      <c r="C530"/>
      <c r="D530"/>
      <c r="E530"/>
      <c r="F530"/>
      <c r="G530"/>
      <c r="H530"/>
      <c r="I530"/>
      <c r="J530"/>
      <c r="K530"/>
      <c r="L530"/>
    </row>
    <row r="531" spans="1:12" x14ac:dyDescent="0.25">
      <c r="A531"/>
      <c r="B531"/>
      <c r="C531"/>
      <c r="D531"/>
      <c r="E531"/>
      <c r="F531"/>
      <c r="G531"/>
      <c r="H531"/>
      <c r="I531"/>
      <c r="J531"/>
      <c r="K531"/>
      <c r="L531"/>
    </row>
    <row r="532" spans="1:12" x14ac:dyDescent="0.25">
      <c r="A532"/>
      <c r="B532"/>
      <c r="C532"/>
      <c r="D532"/>
      <c r="E532"/>
      <c r="F532"/>
      <c r="G532"/>
      <c r="H532"/>
      <c r="I532"/>
      <c r="J532"/>
      <c r="K532"/>
      <c r="L532"/>
    </row>
    <row r="533" spans="1:12" x14ac:dyDescent="0.25">
      <c r="A533"/>
      <c r="B533"/>
      <c r="C533"/>
      <c r="D533"/>
      <c r="E533"/>
      <c r="F533"/>
      <c r="G533"/>
      <c r="H533"/>
      <c r="I533"/>
      <c r="J533"/>
      <c r="K533"/>
      <c r="L533"/>
    </row>
    <row r="534" spans="1:12" x14ac:dyDescent="0.25">
      <c r="A534"/>
      <c r="B534"/>
      <c r="C534"/>
      <c r="D534"/>
      <c r="E534"/>
      <c r="F534"/>
      <c r="G534"/>
      <c r="H534"/>
      <c r="I534"/>
      <c r="J534"/>
      <c r="K534"/>
      <c r="L534"/>
    </row>
    <row r="535" spans="1:12" x14ac:dyDescent="0.25">
      <c r="A535"/>
      <c r="B535"/>
      <c r="C535"/>
      <c r="D535"/>
      <c r="E535"/>
      <c r="F535"/>
      <c r="G535"/>
      <c r="H535"/>
      <c r="I535"/>
      <c r="J535"/>
      <c r="K535"/>
      <c r="L535"/>
    </row>
    <row r="536" spans="1:12" x14ac:dyDescent="0.25">
      <c r="A536"/>
      <c r="B536"/>
      <c r="C536"/>
      <c r="D536"/>
      <c r="E536"/>
      <c r="F536"/>
      <c r="G536"/>
      <c r="H536"/>
      <c r="I536"/>
      <c r="J536"/>
      <c r="K536"/>
      <c r="L536"/>
    </row>
    <row r="537" spans="1:12" x14ac:dyDescent="0.25">
      <c r="A537"/>
      <c r="B537"/>
      <c r="C537"/>
      <c r="D537"/>
      <c r="E537"/>
      <c r="F537"/>
      <c r="G537"/>
      <c r="H537"/>
      <c r="I537"/>
      <c r="J537"/>
      <c r="K537"/>
      <c r="L537"/>
    </row>
    <row r="538" spans="1:12" x14ac:dyDescent="0.25">
      <c r="A538"/>
      <c r="B538"/>
      <c r="C538"/>
      <c r="D538"/>
      <c r="E538"/>
      <c r="F538"/>
      <c r="G538"/>
      <c r="H538"/>
      <c r="I538"/>
      <c r="J538"/>
      <c r="K538"/>
      <c r="L538"/>
    </row>
    <row r="539" spans="1:12" x14ac:dyDescent="0.25">
      <c r="A539"/>
      <c r="B539"/>
      <c r="C539"/>
      <c r="D539"/>
      <c r="E539"/>
      <c r="F539"/>
      <c r="G539"/>
      <c r="H539"/>
      <c r="I539"/>
      <c r="J539"/>
      <c r="K539"/>
      <c r="L539"/>
    </row>
    <row r="540" spans="1:12" x14ac:dyDescent="0.25">
      <c r="A540"/>
      <c r="B540"/>
      <c r="C540"/>
      <c r="D540"/>
      <c r="E540"/>
      <c r="F540"/>
      <c r="G540"/>
      <c r="H540"/>
      <c r="I540"/>
      <c r="J540"/>
      <c r="K540"/>
      <c r="L540"/>
    </row>
    <row r="541" spans="1:12" x14ac:dyDescent="0.25">
      <c r="A541"/>
      <c r="B541"/>
      <c r="C541"/>
      <c r="D541"/>
      <c r="E541"/>
      <c r="F541"/>
      <c r="G541"/>
      <c r="H541"/>
      <c r="I541"/>
      <c r="J541"/>
      <c r="K541"/>
      <c r="L541"/>
    </row>
    <row r="542" spans="1:12" x14ac:dyDescent="0.25">
      <c r="A542"/>
      <c r="B542"/>
      <c r="C542"/>
      <c r="D542"/>
      <c r="E542"/>
      <c r="F542"/>
      <c r="G542"/>
      <c r="H542"/>
      <c r="I542"/>
      <c r="J542"/>
      <c r="K542"/>
      <c r="L542"/>
    </row>
    <row r="543" spans="1:12" x14ac:dyDescent="0.25">
      <c r="A543"/>
      <c r="B543"/>
      <c r="C543"/>
      <c r="D543"/>
      <c r="E543"/>
      <c r="F543"/>
      <c r="G543"/>
      <c r="H543"/>
      <c r="I543"/>
      <c r="J543"/>
      <c r="K543"/>
      <c r="L543"/>
    </row>
    <row r="544" spans="1:12" x14ac:dyDescent="0.25">
      <c r="A544"/>
      <c r="B544"/>
      <c r="C544"/>
      <c r="D544"/>
      <c r="E544"/>
      <c r="F544"/>
      <c r="G544"/>
      <c r="H544"/>
      <c r="I544"/>
      <c r="J544"/>
      <c r="K544"/>
      <c r="L544"/>
    </row>
    <row r="545" spans="1:12" x14ac:dyDescent="0.25">
      <c r="A545"/>
      <c r="B545"/>
      <c r="C545"/>
      <c r="D545"/>
      <c r="E545"/>
      <c r="F545"/>
      <c r="G545"/>
      <c r="H545"/>
      <c r="I545"/>
      <c r="J545"/>
      <c r="K545"/>
      <c r="L545"/>
    </row>
    <row r="546" spans="1:12" x14ac:dyDescent="0.25">
      <c r="A546"/>
      <c r="B546"/>
      <c r="C546"/>
      <c r="D546"/>
      <c r="E546"/>
      <c r="F546"/>
      <c r="G546"/>
      <c r="H546"/>
      <c r="I546"/>
      <c r="J546"/>
      <c r="K546"/>
      <c r="L546"/>
    </row>
    <row r="547" spans="1:12" x14ac:dyDescent="0.25">
      <c r="A547"/>
      <c r="B547"/>
      <c r="C547"/>
      <c r="D547"/>
      <c r="E547"/>
      <c r="F547"/>
      <c r="G547"/>
      <c r="H547"/>
      <c r="I547"/>
      <c r="J547"/>
      <c r="K547"/>
      <c r="L547"/>
    </row>
    <row r="548" spans="1:12" x14ac:dyDescent="0.25">
      <c r="A548"/>
      <c r="B548"/>
      <c r="C548"/>
      <c r="D548"/>
      <c r="E548"/>
      <c r="F548"/>
      <c r="G548"/>
      <c r="H548"/>
      <c r="I548"/>
      <c r="J548"/>
      <c r="K548"/>
      <c r="L548"/>
    </row>
    <row r="549" spans="1:12" x14ac:dyDescent="0.25">
      <c r="A549"/>
      <c r="B549"/>
      <c r="C549"/>
      <c r="D549"/>
      <c r="E549"/>
      <c r="F549"/>
      <c r="G549"/>
      <c r="H549"/>
      <c r="I549"/>
      <c r="J549"/>
      <c r="K549"/>
      <c r="L549"/>
    </row>
    <row r="550" spans="1:12" x14ac:dyDescent="0.25">
      <c r="A550"/>
      <c r="B550"/>
      <c r="C550"/>
      <c r="D550"/>
      <c r="E550"/>
      <c r="F550"/>
      <c r="G550"/>
      <c r="H550"/>
      <c r="I550"/>
      <c r="J550"/>
      <c r="K550"/>
      <c r="L550"/>
    </row>
    <row r="551" spans="1:12" x14ac:dyDescent="0.25">
      <c r="A551"/>
      <c r="B551"/>
      <c r="C551"/>
      <c r="D551"/>
      <c r="E551"/>
      <c r="F551"/>
      <c r="G551"/>
      <c r="H551"/>
      <c r="I551"/>
      <c r="J551"/>
      <c r="K551"/>
      <c r="L551"/>
    </row>
    <row r="552" spans="1:12" x14ac:dyDescent="0.25">
      <c r="A552"/>
      <c r="B552"/>
      <c r="C552"/>
      <c r="D552"/>
      <c r="E552"/>
      <c r="F552"/>
      <c r="G552"/>
      <c r="H552"/>
      <c r="I552"/>
      <c r="J552"/>
      <c r="K552"/>
      <c r="L552"/>
    </row>
    <row r="553" spans="1:12" x14ac:dyDescent="0.25">
      <c r="A553"/>
      <c r="B553"/>
      <c r="C553"/>
      <c r="D553"/>
      <c r="E553"/>
      <c r="F553"/>
      <c r="G553"/>
      <c r="H553"/>
      <c r="I553"/>
      <c r="J553"/>
      <c r="K553"/>
      <c r="L553"/>
    </row>
    <row r="554" spans="1:12" x14ac:dyDescent="0.25">
      <c r="A554"/>
      <c r="B554"/>
      <c r="C554"/>
      <c r="D554"/>
      <c r="E554"/>
      <c r="F554"/>
      <c r="G554"/>
      <c r="H554"/>
      <c r="I554"/>
      <c r="J554"/>
      <c r="K554"/>
      <c r="L554"/>
    </row>
    <row r="555" spans="1:12" x14ac:dyDescent="0.25">
      <c r="A555"/>
      <c r="B555"/>
      <c r="C555"/>
      <c r="D555"/>
      <c r="E555"/>
      <c r="F555"/>
      <c r="G555"/>
      <c r="H555"/>
      <c r="I555"/>
      <c r="J555"/>
      <c r="K555"/>
      <c r="L555"/>
    </row>
    <row r="556" spans="1:12" x14ac:dyDescent="0.25">
      <c r="A556"/>
      <c r="B556"/>
      <c r="C556"/>
      <c r="D556"/>
      <c r="E556"/>
      <c r="F556"/>
      <c r="G556"/>
      <c r="H556"/>
      <c r="I556"/>
      <c r="J556"/>
      <c r="K556"/>
      <c r="L556"/>
    </row>
    <row r="557" spans="1:12" x14ac:dyDescent="0.25">
      <c r="A557"/>
      <c r="B557"/>
      <c r="C557"/>
      <c r="D557"/>
      <c r="E557"/>
      <c r="F557"/>
      <c r="G557"/>
      <c r="H557"/>
      <c r="I557"/>
      <c r="J557"/>
      <c r="K557"/>
      <c r="L557"/>
    </row>
    <row r="558" spans="1:12" x14ac:dyDescent="0.25">
      <c r="A558"/>
      <c r="B558"/>
      <c r="C558"/>
      <c r="D558"/>
      <c r="E558"/>
      <c r="F558"/>
      <c r="G558"/>
      <c r="H558"/>
      <c r="I558"/>
      <c r="J558"/>
      <c r="K558"/>
      <c r="L558"/>
    </row>
    <row r="559" spans="1:12" x14ac:dyDescent="0.25">
      <c r="A559"/>
      <c r="B559"/>
      <c r="C559"/>
      <c r="D559"/>
      <c r="E559"/>
      <c r="F559"/>
      <c r="G559"/>
      <c r="H559"/>
      <c r="I559"/>
      <c r="J559"/>
      <c r="K559"/>
      <c r="L559"/>
    </row>
    <row r="560" spans="1:12" x14ac:dyDescent="0.25">
      <c r="A560"/>
      <c r="B560"/>
      <c r="C560"/>
      <c r="D560"/>
      <c r="E560"/>
      <c r="F560"/>
      <c r="G560"/>
      <c r="H560"/>
      <c r="I560"/>
      <c r="J560"/>
      <c r="K560"/>
      <c r="L560"/>
    </row>
    <row r="561" spans="1:12" x14ac:dyDescent="0.25">
      <c r="A561"/>
      <c r="B561"/>
      <c r="C561"/>
      <c r="D561"/>
      <c r="E561"/>
      <c r="F561"/>
      <c r="G561"/>
      <c r="H561"/>
      <c r="I561"/>
      <c r="J561"/>
      <c r="K561"/>
      <c r="L561"/>
    </row>
    <row r="562" spans="1:12" x14ac:dyDescent="0.25">
      <c r="A562"/>
      <c r="B562"/>
      <c r="C562"/>
      <c r="D562"/>
      <c r="E562"/>
      <c r="F562"/>
      <c r="G562"/>
      <c r="H562"/>
      <c r="I562"/>
      <c r="J562"/>
      <c r="K562"/>
      <c r="L562"/>
    </row>
    <row r="563" spans="1:12" x14ac:dyDescent="0.25">
      <c r="A563"/>
      <c r="B563"/>
      <c r="C563"/>
      <c r="D563"/>
      <c r="E563"/>
      <c r="F563"/>
      <c r="G563"/>
      <c r="H563"/>
      <c r="I563"/>
      <c r="J563"/>
      <c r="K563"/>
      <c r="L563"/>
    </row>
    <row r="564" spans="1:12" x14ac:dyDescent="0.25">
      <c r="A564"/>
      <c r="B564"/>
      <c r="C564"/>
      <c r="D564"/>
      <c r="E564"/>
      <c r="F564"/>
      <c r="G564"/>
      <c r="H564"/>
      <c r="I564"/>
      <c r="J564"/>
      <c r="K564"/>
      <c r="L564"/>
    </row>
    <row r="565" spans="1:12" x14ac:dyDescent="0.25">
      <c r="A565"/>
      <c r="B565"/>
      <c r="C565"/>
      <c r="D565"/>
      <c r="E565"/>
      <c r="F565"/>
      <c r="G565"/>
      <c r="H565"/>
      <c r="I565"/>
      <c r="J565"/>
      <c r="K565"/>
      <c r="L565"/>
    </row>
    <row r="566" spans="1:12" x14ac:dyDescent="0.25">
      <c r="A566"/>
      <c r="B566"/>
      <c r="C566"/>
      <c r="D566"/>
      <c r="E566"/>
      <c r="F566"/>
      <c r="G566"/>
      <c r="H566"/>
      <c r="I566"/>
      <c r="J566"/>
      <c r="K566"/>
      <c r="L566"/>
    </row>
    <row r="567" spans="1:12" x14ac:dyDescent="0.25">
      <c r="A567"/>
      <c r="B567"/>
      <c r="C567"/>
      <c r="D567"/>
      <c r="E567"/>
      <c r="F567"/>
      <c r="G567"/>
      <c r="H567"/>
      <c r="I567"/>
      <c r="J567"/>
      <c r="K567"/>
      <c r="L567"/>
    </row>
    <row r="568" spans="1:12" x14ac:dyDescent="0.25">
      <c r="A568"/>
      <c r="B568"/>
      <c r="C568"/>
      <c r="D568"/>
      <c r="E568"/>
      <c r="F568"/>
      <c r="G568"/>
      <c r="H568"/>
      <c r="I568"/>
      <c r="J568"/>
      <c r="K568"/>
      <c r="L568"/>
    </row>
    <row r="569" spans="1:12" x14ac:dyDescent="0.25">
      <c r="A569"/>
      <c r="B569"/>
      <c r="C569"/>
      <c r="D569"/>
      <c r="E569"/>
      <c r="F569"/>
      <c r="G569"/>
      <c r="H569"/>
      <c r="I569"/>
      <c r="J569"/>
      <c r="K569"/>
      <c r="L569"/>
    </row>
    <row r="570" spans="1:12" x14ac:dyDescent="0.25">
      <c r="A570"/>
      <c r="B570"/>
      <c r="C570"/>
      <c r="D570"/>
      <c r="E570"/>
      <c r="F570"/>
      <c r="G570"/>
      <c r="H570"/>
      <c r="I570"/>
      <c r="J570"/>
      <c r="K570"/>
      <c r="L570"/>
    </row>
    <row r="571" spans="1:12" x14ac:dyDescent="0.25">
      <c r="A571"/>
      <c r="B571"/>
      <c r="C571"/>
      <c r="D571"/>
      <c r="E571"/>
      <c r="F571"/>
      <c r="G571"/>
      <c r="H571"/>
      <c r="I571"/>
      <c r="J571"/>
      <c r="K571"/>
      <c r="L571"/>
    </row>
    <row r="572" spans="1:12" x14ac:dyDescent="0.25">
      <c r="A572"/>
      <c r="B572"/>
      <c r="C572"/>
      <c r="D572"/>
      <c r="E572"/>
      <c r="F572"/>
      <c r="G572"/>
      <c r="H572"/>
      <c r="I572"/>
      <c r="J572"/>
      <c r="K572"/>
      <c r="L572"/>
    </row>
    <row r="573" spans="1:12" x14ac:dyDescent="0.25">
      <c r="A573"/>
      <c r="B573"/>
      <c r="C573"/>
      <c r="D573"/>
      <c r="E573"/>
      <c r="F573"/>
      <c r="G573"/>
      <c r="H573"/>
      <c r="I573"/>
      <c r="J573"/>
      <c r="K573"/>
      <c r="L573"/>
    </row>
    <row r="574" spans="1:12" x14ac:dyDescent="0.25">
      <c r="A574"/>
      <c r="B574"/>
      <c r="C574"/>
      <c r="D574"/>
      <c r="E574"/>
      <c r="F574"/>
      <c r="G574"/>
      <c r="H574"/>
      <c r="I574"/>
      <c r="J574"/>
      <c r="K574"/>
      <c r="L574"/>
    </row>
    <row r="575" spans="1:12" x14ac:dyDescent="0.25">
      <c r="A575"/>
      <c r="B575"/>
      <c r="C575"/>
      <c r="D575"/>
      <c r="E575"/>
      <c r="F575"/>
      <c r="G575"/>
      <c r="H575"/>
      <c r="I575"/>
      <c r="J575"/>
      <c r="K575"/>
      <c r="L575"/>
    </row>
    <row r="576" spans="1:12" x14ac:dyDescent="0.25">
      <c r="A576"/>
      <c r="B576"/>
      <c r="C576"/>
      <c r="D576"/>
      <c r="E576"/>
      <c r="F576"/>
      <c r="G576"/>
      <c r="H576"/>
      <c r="I576"/>
      <c r="J576"/>
      <c r="K576"/>
      <c r="L576"/>
    </row>
    <row r="577" spans="1:12" x14ac:dyDescent="0.25">
      <c r="A577"/>
      <c r="B577"/>
      <c r="C577"/>
      <c r="D577"/>
      <c r="E577"/>
      <c r="F577"/>
      <c r="G577"/>
      <c r="H577"/>
      <c r="I577"/>
      <c r="J577"/>
      <c r="K577"/>
      <c r="L577"/>
    </row>
    <row r="578" spans="1:12" x14ac:dyDescent="0.25">
      <c r="A578"/>
      <c r="B578"/>
      <c r="C578"/>
      <c r="D578"/>
      <c r="E578"/>
      <c r="F578"/>
      <c r="G578"/>
      <c r="H578"/>
      <c r="I578"/>
      <c r="J578"/>
      <c r="K578"/>
      <c r="L578"/>
    </row>
    <row r="579" spans="1:12" x14ac:dyDescent="0.25">
      <c r="A579"/>
      <c r="B579"/>
      <c r="C579"/>
      <c r="D579"/>
      <c r="E579"/>
      <c r="F579"/>
      <c r="G579"/>
      <c r="H579"/>
      <c r="I579"/>
      <c r="J579"/>
      <c r="K579"/>
      <c r="L579"/>
    </row>
    <row r="580" spans="1:12" x14ac:dyDescent="0.25">
      <c r="A580"/>
      <c r="B580"/>
      <c r="C580"/>
      <c r="D580"/>
      <c r="E580"/>
      <c r="F580"/>
      <c r="G580"/>
      <c r="H580"/>
      <c r="I580"/>
      <c r="J580"/>
      <c r="K580"/>
      <c r="L580"/>
    </row>
    <row r="581" spans="1:12" x14ac:dyDescent="0.25">
      <c r="A581"/>
      <c r="B581"/>
      <c r="C581"/>
      <c r="D581"/>
      <c r="E581"/>
      <c r="F581"/>
      <c r="G581"/>
      <c r="H581"/>
      <c r="I581"/>
      <c r="J581"/>
      <c r="K581"/>
      <c r="L581"/>
    </row>
    <row r="582" spans="1:12" x14ac:dyDescent="0.25">
      <c r="A582"/>
      <c r="B582"/>
      <c r="C582"/>
      <c r="D582"/>
      <c r="E582"/>
      <c r="F582"/>
      <c r="G582"/>
      <c r="H582"/>
      <c r="I582"/>
      <c r="J582"/>
      <c r="K582"/>
      <c r="L582"/>
    </row>
    <row r="583" spans="1:12" x14ac:dyDescent="0.25">
      <c r="A583"/>
      <c r="B583"/>
      <c r="C583"/>
      <c r="D583"/>
      <c r="E583"/>
      <c r="F583"/>
      <c r="G583"/>
      <c r="H583"/>
      <c r="I583"/>
      <c r="J583"/>
      <c r="K583"/>
      <c r="L583"/>
    </row>
    <row r="584" spans="1:12" x14ac:dyDescent="0.25">
      <c r="A584"/>
      <c r="B584"/>
      <c r="C584"/>
      <c r="D584"/>
      <c r="E584"/>
      <c r="F584"/>
      <c r="G584"/>
      <c r="H584"/>
      <c r="I584"/>
      <c r="J584"/>
      <c r="K584"/>
      <c r="L584"/>
    </row>
    <row r="585" spans="1:12" x14ac:dyDescent="0.25">
      <c r="A585"/>
      <c r="B585"/>
      <c r="C585"/>
      <c r="D585"/>
      <c r="E585"/>
      <c r="F585"/>
      <c r="G585"/>
      <c r="H585"/>
      <c r="I585"/>
      <c r="J585"/>
      <c r="K585"/>
      <c r="L585"/>
    </row>
    <row r="586" spans="1:12" x14ac:dyDescent="0.25">
      <c r="A586"/>
      <c r="B586"/>
      <c r="C586"/>
      <c r="D586"/>
      <c r="E586"/>
      <c r="F586"/>
      <c r="G586"/>
      <c r="H586"/>
      <c r="I586"/>
      <c r="J586"/>
      <c r="K586"/>
      <c r="L586"/>
    </row>
    <row r="587" spans="1:12" x14ac:dyDescent="0.25">
      <c r="A587"/>
      <c r="B587"/>
      <c r="C587"/>
      <c r="D587"/>
      <c r="E587"/>
      <c r="F587"/>
      <c r="G587"/>
      <c r="H587"/>
      <c r="I587"/>
      <c r="J587"/>
      <c r="K587"/>
      <c r="L587"/>
    </row>
    <row r="588" spans="1:12" x14ac:dyDescent="0.25">
      <c r="A588"/>
      <c r="B588"/>
      <c r="C588"/>
      <c r="D588"/>
      <c r="E588"/>
      <c r="F588"/>
      <c r="G588"/>
      <c r="H588"/>
      <c r="I588"/>
      <c r="J588"/>
      <c r="K588"/>
      <c r="L588"/>
    </row>
    <row r="589" spans="1:12" x14ac:dyDescent="0.25">
      <c r="A589"/>
      <c r="B589"/>
      <c r="C589"/>
      <c r="D589"/>
      <c r="E589"/>
      <c r="F589"/>
      <c r="G589"/>
      <c r="H589"/>
      <c r="I589"/>
      <c r="J589"/>
      <c r="K589"/>
      <c r="L589"/>
    </row>
    <row r="590" spans="1:12" x14ac:dyDescent="0.25">
      <c r="A590"/>
      <c r="B590"/>
      <c r="C590"/>
      <c r="D590"/>
      <c r="E590"/>
      <c r="F590"/>
      <c r="G590"/>
      <c r="H590"/>
      <c r="I590"/>
      <c r="J590"/>
      <c r="K590"/>
      <c r="L590"/>
    </row>
    <row r="591" spans="1:12" x14ac:dyDescent="0.25">
      <c r="A591"/>
      <c r="B591"/>
      <c r="C591"/>
      <c r="D591"/>
      <c r="E591"/>
      <c r="F591"/>
      <c r="G591"/>
      <c r="H591"/>
      <c r="I591"/>
      <c r="J591"/>
      <c r="K591"/>
      <c r="L591"/>
    </row>
    <row r="592" spans="1:12" x14ac:dyDescent="0.25">
      <c r="A592"/>
      <c r="B592"/>
      <c r="C592"/>
      <c r="D592"/>
      <c r="E592"/>
      <c r="F592"/>
      <c r="G592"/>
      <c r="H592"/>
      <c r="I592"/>
      <c r="J592"/>
      <c r="K592"/>
      <c r="L592"/>
    </row>
    <row r="593" spans="1:12" x14ac:dyDescent="0.25">
      <c r="A593"/>
      <c r="B593"/>
      <c r="C593"/>
      <c r="D593"/>
      <c r="E593"/>
      <c r="F593"/>
      <c r="G593"/>
      <c r="H593"/>
      <c r="I593"/>
      <c r="J593"/>
      <c r="K593"/>
      <c r="L593"/>
    </row>
    <row r="594" spans="1:12" x14ac:dyDescent="0.25">
      <c r="A594"/>
      <c r="B594"/>
      <c r="C594"/>
      <c r="D594"/>
      <c r="E594"/>
      <c r="F594"/>
      <c r="G594"/>
      <c r="H594"/>
      <c r="I594"/>
      <c r="J594"/>
      <c r="K594"/>
      <c r="L594"/>
    </row>
    <row r="595" spans="1:12" x14ac:dyDescent="0.25">
      <c r="A595"/>
      <c r="B595"/>
      <c r="C595"/>
      <c r="D595"/>
      <c r="E595"/>
      <c r="F595"/>
      <c r="G595"/>
      <c r="H595"/>
      <c r="I595"/>
      <c r="J595"/>
      <c r="K595"/>
      <c r="L595"/>
    </row>
    <row r="596" spans="1:12" x14ac:dyDescent="0.25">
      <c r="A596"/>
      <c r="B596"/>
      <c r="C596"/>
      <c r="D596"/>
      <c r="E596"/>
      <c r="F596"/>
      <c r="G596"/>
      <c r="H596"/>
      <c r="I596"/>
      <c r="J596"/>
      <c r="K596"/>
      <c r="L596"/>
    </row>
    <row r="597" spans="1:12" x14ac:dyDescent="0.25">
      <c r="A597"/>
      <c r="B597"/>
      <c r="C597"/>
      <c r="D597"/>
      <c r="E597"/>
      <c r="F597"/>
      <c r="G597"/>
      <c r="H597"/>
      <c r="I597"/>
      <c r="J597"/>
      <c r="K597"/>
      <c r="L597"/>
    </row>
    <row r="598" spans="1:12" x14ac:dyDescent="0.25">
      <c r="A598"/>
      <c r="B598"/>
      <c r="C598"/>
      <c r="D598"/>
      <c r="E598"/>
      <c r="F598"/>
      <c r="G598"/>
      <c r="H598"/>
      <c r="I598"/>
      <c r="J598"/>
      <c r="K598"/>
      <c r="L598"/>
    </row>
    <row r="599" spans="1:12" x14ac:dyDescent="0.25">
      <c r="A599"/>
      <c r="B599"/>
      <c r="C599"/>
      <c r="D599"/>
      <c r="E599"/>
      <c r="F599"/>
      <c r="G599"/>
      <c r="H599"/>
      <c r="I599"/>
      <c r="J599"/>
      <c r="K599"/>
      <c r="L599"/>
    </row>
    <row r="600" spans="1:12" x14ac:dyDescent="0.25">
      <c r="A600"/>
      <c r="B600"/>
      <c r="C600"/>
      <c r="D600"/>
      <c r="E600"/>
      <c r="F600"/>
      <c r="G600"/>
      <c r="H600"/>
      <c r="I600"/>
      <c r="J600"/>
      <c r="K600"/>
      <c r="L600"/>
    </row>
    <row r="601" spans="1:12" x14ac:dyDescent="0.25">
      <c r="A601"/>
      <c r="B601"/>
      <c r="C601"/>
      <c r="D601"/>
      <c r="E601"/>
      <c r="F601"/>
      <c r="G601"/>
      <c r="H601"/>
      <c r="I601"/>
      <c r="J601"/>
      <c r="K601"/>
      <c r="L601"/>
    </row>
    <row r="602" spans="1:12" x14ac:dyDescent="0.25">
      <c r="A602"/>
      <c r="B602"/>
      <c r="C602"/>
      <c r="D602"/>
      <c r="E602"/>
      <c r="F602"/>
      <c r="G602"/>
      <c r="H602"/>
      <c r="I602"/>
      <c r="J602"/>
      <c r="K602"/>
      <c r="L602"/>
    </row>
    <row r="603" spans="1:12" x14ac:dyDescent="0.25">
      <c r="A603"/>
      <c r="B603"/>
      <c r="C603"/>
      <c r="D603"/>
      <c r="E603"/>
      <c r="F603"/>
      <c r="G603"/>
      <c r="H603"/>
      <c r="I603"/>
      <c r="J603"/>
      <c r="K603"/>
      <c r="L603"/>
    </row>
    <row r="604" spans="1:12" x14ac:dyDescent="0.25">
      <c r="A604"/>
      <c r="B604"/>
      <c r="C604"/>
      <c r="D604"/>
      <c r="E604"/>
      <c r="F604"/>
      <c r="G604"/>
      <c r="H604"/>
      <c r="I604"/>
      <c r="J604"/>
      <c r="K604"/>
      <c r="L604"/>
    </row>
    <row r="605" spans="1:12" x14ac:dyDescent="0.25">
      <c r="A605"/>
      <c r="B605"/>
      <c r="C605"/>
      <c r="D605"/>
      <c r="E605"/>
      <c r="F605"/>
      <c r="G605"/>
      <c r="H605"/>
      <c r="I605"/>
      <c r="J605"/>
      <c r="K605"/>
      <c r="L605"/>
    </row>
    <row r="606" spans="1:12" x14ac:dyDescent="0.25">
      <c r="A606"/>
      <c r="B606"/>
      <c r="C606"/>
      <c r="D606"/>
      <c r="E606"/>
      <c r="F606"/>
      <c r="G606"/>
      <c r="H606"/>
      <c r="I606"/>
      <c r="J606"/>
      <c r="K606"/>
      <c r="L606"/>
    </row>
    <row r="607" spans="1:12" x14ac:dyDescent="0.25">
      <c r="A607"/>
      <c r="B607"/>
      <c r="C607"/>
      <c r="D607"/>
      <c r="E607"/>
      <c r="F607"/>
      <c r="G607"/>
      <c r="H607"/>
      <c r="I607"/>
      <c r="J607"/>
      <c r="K607"/>
      <c r="L607"/>
    </row>
    <row r="608" spans="1:12" x14ac:dyDescent="0.25">
      <c r="A608"/>
      <c r="B608"/>
      <c r="C608"/>
      <c r="D608"/>
      <c r="E608"/>
      <c r="F608"/>
      <c r="G608"/>
      <c r="H608"/>
      <c r="I608"/>
      <c r="J608"/>
      <c r="K608"/>
      <c r="L608"/>
    </row>
    <row r="609" spans="1:12" x14ac:dyDescent="0.25">
      <c r="A609"/>
      <c r="B609"/>
      <c r="C609"/>
      <c r="D609"/>
      <c r="E609"/>
      <c r="F609"/>
      <c r="G609"/>
      <c r="H609"/>
      <c r="I609"/>
      <c r="J609"/>
      <c r="K609"/>
      <c r="L609"/>
    </row>
    <row r="610" spans="1:12" x14ac:dyDescent="0.25">
      <c r="A610"/>
      <c r="B610"/>
      <c r="C610"/>
      <c r="D610"/>
      <c r="E610"/>
      <c r="F610"/>
      <c r="G610"/>
      <c r="H610"/>
      <c r="I610"/>
      <c r="J610"/>
      <c r="K610"/>
      <c r="L610"/>
    </row>
    <row r="611" spans="1:12" x14ac:dyDescent="0.25">
      <c r="A611"/>
      <c r="B611"/>
      <c r="C611"/>
      <c r="D611"/>
      <c r="E611"/>
      <c r="F611"/>
      <c r="G611"/>
      <c r="H611"/>
      <c r="I611"/>
      <c r="J611"/>
      <c r="K611"/>
      <c r="L611"/>
    </row>
    <row r="612" spans="1:12" x14ac:dyDescent="0.25">
      <c r="A612"/>
      <c r="B612"/>
      <c r="C612"/>
      <c r="D612"/>
      <c r="E612"/>
      <c r="F612"/>
      <c r="G612"/>
      <c r="H612"/>
      <c r="I612"/>
      <c r="J612"/>
      <c r="K612"/>
      <c r="L612"/>
    </row>
    <row r="613" spans="1:12" x14ac:dyDescent="0.25">
      <c r="A613"/>
      <c r="B613"/>
      <c r="C613"/>
      <c r="D613"/>
      <c r="E613"/>
      <c r="F613"/>
      <c r="G613"/>
      <c r="H613"/>
      <c r="I613"/>
      <c r="J613"/>
      <c r="K613"/>
      <c r="L613"/>
    </row>
    <row r="614" spans="1:12" x14ac:dyDescent="0.25">
      <c r="A614"/>
      <c r="B614"/>
      <c r="C614"/>
      <c r="D614"/>
      <c r="E614"/>
      <c r="F614"/>
      <c r="G614"/>
      <c r="H614"/>
      <c r="I614"/>
      <c r="J614"/>
      <c r="K614"/>
      <c r="L614"/>
    </row>
    <row r="615" spans="1:12" x14ac:dyDescent="0.25">
      <c r="A615"/>
      <c r="B615"/>
      <c r="C615"/>
      <c r="D615"/>
      <c r="E615"/>
      <c r="F615"/>
      <c r="G615"/>
      <c r="H615"/>
      <c r="I615"/>
      <c r="J615"/>
      <c r="K615"/>
      <c r="L615"/>
    </row>
    <row r="616" spans="1:12" x14ac:dyDescent="0.25">
      <c r="A616"/>
      <c r="B616"/>
      <c r="C616"/>
      <c r="D616"/>
      <c r="E616"/>
      <c r="F616"/>
      <c r="G616"/>
      <c r="H616"/>
      <c r="I616"/>
      <c r="J616"/>
      <c r="K616"/>
      <c r="L616"/>
    </row>
    <row r="617" spans="1:12" x14ac:dyDescent="0.25">
      <c r="A617"/>
      <c r="B617"/>
      <c r="C617"/>
      <c r="D617"/>
      <c r="E617"/>
      <c r="F617"/>
      <c r="G617"/>
      <c r="H617"/>
      <c r="I617"/>
      <c r="J617"/>
      <c r="K617"/>
      <c r="L617"/>
    </row>
    <row r="618" spans="1:12" x14ac:dyDescent="0.25">
      <c r="A618"/>
      <c r="B618"/>
      <c r="C618"/>
      <c r="D618"/>
      <c r="E618"/>
      <c r="F618"/>
      <c r="G618"/>
      <c r="H618"/>
      <c r="I618"/>
      <c r="J618"/>
      <c r="K618"/>
      <c r="L618"/>
    </row>
    <row r="619" spans="1:12" x14ac:dyDescent="0.25">
      <c r="A619"/>
      <c r="B619"/>
      <c r="C619"/>
      <c r="D619"/>
      <c r="E619"/>
      <c r="F619"/>
      <c r="G619"/>
      <c r="H619"/>
      <c r="I619"/>
      <c r="J619"/>
      <c r="K619"/>
      <c r="L619"/>
    </row>
    <row r="620" spans="1:12" x14ac:dyDescent="0.25">
      <c r="A620"/>
      <c r="B620"/>
      <c r="C620"/>
      <c r="D620"/>
      <c r="E620"/>
      <c r="F620"/>
      <c r="G620"/>
      <c r="H620"/>
      <c r="I620"/>
      <c r="J620"/>
      <c r="K620"/>
      <c r="L620"/>
    </row>
    <row r="621" spans="1:12" x14ac:dyDescent="0.25">
      <c r="A621"/>
      <c r="B621"/>
      <c r="C621"/>
      <c r="D621"/>
      <c r="E621"/>
      <c r="F621"/>
      <c r="G621"/>
      <c r="H621"/>
      <c r="I621"/>
      <c r="J621"/>
      <c r="K621"/>
      <c r="L621"/>
    </row>
    <row r="622" spans="1:12" x14ac:dyDescent="0.25">
      <c r="A622"/>
      <c r="B622"/>
      <c r="C622"/>
      <c r="D622"/>
      <c r="E622"/>
      <c r="F622"/>
      <c r="G622"/>
      <c r="H622"/>
      <c r="I622"/>
      <c r="J622"/>
      <c r="K622"/>
      <c r="L622"/>
    </row>
    <row r="623" spans="1:12" x14ac:dyDescent="0.25">
      <c r="A623"/>
      <c r="B623"/>
      <c r="C623"/>
      <c r="D623"/>
      <c r="E623"/>
      <c r="F623"/>
      <c r="G623"/>
      <c r="H623"/>
      <c r="I623"/>
      <c r="J623"/>
      <c r="K623"/>
      <c r="L623"/>
    </row>
    <row r="624" spans="1:12" x14ac:dyDescent="0.25">
      <c r="A624"/>
      <c r="B624"/>
      <c r="C624"/>
      <c r="D624"/>
      <c r="E624"/>
      <c r="F624"/>
      <c r="G624"/>
      <c r="H624"/>
      <c r="I624"/>
      <c r="J624"/>
      <c r="K624"/>
      <c r="L624"/>
    </row>
    <row r="625" spans="1:12" x14ac:dyDescent="0.25">
      <c r="A625"/>
      <c r="B625"/>
      <c r="C625"/>
      <c r="D625"/>
      <c r="E625"/>
      <c r="F625"/>
      <c r="G625"/>
      <c r="H625"/>
      <c r="I625"/>
      <c r="J625"/>
      <c r="K625"/>
      <c r="L625"/>
    </row>
    <row r="626" spans="1:12" x14ac:dyDescent="0.25">
      <c r="A626"/>
      <c r="B626"/>
      <c r="C626"/>
      <c r="D626"/>
      <c r="E626"/>
      <c r="F626"/>
      <c r="G626"/>
      <c r="H626"/>
      <c r="I626"/>
      <c r="J626"/>
      <c r="K626"/>
      <c r="L626"/>
    </row>
    <row r="627" spans="1:12" x14ac:dyDescent="0.25">
      <c r="A627"/>
      <c r="B627"/>
      <c r="C627"/>
      <c r="D627"/>
      <c r="E627"/>
      <c r="F627"/>
      <c r="G627"/>
      <c r="H627"/>
      <c r="I627"/>
      <c r="J627"/>
      <c r="K627"/>
      <c r="L627"/>
    </row>
    <row r="628" spans="1:12" x14ac:dyDescent="0.25">
      <c r="A628"/>
      <c r="B628"/>
      <c r="C628"/>
      <c r="D628"/>
      <c r="E628"/>
      <c r="F628"/>
      <c r="G628"/>
      <c r="H628"/>
      <c r="I628"/>
      <c r="J628"/>
      <c r="K628"/>
      <c r="L628"/>
    </row>
    <row r="629" spans="1:12" x14ac:dyDescent="0.25">
      <c r="A629"/>
      <c r="B629"/>
      <c r="C629"/>
      <c r="D629"/>
      <c r="E629"/>
      <c r="F629"/>
      <c r="G629"/>
      <c r="H629"/>
      <c r="I629"/>
      <c r="J629"/>
      <c r="K629"/>
      <c r="L629"/>
    </row>
    <row r="630" spans="1:12" x14ac:dyDescent="0.25">
      <c r="A630"/>
      <c r="B630"/>
      <c r="C630"/>
      <c r="D630"/>
      <c r="E630"/>
      <c r="F630"/>
      <c r="G630"/>
      <c r="H630"/>
      <c r="I630"/>
      <c r="J630"/>
      <c r="K630"/>
      <c r="L630"/>
    </row>
    <row r="631" spans="1:12" x14ac:dyDescent="0.25">
      <c r="A631"/>
      <c r="B631"/>
      <c r="C631"/>
      <c r="D631"/>
      <c r="E631"/>
      <c r="F631"/>
      <c r="G631"/>
      <c r="H631"/>
      <c r="I631"/>
      <c r="J631"/>
      <c r="K631"/>
      <c r="L631"/>
    </row>
    <row r="632" spans="1:12" x14ac:dyDescent="0.25">
      <c r="A632"/>
      <c r="B632"/>
      <c r="C632"/>
      <c r="D632"/>
      <c r="E632"/>
      <c r="F632"/>
      <c r="G632"/>
      <c r="H632"/>
      <c r="I632"/>
      <c r="J632"/>
      <c r="K632"/>
      <c r="L632"/>
    </row>
    <row r="633" spans="1:12" x14ac:dyDescent="0.25">
      <c r="A633"/>
      <c r="B633"/>
      <c r="C633"/>
      <c r="D633"/>
      <c r="E633"/>
      <c r="F633"/>
      <c r="G633"/>
      <c r="H633"/>
      <c r="I633"/>
      <c r="J633"/>
      <c r="K633"/>
      <c r="L633"/>
    </row>
    <row r="634" spans="1:12" x14ac:dyDescent="0.25">
      <c r="A634"/>
      <c r="B634"/>
      <c r="C634"/>
      <c r="D634"/>
      <c r="E634"/>
      <c r="F634"/>
      <c r="G634"/>
      <c r="H634"/>
      <c r="I634"/>
      <c r="J634"/>
      <c r="K634"/>
      <c r="L634"/>
    </row>
    <row r="635" spans="1:12" x14ac:dyDescent="0.25">
      <c r="A635"/>
      <c r="B635"/>
      <c r="C635"/>
      <c r="D635"/>
      <c r="E635"/>
      <c r="F635"/>
      <c r="G635"/>
      <c r="H635"/>
      <c r="I635"/>
      <c r="J635"/>
      <c r="K635"/>
      <c r="L635"/>
    </row>
    <row r="636" spans="1:12" x14ac:dyDescent="0.25">
      <c r="A636"/>
      <c r="B636"/>
      <c r="C636"/>
      <c r="D636"/>
      <c r="E636"/>
      <c r="F636"/>
      <c r="G636"/>
      <c r="H636"/>
      <c r="I636"/>
      <c r="J636"/>
      <c r="K636"/>
      <c r="L636"/>
    </row>
    <row r="637" spans="1:12" x14ac:dyDescent="0.25">
      <c r="A637"/>
      <c r="B637"/>
      <c r="C637"/>
      <c r="D637"/>
      <c r="E637"/>
      <c r="F637"/>
      <c r="G637"/>
      <c r="H637"/>
      <c r="I637"/>
      <c r="J637"/>
      <c r="K637"/>
      <c r="L637"/>
    </row>
    <row r="638" spans="1:12" x14ac:dyDescent="0.25">
      <c r="A638"/>
      <c r="B638"/>
      <c r="C638"/>
      <c r="D638"/>
      <c r="E638"/>
      <c r="F638"/>
      <c r="G638"/>
      <c r="H638"/>
      <c r="I638"/>
      <c r="J638"/>
      <c r="K638"/>
      <c r="L638"/>
    </row>
    <row r="639" spans="1:12" x14ac:dyDescent="0.25">
      <c r="A639"/>
      <c r="B639"/>
      <c r="C639"/>
      <c r="D639"/>
      <c r="E639"/>
      <c r="F639"/>
      <c r="G639"/>
      <c r="H639"/>
      <c r="I639"/>
      <c r="J639"/>
      <c r="K639"/>
      <c r="L639"/>
    </row>
    <row r="640" spans="1:12" x14ac:dyDescent="0.25">
      <c r="A640"/>
      <c r="B640"/>
      <c r="C640"/>
      <c r="D640"/>
      <c r="E640"/>
      <c r="F640"/>
      <c r="G640"/>
      <c r="H640"/>
      <c r="I640"/>
      <c r="J640"/>
      <c r="K640"/>
      <c r="L640"/>
    </row>
    <row r="641" spans="1:12" x14ac:dyDescent="0.25">
      <c r="A641"/>
      <c r="B641"/>
      <c r="C641"/>
      <c r="D641"/>
      <c r="E641"/>
      <c r="F641"/>
      <c r="G641"/>
      <c r="H641"/>
      <c r="I641"/>
      <c r="J641"/>
      <c r="K641"/>
      <c r="L641"/>
    </row>
    <row r="642" spans="1:12" x14ac:dyDescent="0.25">
      <c r="A642"/>
      <c r="B642"/>
      <c r="C642"/>
      <c r="D642"/>
      <c r="E642"/>
      <c r="F642"/>
      <c r="G642"/>
      <c r="H642"/>
      <c r="I642"/>
      <c r="J642"/>
      <c r="K642"/>
      <c r="L642"/>
    </row>
    <row r="643" spans="1:12" x14ac:dyDescent="0.25">
      <c r="A643"/>
      <c r="B643"/>
      <c r="C643"/>
      <c r="D643"/>
      <c r="E643"/>
      <c r="F643"/>
      <c r="G643"/>
      <c r="H643"/>
      <c r="I643"/>
      <c r="J643"/>
      <c r="K643"/>
      <c r="L643"/>
    </row>
    <row r="644" spans="1:12" x14ac:dyDescent="0.25">
      <c r="A644"/>
      <c r="B644"/>
      <c r="C644"/>
      <c r="D644"/>
      <c r="E644"/>
      <c r="F644"/>
      <c r="G644"/>
      <c r="H644"/>
      <c r="I644"/>
      <c r="J644"/>
      <c r="K644"/>
      <c r="L644"/>
    </row>
    <row r="645" spans="1:12" x14ac:dyDescent="0.25">
      <c r="A645"/>
      <c r="B645"/>
      <c r="C645"/>
      <c r="D645"/>
      <c r="E645"/>
      <c r="F645"/>
      <c r="G645"/>
      <c r="H645"/>
      <c r="I645"/>
      <c r="J645"/>
      <c r="K645"/>
      <c r="L645"/>
    </row>
    <row r="646" spans="1:12" x14ac:dyDescent="0.25">
      <c r="A646"/>
      <c r="B646"/>
      <c r="C646"/>
      <c r="D646"/>
      <c r="E646"/>
      <c r="F646"/>
      <c r="G646"/>
      <c r="H646"/>
      <c r="I646"/>
      <c r="J646"/>
      <c r="K646"/>
      <c r="L646"/>
    </row>
    <row r="647" spans="1:12" x14ac:dyDescent="0.25">
      <c r="A647"/>
      <c r="B647"/>
      <c r="C647"/>
      <c r="D647"/>
      <c r="E647"/>
      <c r="F647"/>
      <c r="G647"/>
      <c r="H647"/>
      <c r="I647"/>
      <c r="J647"/>
      <c r="K647"/>
      <c r="L647"/>
    </row>
    <row r="648" spans="1:12" x14ac:dyDescent="0.25">
      <c r="A648"/>
      <c r="B648"/>
      <c r="C648"/>
      <c r="D648"/>
      <c r="E648"/>
      <c r="F648"/>
      <c r="G648"/>
      <c r="H648"/>
      <c r="I648"/>
      <c r="J648"/>
      <c r="K648"/>
      <c r="L648"/>
    </row>
    <row r="649" spans="1:12" x14ac:dyDescent="0.25">
      <c r="A649"/>
      <c r="B649"/>
      <c r="C649"/>
      <c r="D649"/>
      <c r="E649"/>
      <c r="F649"/>
      <c r="G649"/>
      <c r="H649"/>
      <c r="I649"/>
      <c r="J649"/>
      <c r="K649"/>
      <c r="L649"/>
    </row>
    <row r="650" spans="1:12" x14ac:dyDescent="0.25">
      <c r="A650"/>
      <c r="B650"/>
      <c r="C650"/>
      <c r="D650"/>
      <c r="E650"/>
      <c r="F650"/>
      <c r="G650"/>
      <c r="H650"/>
      <c r="I650"/>
      <c r="J650"/>
      <c r="K650"/>
      <c r="L650"/>
    </row>
    <row r="651" spans="1:12" x14ac:dyDescent="0.25">
      <c r="A651"/>
      <c r="B651"/>
      <c r="C651"/>
      <c r="D651"/>
      <c r="E651"/>
      <c r="F651"/>
      <c r="G651"/>
      <c r="H651"/>
      <c r="I651"/>
      <c r="J651"/>
      <c r="K651"/>
      <c r="L651"/>
    </row>
    <row r="652" spans="1:12" x14ac:dyDescent="0.25">
      <c r="A652"/>
      <c r="B652"/>
      <c r="C652"/>
      <c r="D652"/>
      <c r="E652"/>
      <c r="F652"/>
      <c r="G652"/>
      <c r="H652"/>
      <c r="I652"/>
      <c r="J652"/>
      <c r="K652"/>
      <c r="L652"/>
    </row>
    <row r="653" spans="1:12" x14ac:dyDescent="0.25">
      <c r="A653"/>
      <c r="B653"/>
      <c r="C653"/>
      <c r="D653"/>
      <c r="E653"/>
      <c r="F653"/>
      <c r="G653"/>
      <c r="H653"/>
      <c r="I653"/>
      <c r="J653"/>
      <c r="K653"/>
      <c r="L653"/>
    </row>
    <row r="654" spans="1:12" x14ac:dyDescent="0.25">
      <c r="A654"/>
      <c r="B654"/>
      <c r="C654"/>
      <c r="D654"/>
      <c r="E654"/>
      <c r="F654"/>
      <c r="G654"/>
      <c r="H654"/>
      <c r="I654"/>
      <c r="J654"/>
      <c r="K654"/>
      <c r="L654"/>
    </row>
    <row r="655" spans="1:12" x14ac:dyDescent="0.25">
      <c r="A655"/>
      <c r="B655"/>
      <c r="C655"/>
      <c r="D655"/>
      <c r="E655"/>
      <c r="F655"/>
      <c r="G655"/>
      <c r="H655"/>
      <c r="I655"/>
      <c r="J655"/>
      <c r="K655"/>
      <c r="L655"/>
    </row>
    <row r="656" spans="1:12" x14ac:dyDescent="0.25">
      <c r="A656"/>
      <c r="B656"/>
      <c r="C656"/>
      <c r="D656"/>
      <c r="E656"/>
      <c r="F656"/>
      <c r="G656"/>
      <c r="H656"/>
      <c r="I656"/>
      <c r="J656"/>
      <c r="K656"/>
      <c r="L656"/>
    </row>
    <row r="657" spans="1:12" x14ac:dyDescent="0.25">
      <c r="A657"/>
      <c r="B657"/>
      <c r="C657"/>
      <c r="D657"/>
      <c r="E657"/>
      <c r="F657"/>
      <c r="G657"/>
      <c r="H657"/>
      <c r="I657"/>
      <c r="J657"/>
      <c r="K657"/>
      <c r="L657"/>
    </row>
    <row r="658" spans="1:12" x14ac:dyDescent="0.25">
      <c r="A658"/>
      <c r="B658"/>
      <c r="C658"/>
      <c r="D658"/>
      <c r="E658"/>
      <c r="F658"/>
      <c r="G658"/>
      <c r="H658"/>
      <c r="I658"/>
      <c r="J658"/>
      <c r="K658"/>
      <c r="L658"/>
    </row>
    <row r="659" spans="1:12" x14ac:dyDescent="0.25">
      <c r="A659"/>
      <c r="B659"/>
      <c r="C659"/>
      <c r="D659"/>
      <c r="E659"/>
      <c r="F659"/>
      <c r="G659"/>
      <c r="H659"/>
      <c r="I659"/>
      <c r="J659"/>
      <c r="K659"/>
      <c r="L659"/>
    </row>
    <row r="660" spans="1:12" x14ac:dyDescent="0.25">
      <c r="A660"/>
      <c r="B660"/>
      <c r="C660"/>
      <c r="D660"/>
      <c r="E660"/>
      <c r="F660"/>
      <c r="G660"/>
      <c r="H660"/>
      <c r="I660"/>
      <c r="J660"/>
      <c r="K660"/>
      <c r="L660"/>
    </row>
    <row r="661" spans="1:12" x14ac:dyDescent="0.25">
      <c r="A661"/>
      <c r="B661"/>
      <c r="C661"/>
      <c r="D661"/>
      <c r="E661"/>
      <c r="F661"/>
      <c r="G661"/>
      <c r="H661"/>
      <c r="I661"/>
      <c r="J661"/>
      <c r="K661"/>
      <c r="L661"/>
    </row>
    <row r="662" spans="1:12" x14ac:dyDescent="0.25">
      <c r="A662"/>
      <c r="B662"/>
      <c r="C662"/>
      <c r="D662"/>
      <c r="E662"/>
      <c r="F662"/>
      <c r="G662"/>
      <c r="H662"/>
      <c r="I662"/>
      <c r="J662"/>
      <c r="K662"/>
      <c r="L662"/>
    </row>
    <row r="663" spans="1:12" x14ac:dyDescent="0.25">
      <c r="A663"/>
      <c r="B663"/>
      <c r="C663"/>
      <c r="D663"/>
      <c r="E663"/>
      <c r="F663"/>
      <c r="G663"/>
      <c r="H663"/>
      <c r="I663"/>
      <c r="J663"/>
      <c r="K663"/>
      <c r="L663"/>
    </row>
    <row r="664" spans="1:12" x14ac:dyDescent="0.25">
      <c r="A664"/>
      <c r="B664"/>
      <c r="C664"/>
      <c r="D664"/>
      <c r="E664"/>
      <c r="F664"/>
      <c r="G664"/>
      <c r="H664"/>
      <c r="I664"/>
      <c r="J664"/>
      <c r="K664"/>
      <c r="L664"/>
    </row>
    <row r="665" spans="1:12" x14ac:dyDescent="0.25">
      <c r="A665"/>
      <c r="B665"/>
      <c r="C665"/>
      <c r="D665"/>
      <c r="E665"/>
      <c r="F665"/>
      <c r="G665"/>
      <c r="H665"/>
      <c r="I665"/>
      <c r="J665"/>
      <c r="K665"/>
      <c r="L665"/>
    </row>
    <row r="666" spans="1:12" x14ac:dyDescent="0.25">
      <c r="A666"/>
      <c r="B666"/>
      <c r="C666"/>
      <c r="D666"/>
      <c r="E666"/>
      <c r="F666"/>
      <c r="G666"/>
      <c r="H666"/>
      <c r="I666"/>
      <c r="J666"/>
      <c r="K666"/>
      <c r="L666"/>
    </row>
    <row r="667" spans="1:12" x14ac:dyDescent="0.25">
      <c r="A667"/>
      <c r="B667"/>
      <c r="C667"/>
      <c r="D667"/>
      <c r="E667"/>
      <c r="F667"/>
      <c r="G667"/>
      <c r="H667"/>
      <c r="I667"/>
      <c r="J667"/>
      <c r="K667"/>
      <c r="L667"/>
    </row>
    <row r="668" spans="1:12" x14ac:dyDescent="0.25">
      <c r="A668"/>
      <c r="B668"/>
      <c r="C668"/>
      <c r="D668"/>
      <c r="E668"/>
      <c r="F668"/>
      <c r="G668"/>
      <c r="H668"/>
      <c r="I668"/>
      <c r="J668"/>
      <c r="K668"/>
      <c r="L668"/>
    </row>
    <row r="669" spans="1:12" x14ac:dyDescent="0.25">
      <c r="A669"/>
      <c r="B669"/>
      <c r="C669"/>
      <c r="D669"/>
      <c r="E669"/>
      <c r="F669"/>
      <c r="G669"/>
      <c r="H669"/>
      <c r="I669"/>
      <c r="J669"/>
      <c r="K669"/>
      <c r="L669"/>
    </row>
    <row r="670" spans="1:12" x14ac:dyDescent="0.25">
      <c r="A670"/>
      <c r="B670"/>
      <c r="C670"/>
      <c r="D670"/>
      <c r="E670"/>
      <c r="F670"/>
      <c r="G670"/>
      <c r="H670"/>
      <c r="I670"/>
      <c r="J670"/>
      <c r="K670"/>
      <c r="L670"/>
    </row>
    <row r="671" spans="1:12" x14ac:dyDescent="0.25">
      <c r="A671"/>
      <c r="B671"/>
      <c r="C671"/>
      <c r="D671"/>
      <c r="E671"/>
      <c r="F671"/>
      <c r="G671"/>
      <c r="H671"/>
      <c r="I671"/>
      <c r="J671"/>
      <c r="K671"/>
      <c r="L671"/>
    </row>
    <row r="672" spans="1:12" x14ac:dyDescent="0.25">
      <c r="A672"/>
      <c r="B672"/>
      <c r="C672"/>
      <c r="D672"/>
      <c r="E672"/>
      <c r="F672"/>
      <c r="G672"/>
      <c r="H672"/>
      <c r="I672"/>
      <c r="J672"/>
      <c r="K672"/>
      <c r="L672"/>
    </row>
    <row r="673" spans="1:12" x14ac:dyDescent="0.25">
      <c r="A673"/>
      <c r="B673"/>
      <c r="C673"/>
      <c r="D673"/>
      <c r="E673"/>
      <c r="F673"/>
      <c r="G673"/>
      <c r="H673"/>
      <c r="I673"/>
      <c r="J673"/>
      <c r="K673"/>
      <c r="L673"/>
    </row>
    <row r="674" spans="1:12" x14ac:dyDescent="0.25">
      <c r="A674"/>
      <c r="B674"/>
      <c r="C674"/>
      <c r="D674"/>
      <c r="E674"/>
      <c r="F674"/>
      <c r="G674"/>
      <c r="H674"/>
      <c r="I674"/>
      <c r="J674"/>
      <c r="K674"/>
      <c r="L674"/>
    </row>
    <row r="675" spans="1:12" x14ac:dyDescent="0.25">
      <c r="A675"/>
      <c r="B675"/>
      <c r="C675"/>
      <c r="D675"/>
      <c r="E675"/>
      <c r="F675"/>
      <c r="G675"/>
      <c r="H675"/>
      <c r="I675"/>
      <c r="J675"/>
      <c r="K675"/>
      <c r="L675"/>
    </row>
    <row r="676" spans="1:12" x14ac:dyDescent="0.25">
      <c r="A676"/>
      <c r="B676"/>
      <c r="C676"/>
      <c r="D676"/>
      <c r="E676"/>
      <c r="F676"/>
      <c r="G676"/>
      <c r="H676"/>
      <c r="I676"/>
      <c r="J676"/>
      <c r="K676"/>
      <c r="L676"/>
    </row>
    <row r="677" spans="1:12" x14ac:dyDescent="0.25">
      <c r="A677"/>
      <c r="B677"/>
      <c r="C677"/>
      <c r="D677"/>
      <c r="E677"/>
      <c r="F677"/>
      <c r="G677"/>
      <c r="H677"/>
      <c r="I677"/>
      <c r="J677"/>
      <c r="K677"/>
      <c r="L677"/>
    </row>
    <row r="678" spans="1:12" x14ac:dyDescent="0.25">
      <c r="A678"/>
      <c r="B678"/>
      <c r="C678"/>
      <c r="D678"/>
      <c r="E678"/>
      <c r="F678"/>
      <c r="G678"/>
      <c r="H678"/>
      <c r="I678"/>
      <c r="J678"/>
      <c r="K678"/>
      <c r="L678"/>
    </row>
    <row r="679" spans="1:12" x14ac:dyDescent="0.25">
      <c r="A679"/>
      <c r="B679"/>
      <c r="C679"/>
      <c r="D679"/>
      <c r="E679"/>
      <c r="F679"/>
      <c r="G679"/>
      <c r="H679"/>
      <c r="I679"/>
      <c r="J679"/>
      <c r="K679"/>
      <c r="L679"/>
    </row>
    <row r="680" spans="1:12" x14ac:dyDescent="0.25">
      <c r="A680"/>
      <c r="B680"/>
      <c r="C680"/>
      <c r="D680"/>
      <c r="E680"/>
      <c r="F680"/>
      <c r="G680"/>
      <c r="H680"/>
      <c r="I680"/>
      <c r="J680"/>
      <c r="K680"/>
      <c r="L680"/>
    </row>
    <row r="681" spans="1:12" x14ac:dyDescent="0.25">
      <c r="A681"/>
      <c r="B681"/>
      <c r="C681"/>
      <c r="D681"/>
      <c r="E681"/>
      <c r="F681"/>
      <c r="G681"/>
      <c r="H681"/>
      <c r="I681"/>
      <c r="J681"/>
      <c r="K681"/>
      <c r="L681"/>
    </row>
    <row r="682" spans="1:12" x14ac:dyDescent="0.25">
      <c r="A682"/>
      <c r="B682"/>
      <c r="C682"/>
      <c r="D682"/>
      <c r="E682"/>
      <c r="F682"/>
      <c r="G682"/>
      <c r="H682"/>
      <c r="I682"/>
      <c r="J682"/>
      <c r="K682"/>
      <c r="L682"/>
    </row>
    <row r="683" spans="1:12" x14ac:dyDescent="0.25">
      <c r="A683"/>
      <c r="B683"/>
      <c r="C683"/>
      <c r="D683"/>
      <c r="E683"/>
      <c r="F683"/>
      <c r="G683"/>
      <c r="H683"/>
      <c r="I683"/>
      <c r="J683"/>
      <c r="K683"/>
      <c r="L683"/>
    </row>
    <row r="684" spans="1:12" x14ac:dyDescent="0.25">
      <c r="A684"/>
      <c r="B684"/>
      <c r="C684"/>
      <c r="D684"/>
      <c r="E684"/>
      <c r="F684"/>
      <c r="G684"/>
      <c r="H684"/>
      <c r="I684"/>
      <c r="J684"/>
      <c r="K684"/>
      <c r="L684"/>
    </row>
    <row r="685" spans="1:12" x14ac:dyDescent="0.25">
      <c r="A685"/>
      <c r="B685"/>
      <c r="C685"/>
      <c r="D685"/>
      <c r="E685"/>
      <c r="F685"/>
      <c r="G685"/>
      <c r="H685"/>
      <c r="I685"/>
      <c r="J685"/>
      <c r="K685"/>
      <c r="L685"/>
    </row>
    <row r="686" spans="1:12" x14ac:dyDescent="0.25">
      <c r="A686"/>
      <c r="B686"/>
      <c r="C686"/>
      <c r="D686"/>
      <c r="E686"/>
      <c r="F686"/>
      <c r="G686"/>
      <c r="H686"/>
      <c r="I686"/>
      <c r="J686"/>
      <c r="K686"/>
      <c r="L686"/>
    </row>
    <row r="687" spans="1:12" x14ac:dyDescent="0.25">
      <c r="A687"/>
      <c r="B687"/>
      <c r="C687"/>
      <c r="D687"/>
      <c r="E687"/>
      <c r="F687"/>
      <c r="G687"/>
      <c r="H687"/>
      <c r="I687"/>
      <c r="J687"/>
      <c r="K687"/>
      <c r="L687"/>
    </row>
    <row r="688" spans="1:12" x14ac:dyDescent="0.25">
      <c r="A688"/>
      <c r="B688"/>
      <c r="C688"/>
      <c r="D688"/>
      <c r="E688"/>
      <c r="F688"/>
      <c r="G688"/>
      <c r="H688"/>
      <c r="I688"/>
      <c r="J688"/>
      <c r="K688"/>
      <c r="L688"/>
    </row>
    <row r="689" spans="1:12" x14ac:dyDescent="0.25">
      <c r="A689"/>
      <c r="B689"/>
      <c r="C689"/>
      <c r="D689"/>
      <c r="E689"/>
      <c r="F689"/>
      <c r="G689"/>
      <c r="H689"/>
      <c r="I689"/>
      <c r="J689"/>
      <c r="K689"/>
      <c r="L689"/>
    </row>
    <row r="690" spans="1:12" x14ac:dyDescent="0.25">
      <c r="A690"/>
      <c r="B690"/>
      <c r="C690"/>
      <c r="D690"/>
      <c r="E690"/>
      <c r="F690"/>
      <c r="G690"/>
      <c r="H690"/>
      <c r="I690"/>
      <c r="J690"/>
      <c r="K690"/>
      <c r="L690"/>
    </row>
    <row r="691" spans="1:12" x14ac:dyDescent="0.25">
      <c r="A691"/>
      <c r="B691"/>
      <c r="C691"/>
      <c r="D691"/>
      <c r="E691"/>
      <c r="F691"/>
      <c r="G691"/>
      <c r="H691"/>
      <c r="I691"/>
      <c r="J691"/>
      <c r="K691"/>
      <c r="L691"/>
    </row>
    <row r="692" spans="1:12" x14ac:dyDescent="0.25">
      <c r="A692"/>
      <c r="B692"/>
      <c r="C692"/>
      <c r="D692"/>
      <c r="E692"/>
      <c r="F692"/>
      <c r="G692"/>
      <c r="H692"/>
      <c r="I692"/>
      <c r="J692"/>
      <c r="K692"/>
      <c r="L692"/>
    </row>
    <row r="693" spans="1:12" x14ac:dyDescent="0.25">
      <c r="A693"/>
      <c r="B693"/>
      <c r="C693"/>
      <c r="D693"/>
      <c r="E693"/>
      <c r="F693"/>
      <c r="G693"/>
      <c r="H693"/>
      <c r="I693"/>
      <c r="J693"/>
      <c r="K693"/>
      <c r="L693"/>
    </row>
    <row r="694" spans="1:12" x14ac:dyDescent="0.25">
      <c r="A694"/>
      <c r="B694"/>
      <c r="C694"/>
      <c r="D694"/>
      <c r="E694"/>
      <c r="F694"/>
      <c r="G694"/>
      <c r="H694"/>
      <c r="I694"/>
      <c r="J694"/>
      <c r="K694"/>
      <c r="L694"/>
    </row>
    <row r="695" spans="1:12" x14ac:dyDescent="0.25">
      <c r="A695"/>
      <c r="B695"/>
      <c r="C695"/>
      <c r="D695"/>
      <c r="E695"/>
      <c r="F695"/>
      <c r="G695"/>
      <c r="H695"/>
      <c r="I695"/>
      <c r="J695"/>
      <c r="K695"/>
      <c r="L695"/>
    </row>
    <row r="696" spans="1:12" x14ac:dyDescent="0.25">
      <c r="A696"/>
      <c r="B696"/>
      <c r="C696"/>
      <c r="D696"/>
      <c r="E696"/>
      <c r="F696"/>
      <c r="G696"/>
      <c r="H696"/>
      <c r="I696"/>
      <c r="J696"/>
      <c r="K696"/>
      <c r="L696"/>
    </row>
    <row r="697" spans="1:12" x14ac:dyDescent="0.25">
      <c r="A697"/>
      <c r="B697"/>
      <c r="C697"/>
      <c r="D697"/>
      <c r="E697"/>
      <c r="F697"/>
      <c r="G697"/>
      <c r="H697"/>
      <c r="I697"/>
      <c r="J697"/>
      <c r="K697"/>
      <c r="L697"/>
    </row>
    <row r="698" spans="1:12" x14ac:dyDescent="0.25">
      <c r="A698"/>
      <c r="B698"/>
      <c r="C698"/>
      <c r="D698"/>
      <c r="E698"/>
      <c r="F698"/>
      <c r="G698"/>
      <c r="H698"/>
      <c r="I698"/>
      <c r="J698"/>
      <c r="K698"/>
      <c r="L698"/>
    </row>
    <row r="699" spans="1:12" x14ac:dyDescent="0.25">
      <c r="A699"/>
      <c r="B699"/>
      <c r="C699"/>
      <c r="D699"/>
      <c r="E699"/>
      <c r="F699"/>
      <c r="G699"/>
      <c r="H699"/>
      <c r="I699"/>
      <c r="J699"/>
      <c r="K699"/>
      <c r="L699"/>
    </row>
    <row r="700" spans="1:12" x14ac:dyDescent="0.25">
      <c r="A700"/>
      <c r="B700"/>
      <c r="C700"/>
      <c r="D700"/>
      <c r="E700"/>
      <c r="F700"/>
      <c r="G700"/>
      <c r="H700"/>
      <c r="I700"/>
      <c r="J700"/>
      <c r="K700"/>
      <c r="L700"/>
    </row>
    <row r="701" spans="1:12" x14ac:dyDescent="0.25">
      <c r="A701"/>
      <c r="B701"/>
      <c r="C701"/>
      <c r="D701"/>
      <c r="E701"/>
      <c r="F701"/>
      <c r="G701"/>
      <c r="H701"/>
      <c r="I701"/>
      <c r="J701"/>
      <c r="K701"/>
      <c r="L701"/>
    </row>
    <row r="702" spans="1:12" x14ac:dyDescent="0.25">
      <c r="A702"/>
      <c r="B702"/>
      <c r="C702"/>
      <c r="D702"/>
      <c r="E702"/>
      <c r="F702"/>
      <c r="G702"/>
      <c r="H702"/>
      <c r="I702"/>
      <c r="J702"/>
      <c r="K702"/>
      <c r="L702"/>
    </row>
    <row r="703" spans="1:12" x14ac:dyDescent="0.25">
      <c r="A703"/>
      <c r="B703"/>
      <c r="C703"/>
      <c r="D703"/>
      <c r="E703"/>
      <c r="F703"/>
      <c r="G703"/>
      <c r="H703"/>
      <c r="I703"/>
      <c r="J703"/>
      <c r="K703"/>
      <c r="L703"/>
    </row>
    <row r="704" spans="1:12" x14ac:dyDescent="0.25">
      <c r="A704"/>
      <c r="B704"/>
      <c r="C704"/>
      <c r="D704"/>
      <c r="E704"/>
      <c r="F704"/>
      <c r="G704"/>
      <c r="H704"/>
      <c r="I704"/>
      <c r="J704"/>
      <c r="K704"/>
      <c r="L704"/>
    </row>
    <row r="705" spans="1:12" x14ac:dyDescent="0.25">
      <c r="A705"/>
      <c r="B705"/>
      <c r="C705"/>
      <c r="D705"/>
      <c r="E705"/>
      <c r="F705"/>
      <c r="G705"/>
      <c r="H705"/>
      <c r="I705"/>
      <c r="J705"/>
      <c r="K705"/>
      <c r="L705"/>
    </row>
    <row r="706" spans="1:12" x14ac:dyDescent="0.25">
      <c r="A706"/>
      <c r="B706"/>
      <c r="C706"/>
      <c r="D706"/>
      <c r="E706"/>
      <c r="F706"/>
      <c r="G706"/>
      <c r="H706"/>
      <c r="I706"/>
      <c r="J706"/>
      <c r="K706"/>
      <c r="L706"/>
    </row>
    <row r="707" spans="1:12" x14ac:dyDescent="0.25">
      <c r="A707"/>
      <c r="B707"/>
      <c r="C707"/>
      <c r="D707"/>
      <c r="E707"/>
      <c r="F707"/>
      <c r="G707"/>
      <c r="H707"/>
      <c r="I707"/>
      <c r="J707"/>
      <c r="K707"/>
      <c r="L707"/>
    </row>
    <row r="708" spans="1:12" x14ac:dyDescent="0.25">
      <c r="A708"/>
      <c r="B708"/>
      <c r="C708"/>
      <c r="D708"/>
      <c r="E708"/>
      <c r="F708"/>
      <c r="G708"/>
      <c r="H708"/>
      <c r="I708"/>
      <c r="J708"/>
      <c r="K708"/>
      <c r="L708"/>
    </row>
    <row r="709" spans="1:12" x14ac:dyDescent="0.25">
      <c r="A709"/>
      <c r="B709"/>
      <c r="C709"/>
      <c r="D709"/>
      <c r="E709"/>
      <c r="F709"/>
      <c r="G709"/>
      <c r="H709"/>
      <c r="I709"/>
      <c r="J709"/>
      <c r="K709"/>
      <c r="L709"/>
    </row>
    <row r="710" spans="1:12" x14ac:dyDescent="0.25">
      <c r="A710"/>
      <c r="B710"/>
      <c r="C710"/>
      <c r="D710"/>
      <c r="E710"/>
      <c r="F710"/>
      <c r="G710"/>
      <c r="H710"/>
      <c r="I710"/>
      <c r="J710"/>
      <c r="K710"/>
      <c r="L710"/>
    </row>
    <row r="711" spans="1:12" x14ac:dyDescent="0.25">
      <c r="A711"/>
      <c r="B711"/>
      <c r="C711"/>
      <c r="D711"/>
      <c r="E711"/>
      <c r="F711"/>
      <c r="G711"/>
      <c r="H711"/>
      <c r="I711"/>
      <c r="J711"/>
      <c r="K711"/>
      <c r="L711"/>
    </row>
    <row r="712" spans="1:12" x14ac:dyDescent="0.25">
      <c r="A712"/>
      <c r="B712"/>
      <c r="C712"/>
      <c r="D712"/>
      <c r="E712"/>
      <c r="F712"/>
      <c r="G712"/>
      <c r="H712"/>
      <c r="I712"/>
      <c r="J712"/>
      <c r="K712"/>
      <c r="L712"/>
    </row>
    <row r="713" spans="1:12" x14ac:dyDescent="0.25">
      <c r="A713"/>
      <c r="B713"/>
      <c r="C713"/>
      <c r="D713"/>
      <c r="E713"/>
      <c r="F713"/>
      <c r="G713"/>
      <c r="H713"/>
      <c r="I713"/>
      <c r="J713"/>
      <c r="K713"/>
      <c r="L713"/>
    </row>
    <row r="714" spans="1:12" x14ac:dyDescent="0.25">
      <c r="A714"/>
      <c r="B714"/>
      <c r="C714"/>
      <c r="D714"/>
      <c r="E714"/>
      <c r="F714"/>
      <c r="G714"/>
      <c r="H714"/>
      <c r="I714"/>
      <c r="J714"/>
      <c r="K714"/>
      <c r="L714"/>
    </row>
    <row r="715" spans="1:12" x14ac:dyDescent="0.25">
      <c r="A715"/>
      <c r="B715"/>
      <c r="C715"/>
      <c r="D715"/>
      <c r="E715"/>
      <c r="F715"/>
      <c r="G715"/>
      <c r="H715"/>
      <c r="I715"/>
      <c r="J715"/>
      <c r="K715"/>
      <c r="L715"/>
    </row>
    <row r="716" spans="1:12" x14ac:dyDescent="0.25">
      <c r="A716"/>
      <c r="B716"/>
      <c r="C716"/>
      <c r="D716"/>
      <c r="E716"/>
      <c r="F716"/>
      <c r="G716"/>
      <c r="H716"/>
      <c r="I716"/>
      <c r="J716"/>
      <c r="K716"/>
      <c r="L716"/>
    </row>
    <row r="717" spans="1:12" x14ac:dyDescent="0.25">
      <c r="A717"/>
      <c r="B717"/>
      <c r="C717"/>
      <c r="D717"/>
      <c r="E717"/>
      <c r="F717"/>
      <c r="G717"/>
      <c r="H717"/>
      <c r="I717"/>
      <c r="J717"/>
      <c r="K717"/>
      <c r="L717"/>
    </row>
    <row r="718" spans="1:12" x14ac:dyDescent="0.25">
      <c r="A718"/>
      <c r="B718"/>
      <c r="C718"/>
      <c r="D718"/>
      <c r="E718"/>
      <c r="F718"/>
      <c r="G718"/>
      <c r="H718"/>
      <c r="I718"/>
      <c r="J718"/>
      <c r="K718"/>
      <c r="L718"/>
    </row>
    <row r="719" spans="1:12" x14ac:dyDescent="0.25">
      <c r="A719"/>
      <c r="B719"/>
      <c r="C719"/>
      <c r="D719"/>
      <c r="E719"/>
      <c r="F719"/>
      <c r="G719"/>
      <c r="H719"/>
      <c r="I719"/>
      <c r="J719"/>
      <c r="K719"/>
      <c r="L719"/>
    </row>
    <row r="720" spans="1:12" x14ac:dyDescent="0.25">
      <c r="A720"/>
      <c r="B720"/>
      <c r="C720"/>
      <c r="D720"/>
      <c r="E720"/>
      <c r="F720"/>
      <c r="G720"/>
      <c r="H720"/>
      <c r="I720"/>
      <c r="J720"/>
      <c r="K720"/>
      <c r="L720"/>
    </row>
    <row r="721" spans="1:12" x14ac:dyDescent="0.25">
      <c r="A721"/>
      <c r="B721"/>
      <c r="C721"/>
      <c r="D721"/>
      <c r="E721"/>
      <c r="F721"/>
      <c r="G721"/>
      <c r="H721"/>
      <c r="I721"/>
      <c r="J721"/>
      <c r="K721"/>
      <c r="L721"/>
    </row>
    <row r="722" spans="1:12" x14ac:dyDescent="0.25">
      <c r="A722"/>
      <c r="B722"/>
      <c r="C722"/>
      <c r="D722"/>
      <c r="E722"/>
      <c r="F722"/>
      <c r="G722"/>
      <c r="H722"/>
      <c r="I722"/>
      <c r="J722"/>
      <c r="K722"/>
      <c r="L722"/>
    </row>
    <row r="723" spans="1:12" x14ac:dyDescent="0.25">
      <c r="A723"/>
      <c r="B723"/>
      <c r="C723"/>
      <c r="D723"/>
      <c r="E723"/>
      <c r="F723"/>
      <c r="G723"/>
      <c r="H723"/>
      <c r="I723"/>
      <c r="J723"/>
      <c r="K723"/>
      <c r="L723"/>
    </row>
    <row r="724" spans="1:12" x14ac:dyDescent="0.25">
      <c r="A724"/>
      <c r="B724"/>
      <c r="C724"/>
      <c r="D724"/>
      <c r="E724"/>
      <c r="F724"/>
      <c r="G724"/>
      <c r="H724"/>
      <c r="I724"/>
      <c r="J724"/>
      <c r="K724"/>
      <c r="L724"/>
    </row>
    <row r="725" spans="1:12" x14ac:dyDescent="0.25">
      <c r="A725"/>
      <c r="B725"/>
      <c r="C725"/>
      <c r="D725"/>
      <c r="E725"/>
      <c r="F725"/>
      <c r="G725"/>
      <c r="H725"/>
      <c r="I725"/>
      <c r="J725"/>
      <c r="K725"/>
      <c r="L725"/>
    </row>
    <row r="726" spans="1:12" x14ac:dyDescent="0.25">
      <c r="A726"/>
      <c r="B726"/>
      <c r="C726"/>
      <c r="D726"/>
      <c r="E726"/>
      <c r="F726"/>
      <c r="G726"/>
      <c r="H726"/>
      <c r="I726"/>
      <c r="J726"/>
      <c r="K726"/>
      <c r="L726"/>
    </row>
    <row r="727" spans="1:12" x14ac:dyDescent="0.25">
      <c r="A727"/>
      <c r="B727"/>
      <c r="C727"/>
      <c r="D727"/>
      <c r="E727"/>
      <c r="F727"/>
      <c r="G727"/>
      <c r="H727"/>
      <c r="I727"/>
      <c r="J727"/>
      <c r="K727"/>
      <c r="L727"/>
    </row>
    <row r="728" spans="1:12" x14ac:dyDescent="0.25">
      <c r="A728"/>
      <c r="B728"/>
      <c r="C728"/>
      <c r="D728"/>
      <c r="E728"/>
      <c r="F728"/>
      <c r="G728"/>
      <c r="H728"/>
      <c r="I728"/>
      <c r="J728"/>
      <c r="K728"/>
      <c r="L728"/>
    </row>
    <row r="729" spans="1:12" x14ac:dyDescent="0.25">
      <c r="A729"/>
      <c r="B729"/>
      <c r="C729"/>
      <c r="D729"/>
      <c r="E729"/>
      <c r="F729"/>
      <c r="G729"/>
      <c r="H729"/>
      <c r="I729"/>
      <c r="J729"/>
      <c r="K729"/>
      <c r="L729"/>
    </row>
    <row r="730" spans="1:12" x14ac:dyDescent="0.25">
      <c r="A730"/>
      <c r="B730"/>
      <c r="C730"/>
      <c r="D730"/>
      <c r="E730"/>
      <c r="F730"/>
      <c r="G730"/>
      <c r="H730"/>
      <c r="I730"/>
      <c r="J730"/>
      <c r="K730"/>
      <c r="L730"/>
    </row>
    <row r="731" spans="1:12" x14ac:dyDescent="0.25">
      <c r="A731"/>
      <c r="B731"/>
      <c r="C731"/>
      <c r="D731"/>
      <c r="E731"/>
      <c r="F731"/>
      <c r="G731"/>
      <c r="H731"/>
      <c r="I731"/>
      <c r="J731"/>
      <c r="K731"/>
      <c r="L731"/>
    </row>
    <row r="732" spans="1:12" x14ac:dyDescent="0.25">
      <c r="A732"/>
      <c r="B732"/>
      <c r="C732"/>
      <c r="D732"/>
      <c r="E732"/>
      <c r="F732"/>
      <c r="G732"/>
      <c r="H732"/>
      <c r="I732"/>
      <c r="J732"/>
      <c r="K732"/>
      <c r="L732"/>
    </row>
    <row r="733" spans="1:12" x14ac:dyDescent="0.25">
      <c r="A733"/>
      <c r="B733"/>
      <c r="C733"/>
      <c r="D733"/>
      <c r="E733"/>
      <c r="F733"/>
      <c r="G733"/>
      <c r="H733"/>
      <c r="I733"/>
      <c r="J733"/>
      <c r="K733"/>
      <c r="L733"/>
    </row>
    <row r="734" spans="1:12" x14ac:dyDescent="0.25">
      <c r="A734"/>
      <c r="B734"/>
      <c r="C734"/>
      <c r="D734"/>
      <c r="E734"/>
      <c r="F734"/>
      <c r="G734"/>
      <c r="H734"/>
      <c r="I734"/>
      <c r="J734"/>
      <c r="K734"/>
      <c r="L734"/>
    </row>
    <row r="735" spans="1:12" x14ac:dyDescent="0.25">
      <c r="A735"/>
      <c r="B735"/>
      <c r="C735"/>
      <c r="D735"/>
      <c r="E735"/>
      <c r="F735"/>
      <c r="G735"/>
      <c r="H735"/>
      <c r="I735"/>
      <c r="J735"/>
      <c r="K735"/>
      <c r="L735"/>
    </row>
    <row r="736" spans="1:12" x14ac:dyDescent="0.25">
      <c r="A736"/>
      <c r="B736"/>
      <c r="C736"/>
      <c r="D736"/>
      <c r="E736"/>
      <c r="F736"/>
      <c r="G736"/>
      <c r="H736"/>
      <c r="I736"/>
      <c r="J736"/>
      <c r="K736"/>
      <c r="L736"/>
    </row>
    <row r="737" spans="1:12" x14ac:dyDescent="0.25">
      <c r="A737"/>
      <c r="B737"/>
      <c r="C737"/>
      <c r="D737"/>
      <c r="E737"/>
      <c r="F737"/>
      <c r="G737"/>
      <c r="H737"/>
      <c r="I737"/>
      <c r="J737"/>
      <c r="K737"/>
      <c r="L737"/>
    </row>
    <row r="738" spans="1:12" x14ac:dyDescent="0.25">
      <c r="A738"/>
      <c r="B738"/>
      <c r="C738"/>
      <c r="D738"/>
      <c r="E738"/>
      <c r="F738"/>
      <c r="G738"/>
      <c r="H738"/>
      <c r="I738"/>
      <c r="J738"/>
      <c r="K738"/>
      <c r="L738"/>
    </row>
    <row r="739" spans="1:12" x14ac:dyDescent="0.25">
      <c r="A739"/>
      <c r="B739"/>
      <c r="C739"/>
      <c r="D739"/>
      <c r="E739"/>
      <c r="F739"/>
      <c r="G739"/>
      <c r="H739"/>
      <c r="I739"/>
      <c r="J739"/>
      <c r="K739"/>
      <c r="L739"/>
    </row>
    <row r="740" spans="1:12" x14ac:dyDescent="0.25">
      <c r="A740"/>
      <c r="B740"/>
      <c r="C740"/>
      <c r="D740"/>
      <c r="E740"/>
      <c r="F740"/>
      <c r="G740"/>
      <c r="H740"/>
      <c r="I740"/>
      <c r="J740"/>
      <c r="K740"/>
      <c r="L740"/>
    </row>
    <row r="741" spans="1:12" x14ac:dyDescent="0.25">
      <c r="A741"/>
      <c r="B741"/>
      <c r="C741"/>
      <c r="D741"/>
      <c r="E741"/>
      <c r="F741"/>
      <c r="G741"/>
      <c r="H741"/>
      <c r="I741"/>
      <c r="J741"/>
      <c r="K741"/>
      <c r="L741"/>
    </row>
    <row r="742" spans="1:12" x14ac:dyDescent="0.25">
      <c r="A742"/>
      <c r="B742"/>
      <c r="C742"/>
      <c r="D742"/>
      <c r="E742"/>
      <c r="F742"/>
      <c r="G742"/>
      <c r="H742"/>
      <c r="I742"/>
      <c r="J742"/>
      <c r="K742"/>
      <c r="L742"/>
    </row>
    <row r="743" spans="1:12" x14ac:dyDescent="0.25">
      <c r="A743"/>
      <c r="B743"/>
      <c r="C743"/>
      <c r="D743"/>
      <c r="E743"/>
      <c r="F743"/>
      <c r="G743"/>
      <c r="H743"/>
      <c r="I743"/>
      <c r="J743"/>
      <c r="K743"/>
      <c r="L743"/>
    </row>
    <row r="744" spans="1:12" x14ac:dyDescent="0.25">
      <c r="A744"/>
      <c r="B744"/>
      <c r="C744"/>
      <c r="D744"/>
      <c r="E744"/>
      <c r="F744"/>
      <c r="G744"/>
      <c r="H744"/>
      <c r="I744"/>
      <c r="J744"/>
      <c r="K744"/>
      <c r="L744"/>
    </row>
    <row r="745" spans="1:12" x14ac:dyDescent="0.25">
      <c r="A745"/>
      <c r="B745"/>
      <c r="C745"/>
      <c r="D745"/>
      <c r="E745"/>
      <c r="F745"/>
      <c r="G745"/>
      <c r="H745"/>
      <c r="I745"/>
      <c r="J745"/>
      <c r="K745"/>
      <c r="L745"/>
    </row>
    <row r="746" spans="1:12" x14ac:dyDescent="0.25">
      <c r="A746"/>
      <c r="B746"/>
      <c r="C746"/>
      <c r="D746"/>
      <c r="E746"/>
      <c r="F746"/>
      <c r="G746"/>
      <c r="H746"/>
      <c r="I746"/>
      <c r="J746"/>
      <c r="K746"/>
      <c r="L746"/>
    </row>
    <row r="747" spans="1:12" x14ac:dyDescent="0.25">
      <c r="A747"/>
      <c r="B747"/>
      <c r="C747"/>
      <c r="D747"/>
      <c r="E747"/>
      <c r="F747"/>
      <c r="G747"/>
      <c r="H747"/>
      <c r="I747"/>
      <c r="J747"/>
      <c r="K747"/>
      <c r="L747"/>
    </row>
    <row r="748" spans="1:12" x14ac:dyDescent="0.25">
      <c r="A748"/>
      <c r="B748"/>
      <c r="C748"/>
      <c r="D748"/>
      <c r="E748"/>
      <c r="F748"/>
      <c r="G748"/>
      <c r="H748"/>
      <c r="I748"/>
      <c r="J748"/>
      <c r="K748"/>
      <c r="L748"/>
    </row>
    <row r="749" spans="1:12" x14ac:dyDescent="0.25">
      <c r="A749"/>
      <c r="B749"/>
      <c r="C749"/>
      <c r="D749"/>
      <c r="E749"/>
      <c r="F749"/>
      <c r="G749"/>
      <c r="H749"/>
      <c r="I749"/>
      <c r="J749"/>
      <c r="K749"/>
      <c r="L749"/>
    </row>
    <row r="750" spans="1:12" x14ac:dyDescent="0.25">
      <c r="A750"/>
      <c r="B750"/>
      <c r="C750"/>
      <c r="D750"/>
      <c r="E750"/>
      <c r="F750"/>
      <c r="G750"/>
      <c r="H750"/>
      <c r="I750"/>
      <c r="J750"/>
      <c r="K750"/>
      <c r="L750"/>
    </row>
    <row r="751" spans="1:12" x14ac:dyDescent="0.25">
      <c r="A751"/>
      <c r="B751"/>
      <c r="C751"/>
      <c r="D751"/>
      <c r="E751"/>
      <c r="F751"/>
      <c r="G751"/>
      <c r="H751"/>
      <c r="I751"/>
      <c r="J751"/>
      <c r="K751"/>
      <c r="L751"/>
    </row>
    <row r="752" spans="1:12" x14ac:dyDescent="0.25">
      <c r="A752"/>
      <c r="B752"/>
      <c r="C752"/>
      <c r="D752"/>
      <c r="E752"/>
      <c r="F752"/>
      <c r="G752"/>
      <c r="H752"/>
      <c r="I752"/>
      <c r="J752"/>
      <c r="K752"/>
      <c r="L752"/>
    </row>
    <row r="753" spans="1:12" x14ac:dyDescent="0.25">
      <c r="A753"/>
      <c r="B753"/>
      <c r="C753"/>
      <c r="D753"/>
      <c r="E753"/>
      <c r="F753"/>
      <c r="G753"/>
      <c r="H753"/>
      <c r="I753"/>
      <c r="J753"/>
      <c r="K753"/>
      <c r="L753"/>
    </row>
    <row r="754" spans="1:12" x14ac:dyDescent="0.25">
      <c r="A754"/>
      <c r="B754"/>
      <c r="C754"/>
      <c r="D754"/>
      <c r="E754"/>
      <c r="F754"/>
      <c r="G754"/>
      <c r="H754"/>
      <c r="I754"/>
      <c r="J754"/>
      <c r="K754"/>
      <c r="L754"/>
    </row>
    <row r="755" spans="1:12" x14ac:dyDescent="0.25">
      <c r="A755"/>
      <c r="B755"/>
      <c r="C755"/>
      <c r="D755"/>
      <c r="E755"/>
      <c r="F755"/>
      <c r="G755"/>
      <c r="H755"/>
      <c r="I755"/>
      <c r="J755"/>
      <c r="K755"/>
      <c r="L755"/>
    </row>
    <row r="756" spans="1:12" x14ac:dyDescent="0.25">
      <c r="A756"/>
      <c r="B756"/>
      <c r="C756"/>
      <c r="D756"/>
      <c r="E756"/>
      <c r="F756"/>
      <c r="G756"/>
      <c r="H756"/>
      <c r="I756"/>
      <c r="J756"/>
      <c r="K756"/>
      <c r="L756"/>
    </row>
    <row r="757" spans="1:12" x14ac:dyDescent="0.25">
      <c r="A757"/>
      <c r="B757"/>
      <c r="C757"/>
      <c r="D757"/>
      <c r="E757"/>
      <c r="F757"/>
      <c r="G757"/>
      <c r="H757"/>
      <c r="I757"/>
      <c r="J757"/>
      <c r="K757"/>
      <c r="L757"/>
    </row>
    <row r="758" spans="1:12" x14ac:dyDescent="0.25">
      <c r="A758"/>
      <c r="B758"/>
      <c r="C758"/>
      <c r="D758"/>
      <c r="E758"/>
      <c r="F758"/>
      <c r="G758"/>
      <c r="H758"/>
      <c r="I758"/>
      <c r="J758"/>
      <c r="K758"/>
      <c r="L758"/>
    </row>
    <row r="759" spans="1:12" x14ac:dyDescent="0.25">
      <c r="A759"/>
      <c r="B759"/>
      <c r="C759"/>
      <c r="D759"/>
      <c r="E759"/>
      <c r="F759"/>
      <c r="G759"/>
      <c r="H759"/>
      <c r="I759"/>
      <c r="J759"/>
      <c r="K759"/>
      <c r="L759"/>
    </row>
    <row r="760" spans="1:12" x14ac:dyDescent="0.25">
      <c r="A760"/>
      <c r="B760"/>
      <c r="C760"/>
      <c r="D760"/>
      <c r="E760"/>
      <c r="F760"/>
      <c r="G760"/>
      <c r="H760"/>
      <c r="I760"/>
      <c r="J760"/>
      <c r="K760"/>
      <c r="L760"/>
    </row>
    <row r="761" spans="1:12" x14ac:dyDescent="0.25">
      <c r="A761"/>
      <c r="B761"/>
      <c r="C761"/>
      <c r="D761"/>
      <c r="E761"/>
      <c r="F761"/>
      <c r="G761"/>
      <c r="H761"/>
      <c r="I761"/>
      <c r="J761"/>
      <c r="K761"/>
      <c r="L761"/>
    </row>
    <row r="762" spans="1:12" x14ac:dyDescent="0.25">
      <c r="A762"/>
      <c r="B762"/>
      <c r="C762"/>
      <c r="D762"/>
      <c r="E762"/>
      <c r="F762"/>
      <c r="G762"/>
      <c r="H762"/>
      <c r="I762"/>
      <c r="J762"/>
      <c r="K762"/>
      <c r="L762"/>
    </row>
    <row r="763" spans="1:12" x14ac:dyDescent="0.25">
      <c r="A763"/>
      <c r="B763"/>
      <c r="C763"/>
      <c r="D763"/>
      <c r="E763"/>
      <c r="F763"/>
      <c r="G763"/>
      <c r="H763"/>
      <c r="I763"/>
      <c r="J763"/>
      <c r="K763"/>
      <c r="L763"/>
    </row>
    <row r="764" spans="1:12" x14ac:dyDescent="0.25">
      <c r="A764"/>
      <c r="B764"/>
      <c r="C764"/>
      <c r="D764"/>
      <c r="E764"/>
      <c r="F764"/>
      <c r="G764"/>
      <c r="H764"/>
      <c r="I764"/>
      <c r="J764"/>
      <c r="K764"/>
      <c r="L764"/>
    </row>
    <row r="765" spans="1:12" x14ac:dyDescent="0.25">
      <c r="A765"/>
      <c r="B765"/>
      <c r="C765"/>
      <c r="D765"/>
      <c r="E765"/>
      <c r="F765"/>
      <c r="G765"/>
      <c r="H765"/>
      <c r="I765"/>
      <c r="J765"/>
      <c r="K765"/>
      <c r="L765"/>
    </row>
    <row r="766" spans="1:12" x14ac:dyDescent="0.25">
      <c r="A766"/>
      <c r="B766"/>
      <c r="C766"/>
      <c r="D766"/>
      <c r="E766"/>
      <c r="F766"/>
      <c r="G766"/>
      <c r="H766"/>
      <c r="I766"/>
      <c r="J766"/>
      <c r="K766"/>
      <c r="L766"/>
    </row>
    <row r="767" spans="1:12" x14ac:dyDescent="0.25">
      <c r="A767"/>
      <c r="B767"/>
      <c r="C767"/>
      <c r="D767"/>
      <c r="E767"/>
      <c r="F767"/>
      <c r="G767"/>
      <c r="H767"/>
      <c r="I767"/>
      <c r="J767"/>
      <c r="K767"/>
      <c r="L767"/>
    </row>
    <row r="768" spans="1:12" x14ac:dyDescent="0.25">
      <c r="A768"/>
      <c r="B768"/>
      <c r="C768"/>
      <c r="D768"/>
      <c r="E768"/>
      <c r="F768"/>
      <c r="G768"/>
      <c r="H768"/>
      <c r="I768"/>
      <c r="J768"/>
      <c r="K768"/>
      <c r="L768"/>
    </row>
    <row r="769" spans="1:12" x14ac:dyDescent="0.25">
      <c r="A769"/>
      <c r="B769"/>
      <c r="C769"/>
      <c r="D769"/>
      <c r="E769"/>
      <c r="F769"/>
      <c r="G769"/>
      <c r="H769"/>
      <c r="I769"/>
      <c r="J769"/>
      <c r="K769"/>
      <c r="L769"/>
    </row>
    <row r="770" spans="1:12" x14ac:dyDescent="0.25">
      <c r="A770"/>
      <c r="B770"/>
      <c r="C770"/>
      <c r="D770"/>
      <c r="E770"/>
      <c r="F770"/>
      <c r="G770"/>
      <c r="H770"/>
      <c r="I770"/>
      <c r="J770"/>
      <c r="K770"/>
      <c r="L770"/>
    </row>
    <row r="771" spans="1:12" x14ac:dyDescent="0.25">
      <c r="A771"/>
      <c r="B771"/>
      <c r="C771"/>
      <c r="D771"/>
      <c r="E771"/>
      <c r="F771"/>
      <c r="G771"/>
      <c r="H771"/>
      <c r="I771"/>
      <c r="J771"/>
      <c r="K771"/>
      <c r="L771"/>
    </row>
    <row r="772" spans="1:12" x14ac:dyDescent="0.25">
      <c r="A772"/>
      <c r="B772"/>
      <c r="C772"/>
      <c r="D772"/>
      <c r="E772"/>
      <c r="F772"/>
      <c r="G772"/>
      <c r="H772"/>
      <c r="I772"/>
      <c r="J772"/>
      <c r="K772"/>
      <c r="L772"/>
    </row>
    <row r="773" spans="1:12" x14ac:dyDescent="0.25">
      <c r="A773"/>
      <c r="B773"/>
      <c r="C773"/>
      <c r="D773"/>
      <c r="E773"/>
      <c r="F773"/>
      <c r="G773"/>
      <c r="H773"/>
      <c r="I773"/>
      <c r="J773"/>
      <c r="K773"/>
      <c r="L773"/>
    </row>
    <row r="774" spans="1:12" x14ac:dyDescent="0.25">
      <c r="A774"/>
      <c r="B774"/>
      <c r="C774"/>
      <c r="D774"/>
      <c r="E774"/>
      <c r="F774"/>
      <c r="G774"/>
      <c r="H774"/>
      <c r="I774"/>
      <c r="J774"/>
      <c r="K774"/>
      <c r="L774"/>
    </row>
    <row r="775" spans="1:12" x14ac:dyDescent="0.25">
      <c r="A775"/>
      <c r="B775"/>
      <c r="C775"/>
      <c r="D775"/>
      <c r="E775"/>
      <c r="F775"/>
      <c r="G775"/>
      <c r="H775"/>
      <c r="I775"/>
      <c r="J775"/>
      <c r="K775"/>
      <c r="L775"/>
    </row>
    <row r="776" spans="1:12" x14ac:dyDescent="0.25">
      <c r="A776"/>
      <c r="B776"/>
      <c r="C776"/>
      <c r="D776"/>
      <c r="E776"/>
      <c r="F776"/>
      <c r="G776"/>
      <c r="H776"/>
      <c r="I776"/>
      <c r="J776"/>
      <c r="K776"/>
      <c r="L776"/>
    </row>
    <row r="777" spans="1:12" x14ac:dyDescent="0.25">
      <c r="A777"/>
      <c r="B777"/>
      <c r="C777"/>
      <c r="D777"/>
      <c r="E777"/>
      <c r="F777"/>
      <c r="G777"/>
      <c r="H777"/>
      <c r="I777"/>
      <c r="J777"/>
      <c r="K777"/>
      <c r="L777"/>
    </row>
    <row r="778" spans="1:12" x14ac:dyDescent="0.25">
      <c r="A778"/>
      <c r="B778"/>
      <c r="C778"/>
      <c r="D778"/>
      <c r="E778"/>
      <c r="F778"/>
      <c r="G778"/>
      <c r="H778"/>
      <c r="I778"/>
      <c r="J778"/>
      <c r="K778"/>
      <c r="L778"/>
    </row>
    <row r="779" spans="1:12" x14ac:dyDescent="0.25">
      <c r="A779"/>
      <c r="B779"/>
      <c r="C779"/>
      <c r="D779"/>
      <c r="E779"/>
      <c r="F779"/>
      <c r="G779"/>
      <c r="H779"/>
      <c r="I779"/>
      <c r="J779"/>
      <c r="K779"/>
      <c r="L779"/>
    </row>
    <row r="780" spans="1:12" x14ac:dyDescent="0.25">
      <c r="A780"/>
      <c r="B780"/>
      <c r="C780"/>
      <c r="D780"/>
      <c r="E780"/>
      <c r="F780"/>
      <c r="G780"/>
      <c r="H780"/>
      <c r="I780"/>
      <c r="J780"/>
      <c r="K780"/>
      <c r="L780"/>
    </row>
    <row r="781" spans="1:12" x14ac:dyDescent="0.25">
      <c r="A781"/>
      <c r="B781"/>
      <c r="C781"/>
      <c r="D781"/>
      <c r="E781"/>
      <c r="F781"/>
      <c r="G781"/>
      <c r="H781"/>
      <c r="I781"/>
      <c r="J781"/>
      <c r="K781"/>
      <c r="L781"/>
    </row>
    <row r="782" spans="1:12" x14ac:dyDescent="0.25">
      <c r="A782"/>
      <c r="B782"/>
      <c r="C782"/>
      <c r="D782"/>
      <c r="E782"/>
      <c r="F782"/>
      <c r="G782"/>
      <c r="H782"/>
      <c r="I782"/>
      <c r="J782"/>
      <c r="K782"/>
      <c r="L782"/>
    </row>
    <row r="783" spans="1:12" x14ac:dyDescent="0.25">
      <c r="A783"/>
      <c r="B783"/>
      <c r="C783"/>
      <c r="D783"/>
      <c r="E783"/>
      <c r="F783"/>
      <c r="G783"/>
      <c r="H783"/>
      <c r="I783"/>
      <c r="J783"/>
      <c r="K783"/>
      <c r="L783"/>
    </row>
    <row r="784" spans="1:12" x14ac:dyDescent="0.25">
      <c r="A784"/>
      <c r="B784"/>
      <c r="C784"/>
      <c r="D784"/>
      <c r="E784"/>
      <c r="F784"/>
      <c r="G784"/>
      <c r="H784"/>
      <c r="I784"/>
      <c r="J784"/>
      <c r="K784"/>
      <c r="L784"/>
    </row>
    <row r="785" spans="1:12" x14ac:dyDescent="0.25">
      <c r="A785"/>
      <c r="B785"/>
      <c r="C785"/>
      <c r="D785"/>
      <c r="E785"/>
      <c r="F785"/>
      <c r="G785"/>
      <c r="H785"/>
      <c r="I785"/>
      <c r="J785"/>
      <c r="K785"/>
      <c r="L785"/>
    </row>
    <row r="786" spans="1:12" x14ac:dyDescent="0.25">
      <c r="A786"/>
      <c r="B786"/>
      <c r="C786"/>
      <c r="D786"/>
      <c r="E786"/>
      <c r="F786"/>
      <c r="G786"/>
      <c r="H786"/>
      <c r="I786"/>
      <c r="J786"/>
      <c r="K786"/>
      <c r="L786"/>
    </row>
    <row r="787" spans="1:12" x14ac:dyDescent="0.25">
      <c r="A787"/>
      <c r="B787"/>
      <c r="C787"/>
      <c r="D787"/>
      <c r="E787"/>
      <c r="F787"/>
      <c r="G787"/>
      <c r="H787"/>
      <c r="I787"/>
      <c r="J787"/>
      <c r="K787"/>
      <c r="L787"/>
    </row>
    <row r="788" spans="1:12" x14ac:dyDescent="0.25">
      <c r="A788"/>
      <c r="B788"/>
      <c r="C788"/>
      <c r="D788"/>
      <c r="E788"/>
      <c r="F788"/>
      <c r="G788"/>
      <c r="H788"/>
      <c r="I788"/>
      <c r="J788"/>
      <c r="K788"/>
      <c r="L788"/>
    </row>
    <row r="789" spans="1:12" x14ac:dyDescent="0.25">
      <c r="A789"/>
      <c r="B789"/>
      <c r="C789"/>
      <c r="D789"/>
      <c r="E789"/>
      <c r="F789"/>
      <c r="G789"/>
      <c r="H789"/>
      <c r="I789"/>
      <c r="J789"/>
      <c r="K789"/>
      <c r="L789"/>
    </row>
    <row r="790" spans="1:12" x14ac:dyDescent="0.25">
      <c r="A790"/>
      <c r="B790"/>
      <c r="C790"/>
      <c r="D790"/>
      <c r="E790"/>
      <c r="F790"/>
      <c r="G790"/>
      <c r="H790"/>
      <c r="I790"/>
      <c r="J790"/>
      <c r="K790"/>
      <c r="L790"/>
    </row>
    <row r="791" spans="1:12" x14ac:dyDescent="0.25">
      <c r="A791"/>
      <c r="B791"/>
      <c r="C791"/>
      <c r="D791"/>
      <c r="E791"/>
      <c r="F791"/>
      <c r="G791"/>
      <c r="H791"/>
      <c r="I791"/>
      <c r="J791"/>
      <c r="K791"/>
      <c r="L791"/>
    </row>
    <row r="792" spans="1:12" x14ac:dyDescent="0.25">
      <c r="A792"/>
      <c r="B792"/>
      <c r="C792"/>
      <c r="D792"/>
      <c r="E792"/>
      <c r="F792"/>
      <c r="G792"/>
      <c r="H792"/>
      <c r="I792"/>
      <c r="J792"/>
      <c r="K792"/>
      <c r="L792"/>
    </row>
    <row r="793" spans="1:12" x14ac:dyDescent="0.25">
      <c r="A793"/>
      <c r="B793"/>
      <c r="C793"/>
      <c r="D793"/>
      <c r="E793"/>
      <c r="F793"/>
      <c r="G793"/>
      <c r="H793"/>
      <c r="I793"/>
      <c r="J793"/>
      <c r="K793"/>
      <c r="L793"/>
    </row>
    <row r="794" spans="1:12" x14ac:dyDescent="0.25">
      <c r="A794"/>
      <c r="B794"/>
      <c r="C794"/>
      <c r="D794"/>
      <c r="E794"/>
      <c r="F794"/>
      <c r="G794"/>
      <c r="H794"/>
      <c r="I794"/>
      <c r="J794"/>
      <c r="K794"/>
      <c r="L794"/>
    </row>
    <row r="795" spans="1:12" x14ac:dyDescent="0.25">
      <c r="A795"/>
      <c r="B795"/>
      <c r="C795"/>
      <c r="D795"/>
      <c r="E795"/>
      <c r="F795"/>
      <c r="G795"/>
      <c r="H795"/>
      <c r="I795"/>
      <c r="J795"/>
      <c r="K795"/>
      <c r="L795"/>
    </row>
    <row r="796" spans="1:12" x14ac:dyDescent="0.25">
      <c r="A796"/>
      <c r="B796"/>
      <c r="C796"/>
      <c r="D796"/>
      <c r="E796"/>
      <c r="F796"/>
      <c r="G796"/>
      <c r="H796"/>
      <c r="I796"/>
      <c r="J796"/>
      <c r="K796"/>
      <c r="L796"/>
    </row>
    <row r="797" spans="1:12" x14ac:dyDescent="0.25">
      <c r="A797"/>
      <c r="B797"/>
      <c r="C797"/>
      <c r="D797"/>
      <c r="E797"/>
      <c r="F797"/>
      <c r="G797"/>
      <c r="H797"/>
      <c r="I797"/>
      <c r="J797"/>
      <c r="K797"/>
      <c r="L797"/>
    </row>
    <row r="798" spans="1:12" x14ac:dyDescent="0.25">
      <c r="A798"/>
      <c r="B798"/>
      <c r="C798"/>
      <c r="D798"/>
      <c r="E798"/>
      <c r="F798"/>
      <c r="G798"/>
      <c r="H798"/>
      <c r="I798"/>
      <c r="J798"/>
      <c r="K798"/>
      <c r="L798"/>
    </row>
    <row r="799" spans="1:12" x14ac:dyDescent="0.25">
      <c r="A799"/>
      <c r="B799"/>
      <c r="C799"/>
      <c r="D799"/>
      <c r="E799"/>
      <c r="F799"/>
      <c r="G799"/>
      <c r="H799"/>
      <c r="I799"/>
      <c r="J799"/>
      <c r="K799"/>
      <c r="L799"/>
    </row>
    <row r="800" spans="1:12" x14ac:dyDescent="0.25">
      <c r="A800"/>
      <c r="B800"/>
      <c r="C800"/>
      <c r="D800"/>
      <c r="E800"/>
      <c r="F800"/>
      <c r="G800"/>
      <c r="H800"/>
      <c r="I800"/>
      <c r="J800"/>
      <c r="K800"/>
      <c r="L800"/>
    </row>
    <row r="801" spans="1:12" x14ac:dyDescent="0.25">
      <c r="A801"/>
      <c r="B801"/>
      <c r="C801"/>
      <c r="D801"/>
      <c r="E801"/>
      <c r="F801"/>
      <c r="G801"/>
      <c r="H801"/>
      <c r="I801"/>
      <c r="J801"/>
      <c r="K801"/>
      <c r="L801"/>
    </row>
    <row r="802" spans="1:12" x14ac:dyDescent="0.25">
      <c r="A802"/>
      <c r="B802"/>
      <c r="C802"/>
      <c r="D802"/>
      <c r="E802"/>
      <c r="F802"/>
      <c r="G802"/>
      <c r="H802"/>
      <c r="I802"/>
      <c r="J802"/>
      <c r="K802"/>
      <c r="L802"/>
    </row>
    <row r="803" spans="1:12" x14ac:dyDescent="0.25">
      <c r="A803"/>
      <c r="B803"/>
      <c r="C803"/>
      <c r="D803"/>
      <c r="E803"/>
      <c r="F803"/>
      <c r="G803"/>
      <c r="H803"/>
      <c r="I803"/>
      <c r="J803"/>
      <c r="K803"/>
      <c r="L803"/>
    </row>
    <row r="804" spans="1:12" x14ac:dyDescent="0.25">
      <c r="A804"/>
      <c r="B804"/>
      <c r="C804"/>
      <c r="D804"/>
      <c r="E804"/>
      <c r="F804"/>
      <c r="G804"/>
      <c r="H804"/>
      <c r="I804"/>
      <c r="J804"/>
      <c r="K804"/>
      <c r="L804"/>
    </row>
    <row r="805" spans="1:12" x14ac:dyDescent="0.25">
      <c r="A805"/>
      <c r="B805"/>
      <c r="C805"/>
      <c r="D805"/>
      <c r="E805"/>
      <c r="F805"/>
      <c r="G805"/>
      <c r="H805"/>
      <c r="I805"/>
      <c r="J805"/>
      <c r="K805"/>
      <c r="L805"/>
    </row>
    <row r="806" spans="1:12" x14ac:dyDescent="0.25">
      <c r="A806"/>
      <c r="B806"/>
      <c r="C806"/>
      <c r="D806"/>
      <c r="E806"/>
      <c r="F806"/>
      <c r="G806"/>
      <c r="H806"/>
      <c r="I806"/>
      <c r="J806"/>
      <c r="K806"/>
      <c r="L806"/>
    </row>
    <row r="807" spans="1:12" x14ac:dyDescent="0.25">
      <c r="A807"/>
      <c r="B807"/>
      <c r="C807"/>
      <c r="D807"/>
      <c r="E807"/>
      <c r="F807"/>
      <c r="G807"/>
      <c r="H807"/>
      <c r="I807"/>
      <c r="J807"/>
      <c r="K807"/>
      <c r="L807"/>
    </row>
    <row r="808" spans="1:12" x14ac:dyDescent="0.25">
      <c r="A808"/>
      <c r="B808"/>
      <c r="C808"/>
      <c r="D808"/>
      <c r="E808"/>
      <c r="F808"/>
      <c r="G808"/>
      <c r="H808"/>
      <c r="I808"/>
      <c r="J808"/>
      <c r="K808"/>
      <c r="L808"/>
    </row>
    <row r="809" spans="1:12" x14ac:dyDescent="0.25">
      <c r="A809"/>
      <c r="B809"/>
      <c r="C809"/>
      <c r="D809"/>
      <c r="E809"/>
      <c r="F809"/>
      <c r="G809"/>
      <c r="H809"/>
      <c r="I809"/>
      <c r="J809"/>
      <c r="K809"/>
      <c r="L809"/>
    </row>
    <row r="810" spans="1:12" x14ac:dyDescent="0.25">
      <c r="A810"/>
      <c r="B810"/>
      <c r="C810"/>
      <c r="D810"/>
      <c r="E810"/>
      <c r="F810"/>
      <c r="G810"/>
      <c r="H810"/>
      <c r="I810"/>
      <c r="J810"/>
      <c r="K810"/>
      <c r="L810"/>
    </row>
    <row r="811" spans="1:12" x14ac:dyDescent="0.25">
      <c r="A811"/>
      <c r="B811"/>
      <c r="C811"/>
      <c r="D811"/>
      <c r="E811"/>
      <c r="F811"/>
      <c r="G811"/>
      <c r="H811"/>
      <c r="I811"/>
      <c r="J811"/>
      <c r="K811"/>
      <c r="L811"/>
    </row>
    <row r="812" spans="1:12" x14ac:dyDescent="0.25">
      <c r="A812"/>
      <c r="B812"/>
      <c r="C812"/>
      <c r="D812"/>
      <c r="E812"/>
      <c r="F812"/>
      <c r="G812"/>
      <c r="H812"/>
      <c r="I812"/>
      <c r="J812"/>
      <c r="K812"/>
      <c r="L812"/>
    </row>
    <row r="813" spans="1:12" x14ac:dyDescent="0.25">
      <c r="A813"/>
      <c r="B813"/>
      <c r="C813"/>
      <c r="D813"/>
      <c r="E813"/>
      <c r="F813"/>
      <c r="G813"/>
      <c r="H813"/>
      <c r="I813"/>
      <c r="J813"/>
      <c r="K813"/>
      <c r="L813"/>
    </row>
    <row r="814" spans="1:12" x14ac:dyDescent="0.25">
      <c r="A814"/>
      <c r="B814"/>
      <c r="C814"/>
      <c r="D814"/>
      <c r="E814"/>
      <c r="F814"/>
      <c r="G814"/>
      <c r="H814"/>
      <c r="I814"/>
      <c r="J814"/>
      <c r="K814"/>
      <c r="L814"/>
    </row>
    <row r="815" spans="1:12" x14ac:dyDescent="0.25">
      <c r="A815"/>
      <c r="B815"/>
      <c r="C815"/>
      <c r="D815"/>
      <c r="E815"/>
      <c r="F815"/>
      <c r="G815"/>
      <c r="H815"/>
      <c r="I815"/>
      <c r="J815"/>
      <c r="K815"/>
      <c r="L815"/>
    </row>
    <row r="816" spans="1:12" x14ac:dyDescent="0.25">
      <c r="A816"/>
      <c r="B816"/>
      <c r="C816"/>
      <c r="D816"/>
      <c r="E816"/>
      <c r="F816"/>
      <c r="G816"/>
      <c r="H816"/>
      <c r="I816"/>
      <c r="J816"/>
      <c r="K816"/>
      <c r="L816"/>
    </row>
    <row r="817" spans="1:12" x14ac:dyDescent="0.25">
      <c r="A817"/>
      <c r="B817"/>
      <c r="C817"/>
      <c r="D817"/>
      <c r="E817"/>
      <c r="F817"/>
      <c r="G817"/>
      <c r="H817"/>
      <c r="I817"/>
      <c r="J817"/>
      <c r="K817"/>
      <c r="L817"/>
    </row>
    <row r="818" spans="1:12" x14ac:dyDescent="0.25">
      <c r="A818"/>
      <c r="B818"/>
      <c r="C818"/>
      <c r="D818"/>
      <c r="E818"/>
      <c r="F818"/>
      <c r="G818"/>
      <c r="H818"/>
      <c r="I818"/>
      <c r="J818"/>
      <c r="K818"/>
      <c r="L818"/>
    </row>
    <row r="819" spans="1:12" x14ac:dyDescent="0.25">
      <c r="A819"/>
      <c r="B819"/>
      <c r="C819"/>
      <c r="D819"/>
      <c r="E819"/>
      <c r="F819"/>
      <c r="G819"/>
      <c r="H819"/>
      <c r="I819"/>
      <c r="J819"/>
      <c r="K819"/>
      <c r="L819"/>
    </row>
    <row r="820" spans="1:12" x14ac:dyDescent="0.25">
      <c r="A820"/>
      <c r="B820"/>
      <c r="C820"/>
      <c r="D820"/>
      <c r="E820"/>
      <c r="F820"/>
      <c r="G820"/>
      <c r="H820"/>
      <c r="I820"/>
      <c r="J820"/>
      <c r="K820"/>
      <c r="L820"/>
    </row>
    <row r="821" spans="1:12" x14ac:dyDescent="0.25">
      <c r="A821"/>
      <c r="B821"/>
      <c r="C821"/>
      <c r="D821"/>
      <c r="E821"/>
      <c r="F821"/>
      <c r="G821"/>
      <c r="H821"/>
      <c r="I821"/>
      <c r="J821"/>
      <c r="K821"/>
      <c r="L821"/>
    </row>
    <row r="822" spans="1:12" x14ac:dyDescent="0.25">
      <c r="A822"/>
      <c r="B822"/>
      <c r="C822"/>
      <c r="D822"/>
      <c r="E822"/>
      <c r="F822"/>
      <c r="G822"/>
      <c r="H822"/>
      <c r="I822"/>
      <c r="J822"/>
      <c r="K822"/>
      <c r="L822"/>
    </row>
    <row r="823" spans="1:12" x14ac:dyDescent="0.25">
      <c r="A823"/>
      <c r="B823"/>
      <c r="C823"/>
      <c r="D823"/>
      <c r="E823"/>
      <c r="F823"/>
      <c r="G823"/>
      <c r="H823"/>
      <c r="I823"/>
      <c r="J823"/>
      <c r="K823"/>
      <c r="L823"/>
    </row>
    <row r="824" spans="1:12" x14ac:dyDescent="0.25">
      <c r="A824"/>
      <c r="B824"/>
      <c r="C824"/>
      <c r="D824"/>
      <c r="E824"/>
      <c r="F824"/>
      <c r="G824"/>
      <c r="H824"/>
      <c r="I824"/>
      <c r="J824"/>
      <c r="K824"/>
      <c r="L824"/>
    </row>
    <row r="825" spans="1:12" x14ac:dyDescent="0.25">
      <c r="A825"/>
      <c r="B825"/>
      <c r="C825"/>
      <c r="D825"/>
      <c r="E825"/>
      <c r="F825"/>
      <c r="G825"/>
      <c r="H825"/>
      <c r="I825"/>
      <c r="J825"/>
      <c r="K825"/>
      <c r="L825"/>
    </row>
    <row r="826" spans="1:12" x14ac:dyDescent="0.25">
      <c r="A826"/>
      <c r="B826"/>
      <c r="C826"/>
      <c r="D826"/>
      <c r="E826"/>
      <c r="F826"/>
      <c r="G826"/>
      <c r="H826"/>
      <c r="I826"/>
      <c r="J826"/>
      <c r="K826"/>
      <c r="L826"/>
    </row>
    <row r="827" spans="1:12" x14ac:dyDescent="0.25">
      <c r="A827"/>
      <c r="B827"/>
      <c r="C827"/>
      <c r="D827"/>
      <c r="E827"/>
      <c r="F827"/>
      <c r="G827"/>
      <c r="H827"/>
      <c r="I827"/>
      <c r="J827"/>
      <c r="K827"/>
      <c r="L827"/>
    </row>
    <row r="828" spans="1:12" x14ac:dyDescent="0.25">
      <c r="A828"/>
      <c r="B828"/>
      <c r="C828"/>
      <c r="D828"/>
      <c r="E828"/>
      <c r="F828"/>
      <c r="G828"/>
      <c r="H828"/>
      <c r="I828"/>
      <c r="J828"/>
      <c r="K828"/>
      <c r="L828"/>
    </row>
    <row r="829" spans="1:12" x14ac:dyDescent="0.25">
      <c r="A829"/>
      <c r="B829"/>
      <c r="C829"/>
      <c r="D829"/>
      <c r="E829"/>
      <c r="F829"/>
      <c r="G829"/>
      <c r="H829"/>
      <c r="I829"/>
      <c r="J829"/>
      <c r="K829"/>
      <c r="L829"/>
    </row>
    <row r="830" spans="1:12" x14ac:dyDescent="0.25">
      <c r="A830"/>
      <c r="B830"/>
      <c r="C830"/>
      <c r="D830"/>
      <c r="E830"/>
      <c r="F830"/>
      <c r="G830"/>
      <c r="H830"/>
      <c r="I830"/>
      <c r="J830"/>
      <c r="K830"/>
      <c r="L830"/>
    </row>
    <row r="831" spans="1:12" x14ac:dyDescent="0.25">
      <c r="A831"/>
      <c r="B831"/>
      <c r="C831"/>
      <c r="D831"/>
      <c r="E831"/>
      <c r="F831"/>
      <c r="G831"/>
      <c r="H831"/>
      <c r="I831"/>
      <c r="J831"/>
      <c r="K831"/>
      <c r="L831"/>
    </row>
    <row r="832" spans="1:12" x14ac:dyDescent="0.25">
      <c r="A832"/>
      <c r="B832"/>
      <c r="C832"/>
      <c r="D832"/>
      <c r="E832"/>
      <c r="F832"/>
      <c r="G832"/>
      <c r="H832"/>
      <c r="I832"/>
      <c r="J832"/>
      <c r="K832"/>
      <c r="L832"/>
    </row>
    <row r="833" spans="1:12" x14ac:dyDescent="0.25">
      <c r="A833"/>
      <c r="B833"/>
      <c r="C833"/>
      <c r="D833"/>
      <c r="E833"/>
      <c r="F833"/>
      <c r="G833"/>
      <c r="H833"/>
      <c r="I833"/>
      <c r="J833"/>
      <c r="K833"/>
      <c r="L833"/>
    </row>
    <row r="834" spans="1:12" x14ac:dyDescent="0.25">
      <c r="A834"/>
      <c r="B834"/>
      <c r="C834"/>
      <c r="D834"/>
      <c r="E834"/>
      <c r="F834"/>
      <c r="G834"/>
      <c r="H834"/>
      <c r="I834"/>
      <c r="J834"/>
      <c r="K834"/>
      <c r="L834"/>
    </row>
    <row r="835" spans="1:12" x14ac:dyDescent="0.25">
      <c r="A835"/>
      <c r="B835"/>
      <c r="C835"/>
      <c r="D835"/>
      <c r="E835"/>
      <c r="F835"/>
      <c r="G835"/>
      <c r="H835"/>
      <c r="I835"/>
      <c r="J835"/>
      <c r="K835"/>
      <c r="L835"/>
    </row>
    <row r="836" spans="1:12" x14ac:dyDescent="0.25">
      <c r="A836"/>
      <c r="B836"/>
      <c r="C836"/>
      <c r="D836"/>
      <c r="E836"/>
      <c r="F836"/>
      <c r="G836"/>
      <c r="H836"/>
      <c r="I836"/>
      <c r="J836"/>
      <c r="K836"/>
      <c r="L836"/>
    </row>
    <row r="837" spans="1:12" x14ac:dyDescent="0.25">
      <c r="A837"/>
      <c r="B837"/>
      <c r="C837"/>
      <c r="D837"/>
      <c r="E837"/>
      <c r="F837"/>
      <c r="G837"/>
      <c r="H837"/>
      <c r="I837"/>
      <c r="J837"/>
      <c r="K837"/>
      <c r="L837"/>
    </row>
    <row r="838" spans="1:12" x14ac:dyDescent="0.25">
      <c r="A838"/>
      <c r="B838"/>
      <c r="C838"/>
      <c r="D838"/>
      <c r="E838"/>
      <c r="F838"/>
      <c r="G838"/>
      <c r="H838"/>
      <c r="I838"/>
      <c r="J838"/>
      <c r="K838"/>
      <c r="L838"/>
    </row>
    <row r="839" spans="1:12" x14ac:dyDescent="0.25">
      <c r="A839"/>
      <c r="B839"/>
      <c r="C839"/>
      <c r="D839"/>
      <c r="E839"/>
      <c r="F839"/>
      <c r="G839"/>
      <c r="H839"/>
      <c r="I839"/>
      <c r="J839"/>
      <c r="K839"/>
      <c r="L839"/>
    </row>
    <row r="840" spans="1:12" x14ac:dyDescent="0.25">
      <c r="A840"/>
      <c r="B840"/>
      <c r="C840"/>
      <c r="D840"/>
      <c r="E840"/>
      <c r="F840"/>
      <c r="G840"/>
      <c r="H840"/>
      <c r="I840"/>
      <c r="J840"/>
      <c r="K840"/>
      <c r="L840"/>
    </row>
    <row r="841" spans="1:12" x14ac:dyDescent="0.25">
      <c r="A841"/>
      <c r="B841"/>
      <c r="C841"/>
      <c r="D841"/>
      <c r="E841"/>
      <c r="F841"/>
      <c r="G841"/>
      <c r="H841"/>
      <c r="I841"/>
      <c r="J841"/>
      <c r="K841"/>
      <c r="L841"/>
    </row>
    <row r="842" spans="1:12" x14ac:dyDescent="0.25">
      <c r="A842"/>
      <c r="B842"/>
      <c r="C842"/>
      <c r="D842"/>
      <c r="E842"/>
      <c r="F842"/>
      <c r="G842"/>
      <c r="H842"/>
      <c r="I842"/>
      <c r="J842"/>
      <c r="K842"/>
      <c r="L842"/>
    </row>
    <row r="843" spans="1:12" x14ac:dyDescent="0.25">
      <c r="A843"/>
      <c r="B843"/>
      <c r="C843"/>
      <c r="D843"/>
      <c r="E843"/>
      <c r="F843"/>
      <c r="G843"/>
      <c r="H843"/>
      <c r="I843"/>
      <c r="J843"/>
      <c r="K843"/>
      <c r="L843"/>
    </row>
    <row r="844" spans="1:12" x14ac:dyDescent="0.25">
      <c r="A844"/>
      <c r="B844"/>
      <c r="C844"/>
      <c r="D844"/>
      <c r="E844"/>
      <c r="F844"/>
      <c r="G844"/>
      <c r="H844"/>
      <c r="I844"/>
      <c r="J844"/>
      <c r="K844"/>
      <c r="L844"/>
    </row>
    <row r="845" spans="1:12" x14ac:dyDescent="0.25">
      <c r="A845"/>
      <c r="B845"/>
      <c r="C845"/>
      <c r="D845"/>
      <c r="E845"/>
      <c r="F845"/>
      <c r="G845"/>
      <c r="H845"/>
      <c r="I845"/>
      <c r="J845"/>
      <c r="K845"/>
      <c r="L845"/>
    </row>
    <row r="846" spans="1:12" x14ac:dyDescent="0.25">
      <c r="A846"/>
      <c r="B846"/>
      <c r="C846"/>
      <c r="D846"/>
      <c r="E846"/>
      <c r="F846"/>
      <c r="G846"/>
      <c r="H846"/>
      <c r="I846"/>
      <c r="J846"/>
      <c r="K846"/>
      <c r="L846"/>
    </row>
    <row r="847" spans="1:12" x14ac:dyDescent="0.25">
      <c r="A847"/>
      <c r="B847"/>
      <c r="C847"/>
      <c r="D847"/>
      <c r="E847"/>
      <c r="F847"/>
      <c r="G847"/>
      <c r="H847"/>
      <c r="I847"/>
      <c r="J847"/>
      <c r="K847"/>
      <c r="L847"/>
    </row>
    <row r="848" spans="1:12" x14ac:dyDescent="0.25">
      <c r="A848"/>
      <c r="B848"/>
      <c r="C848"/>
      <c r="D848"/>
      <c r="E848"/>
      <c r="F848"/>
      <c r="G848"/>
      <c r="H848"/>
      <c r="I848"/>
      <c r="J848"/>
      <c r="K848"/>
      <c r="L848"/>
    </row>
    <row r="849" spans="1:12" x14ac:dyDescent="0.25">
      <c r="A849"/>
      <c r="B849"/>
      <c r="C849"/>
      <c r="D849"/>
      <c r="E849"/>
      <c r="F849"/>
      <c r="G849"/>
      <c r="H849"/>
      <c r="I849"/>
      <c r="J849"/>
      <c r="K849"/>
      <c r="L849"/>
    </row>
    <row r="850" spans="1:12" x14ac:dyDescent="0.25">
      <c r="A850"/>
      <c r="B850"/>
      <c r="C850"/>
      <c r="D850"/>
      <c r="E850"/>
      <c r="F850"/>
      <c r="G850"/>
      <c r="H850"/>
      <c r="I850"/>
      <c r="J850"/>
      <c r="K850"/>
      <c r="L850"/>
    </row>
    <row r="851" spans="1:12" x14ac:dyDescent="0.25">
      <c r="A851"/>
      <c r="B851"/>
      <c r="C851"/>
      <c r="D851"/>
      <c r="E851"/>
      <c r="F851"/>
      <c r="G851"/>
      <c r="H851"/>
      <c r="I851"/>
      <c r="J851"/>
      <c r="K851"/>
      <c r="L851"/>
    </row>
    <row r="852" spans="1:12" x14ac:dyDescent="0.25">
      <c r="A852"/>
      <c r="B852"/>
      <c r="C852"/>
      <c r="D852"/>
      <c r="E852"/>
      <c r="F852"/>
      <c r="G852"/>
      <c r="H852"/>
      <c r="I852"/>
      <c r="J852"/>
      <c r="K852"/>
      <c r="L852"/>
    </row>
    <row r="853" spans="1:12" x14ac:dyDescent="0.25">
      <c r="A853"/>
      <c r="B853"/>
      <c r="C853"/>
      <c r="D853"/>
      <c r="E853"/>
      <c r="F853"/>
      <c r="G853"/>
      <c r="H853"/>
      <c r="I853"/>
      <c r="J853"/>
      <c r="K853"/>
      <c r="L853"/>
    </row>
    <row r="854" spans="1:12" x14ac:dyDescent="0.25">
      <c r="A854"/>
      <c r="B854"/>
      <c r="C854"/>
      <c r="D854"/>
      <c r="E854"/>
      <c r="F854"/>
      <c r="G854"/>
      <c r="H854"/>
      <c r="I854"/>
      <c r="J854"/>
      <c r="K854"/>
      <c r="L854"/>
    </row>
    <row r="855" spans="1:12" x14ac:dyDescent="0.25">
      <c r="A855"/>
      <c r="B855"/>
      <c r="C855"/>
      <c r="D855"/>
      <c r="E855"/>
      <c r="F855"/>
      <c r="G855"/>
      <c r="H855"/>
      <c r="I855"/>
      <c r="J855"/>
      <c r="K855"/>
      <c r="L855"/>
    </row>
    <row r="856" spans="1:12" x14ac:dyDescent="0.25">
      <c r="A856"/>
      <c r="B856"/>
      <c r="C856"/>
      <c r="D856"/>
      <c r="E856"/>
      <c r="F856"/>
      <c r="G856"/>
      <c r="H856"/>
      <c r="I856"/>
      <c r="J856"/>
      <c r="K856"/>
      <c r="L856"/>
    </row>
    <row r="857" spans="1:12" x14ac:dyDescent="0.25">
      <c r="A857"/>
      <c r="B857"/>
      <c r="C857"/>
      <c r="D857"/>
      <c r="E857"/>
      <c r="F857"/>
      <c r="G857"/>
      <c r="H857"/>
      <c r="I857"/>
      <c r="J857"/>
      <c r="K857"/>
      <c r="L857"/>
    </row>
    <row r="858" spans="1:12" x14ac:dyDescent="0.25">
      <c r="A858"/>
      <c r="B858"/>
      <c r="C858"/>
      <c r="D858"/>
      <c r="E858"/>
      <c r="F858"/>
      <c r="G858"/>
      <c r="H858"/>
      <c r="I858"/>
      <c r="J858"/>
      <c r="K858"/>
      <c r="L858"/>
    </row>
    <row r="859" spans="1:12" x14ac:dyDescent="0.25">
      <c r="A859"/>
      <c r="B859"/>
      <c r="C859"/>
      <c r="D859"/>
      <c r="E859"/>
      <c r="F859"/>
      <c r="G859"/>
      <c r="H859"/>
      <c r="I859"/>
      <c r="J859"/>
      <c r="K859"/>
      <c r="L859"/>
    </row>
    <row r="860" spans="1:12" x14ac:dyDescent="0.25">
      <c r="A860"/>
      <c r="B860"/>
      <c r="C860"/>
      <c r="D860"/>
      <c r="E860"/>
      <c r="F860"/>
      <c r="G860"/>
      <c r="H860"/>
      <c r="I860"/>
      <c r="J860"/>
      <c r="K860"/>
      <c r="L860"/>
    </row>
    <row r="861" spans="1:12" x14ac:dyDescent="0.25">
      <c r="A861"/>
      <c r="B861"/>
      <c r="C861"/>
      <c r="D861"/>
      <c r="E861"/>
      <c r="F861"/>
      <c r="G861"/>
      <c r="H861"/>
      <c r="I861"/>
      <c r="J861"/>
      <c r="K861"/>
      <c r="L861"/>
    </row>
    <row r="862" spans="1:12" x14ac:dyDescent="0.25">
      <c r="A862"/>
      <c r="B862"/>
      <c r="C862"/>
      <c r="D862"/>
      <c r="E862"/>
      <c r="F862"/>
      <c r="G862"/>
      <c r="H862"/>
      <c r="I862"/>
      <c r="J862"/>
      <c r="K862"/>
      <c r="L862"/>
    </row>
    <row r="863" spans="1:12" x14ac:dyDescent="0.25">
      <c r="A863"/>
      <c r="B863"/>
      <c r="C863"/>
      <c r="D863"/>
      <c r="E863"/>
      <c r="F863"/>
      <c r="G863"/>
      <c r="H863"/>
      <c r="I863"/>
      <c r="J863"/>
      <c r="K863"/>
      <c r="L863"/>
    </row>
    <row r="864" spans="1:12" x14ac:dyDescent="0.25">
      <c r="A864"/>
      <c r="B864"/>
      <c r="C864"/>
      <c r="D864"/>
      <c r="E864"/>
      <c r="F864"/>
      <c r="G864"/>
      <c r="H864"/>
      <c r="I864"/>
      <c r="J864"/>
      <c r="K864"/>
      <c r="L864"/>
    </row>
    <row r="865" spans="1:12" x14ac:dyDescent="0.25">
      <c r="A865"/>
      <c r="B865"/>
      <c r="C865"/>
      <c r="D865"/>
      <c r="E865"/>
      <c r="F865"/>
      <c r="G865"/>
      <c r="H865"/>
      <c r="I865"/>
      <c r="J865"/>
      <c r="K865"/>
      <c r="L865"/>
    </row>
    <row r="866" spans="1:12" x14ac:dyDescent="0.25">
      <c r="A866"/>
      <c r="B866"/>
      <c r="C866"/>
      <c r="D866"/>
      <c r="E866"/>
      <c r="F866"/>
      <c r="G866"/>
      <c r="H866"/>
      <c r="I866"/>
      <c r="J866"/>
      <c r="K866"/>
      <c r="L866"/>
    </row>
    <row r="867" spans="1:12" x14ac:dyDescent="0.25">
      <c r="A867"/>
      <c r="B867"/>
      <c r="C867"/>
      <c r="D867"/>
      <c r="E867"/>
      <c r="F867"/>
      <c r="G867"/>
      <c r="H867"/>
      <c r="I867"/>
      <c r="J867"/>
      <c r="K867"/>
      <c r="L867"/>
    </row>
    <row r="868" spans="1:12" x14ac:dyDescent="0.25">
      <c r="A868"/>
      <c r="B868"/>
      <c r="C868"/>
      <c r="D868"/>
      <c r="E868"/>
      <c r="F868"/>
      <c r="G868"/>
      <c r="H868"/>
      <c r="I868"/>
      <c r="J868"/>
      <c r="K868"/>
      <c r="L868"/>
    </row>
    <row r="869" spans="1:12" x14ac:dyDescent="0.25">
      <c r="A869"/>
      <c r="B869"/>
      <c r="C869"/>
      <c r="D869"/>
      <c r="E869"/>
      <c r="F869"/>
      <c r="G869"/>
      <c r="H869"/>
      <c r="I869"/>
      <c r="J869"/>
      <c r="K869"/>
      <c r="L869"/>
    </row>
    <row r="870" spans="1:12" x14ac:dyDescent="0.25">
      <c r="A870"/>
      <c r="B870"/>
      <c r="C870"/>
      <c r="D870"/>
      <c r="E870"/>
      <c r="F870"/>
      <c r="G870"/>
      <c r="H870"/>
      <c r="I870"/>
      <c r="J870"/>
      <c r="K870"/>
      <c r="L870"/>
    </row>
    <row r="871" spans="1:12" x14ac:dyDescent="0.25">
      <c r="A871"/>
      <c r="B871"/>
      <c r="C871"/>
      <c r="D871"/>
      <c r="E871"/>
      <c r="F871"/>
      <c r="G871"/>
      <c r="H871"/>
      <c r="I871"/>
      <c r="J871"/>
      <c r="K871"/>
      <c r="L871"/>
    </row>
    <row r="872" spans="1:12" x14ac:dyDescent="0.25">
      <c r="A872"/>
      <c r="B872"/>
      <c r="C872"/>
      <c r="D872"/>
      <c r="E872"/>
      <c r="F872"/>
      <c r="G872"/>
      <c r="H872"/>
      <c r="I872"/>
      <c r="J872"/>
      <c r="K872"/>
      <c r="L872"/>
    </row>
    <row r="873" spans="1:12" x14ac:dyDescent="0.25">
      <c r="A873"/>
      <c r="B873"/>
      <c r="C873"/>
      <c r="D873"/>
      <c r="E873"/>
      <c r="F873"/>
      <c r="G873"/>
      <c r="H873"/>
      <c r="I873"/>
      <c r="J873"/>
      <c r="K873"/>
      <c r="L873"/>
    </row>
    <row r="874" spans="1:12" x14ac:dyDescent="0.25">
      <c r="A874"/>
      <c r="B874"/>
      <c r="C874"/>
      <c r="D874"/>
      <c r="E874"/>
      <c r="F874"/>
      <c r="G874"/>
      <c r="H874"/>
      <c r="I874"/>
      <c r="J874"/>
      <c r="K874"/>
      <c r="L874"/>
    </row>
    <row r="875" spans="1:12" x14ac:dyDescent="0.25">
      <c r="A875"/>
      <c r="B875"/>
      <c r="C875"/>
      <c r="D875"/>
      <c r="E875"/>
      <c r="F875"/>
      <c r="G875"/>
      <c r="H875"/>
      <c r="I875"/>
      <c r="J875"/>
      <c r="K875"/>
      <c r="L875"/>
    </row>
    <row r="876" spans="1:12" x14ac:dyDescent="0.25">
      <c r="A876"/>
      <c r="B876"/>
      <c r="C876"/>
      <c r="D876"/>
      <c r="E876"/>
      <c r="F876"/>
      <c r="G876"/>
      <c r="H876"/>
      <c r="I876"/>
      <c r="J876"/>
      <c r="K876"/>
      <c r="L876"/>
    </row>
    <row r="877" spans="1:12" x14ac:dyDescent="0.25">
      <c r="A877"/>
      <c r="B877"/>
      <c r="C877"/>
      <c r="D877"/>
      <c r="E877"/>
      <c r="F877"/>
      <c r="G877"/>
      <c r="H877"/>
      <c r="I877"/>
      <c r="J877"/>
      <c r="K877"/>
      <c r="L877"/>
    </row>
    <row r="878" spans="1:12" x14ac:dyDescent="0.25">
      <c r="A878"/>
      <c r="B878"/>
      <c r="C878"/>
      <c r="D878"/>
      <c r="E878"/>
      <c r="F878"/>
      <c r="G878"/>
      <c r="H878"/>
      <c r="I878"/>
      <c r="J878"/>
      <c r="K878"/>
      <c r="L878"/>
    </row>
    <row r="879" spans="1:12" x14ac:dyDescent="0.25">
      <c r="A879"/>
      <c r="B879"/>
      <c r="C879"/>
      <c r="D879"/>
      <c r="E879"/>
      <c r="F879"/>
      <c r="G879"/>
      <c r="H879"/>
      <c r="I879"/>
      <c r="J879"/>
      <c r="K879"/>
      <c r="L879"/>
    </row>
    <row r="880" spans="1:12" x14ac:dyDescent="0.25">
      <c r="A880"/>
      <c r="B880"/>
      <c r="C880"/>
      <c r="D880"/>
      <c r="E880"/>
      <c r="F880"/>
      <c r="G880"/>
      <c r="H880"/>
      <c r="I880"/>
      <c r="J880"/>
      <c r="K880"/>
      <c r="L880"/>
    </row>
    <row r="881" spans="1:12" x14ac:dyDescent="0.25">
      <c r="A881"/>
      <c r="B881"/>
      <c r="C881"/>
      <c r="D881"/>
      <c r="E881"/>
      <c r="F881"/>
      <c r="G881"/>
      <c r="H881"/>
      <c r="I881"/>
      <c r="J881"/>
      <c r="K881"/>
      <c r="L881"/>
    </row>
    <row r="882" spans="1:12" x14ac:dyDescent="0.25">
      <c r="A882"/>
      <c r="B882"/>
      <c r="C882"/>
      <c r="D882"/>
      <c r="E882"/>
      <c r="F882"/>
      <c r="G882"/>
      <c r="H882"/>
      <c r="I882"/>
      <c r="J882"/>
      <c r="K882"/>
      <c r="L882"/>
    </row>
    <row r="883" spans="1:12" x14ac:dyDescent="0.25">
      <c r="A883"/>
      <c r="B883"/>
      <c r="C883"/>
      <c r="D883"/>
      <c r="E883"/>
      <c r="F883"/>
      <c r="G883"/>
      <c r="H883"/>
      <c r="I883"/>
      <c r="J883"/>
      <c r="K883"/>
      <c r="L883"/>
    </row>
    <row r="884" spans="1:12" x14ac:dyDescent="0.25">
      <c r="A884"/>
      <c r="B884"/>
      <c r="C884"/>
      <c r="D884"/>
      <c r="E884"/>
      <c r="F884"/>
      <c r="G884"/>
      <c r="H884"/>
      <c r="I884"/>
      <c r="J884"/>
      <c r="K884"/>
      <c r="L884"/>
    </row>
    <row r="885" spans="1:12" x14ac:dyDescent="0.25">
      <c r="A885"/>
      <c r="B885"/>
      <c r="C885"/>
      <c r="D885"/>
      <c r="E885"/>
      <c r="F885"/>
      <c r="G885"/>
      <c r="H885"/>
      <c r="I885"/>
      <c r="J885"/>
      <c r="K885"/>
      <c r="L885"/>
    </row>
    <row r="886" spans="1:12" x14ac:dyDescent="0.25">
      <c r="A886"/>
      <c r="B886"/>
      <c r="C886"/>
      <c r="D886"/>
      <c r="E886"/>
      <c r="F886"/>
      <c r="G886"/>
      <c r="H886"/>
      <c r="I886"/>
      <c r="J886"/>
      <c r="K886"/>
      <c r="L886"/>
    </row>
    <row r="887" spans="1:12" x14ac:dyDescent="0.25">
      <c r="A887"/>
      <c r="B887"/>
      <c r="C887"/>
      <c r="D887"/>
      <c r="E887"/>
      <c r="F887"/>
      <c r="G887"/>
      <c r="H887"/>
      <c r="I887"/>
      <c r="J887"/>
      <c r="K887"/>
      <c r="L887"/>
    </row>
    <row r="888" spans="1:12" x14ac:dyDescent="0.25">
      <c r="A888"/>
      <c r="B888"/>
      <c r="C888"/>
      <c r="D888"/>
      <c r="E888"/>
      <c r="F888"/>
      <c r="G888"/>
      <c r="H888"/>
      <c r="I888"/>
      <c r="J888"/>
      <c r="K888"/>
      <c r="L888"/>
    </row>
    <row r="889" spans="1:12" x14ac:dyDescent="0.25">
      <c r="A889"/>
      <c r="B889"/>
      <c r="C889"/>
      <c r="D889"/>
      <c r="E889"/>
      <c r="F889"/>
      <c r="G889"/>
      <c r="H889"/>
      <c r="I889"/>
      <c r="J889"/>
      <c r="K889"/>
      <c r="L889"/>
    </row>
    <row r="890" spans="1:12" x14ac:dyDescent="0.25">
      <c r="A890"/>
      <c r="B890"/>
      <c r="C890"/>
      <c r="D890"/>
      <c r="E890"/>
      <c r="F890"/>
      <c r="G890"/>
      <c r="H890"/>
      <c r="I890"/>
      <c r="J890"/>
      <c r="K890"/>
      <c r="L890"/>
    </row>
    <row r="891" spans="1:12" x14ac:dyDescent="0.25">
      <c r="A891"/>
      <c r="B891"/>
      <c r="C891"/>
      <c r="D891"/>
      <c r="E891"/>
      <c r="F891"/>
      <c r="G891"/>
      <c r="H891"/>
      <c r="I891"/>
      <c r="J891"/>
      <c r="K891"/>
      <c r="L891"/>
    </row>
    <row r="892" spans="1:12" x14ac:dyDescent="0.25">
      <c r="A892"/>
      <c r="B892"/>
      <c r="C892"/>
      <c r="D892"/>
      <c r="E892"/>
      <c r="F892"/>
      <c r="G892"/>
      <c r="H892"/>
      <c r="I892"/>
      <c r="J892"/>
      <c r="K892"/>
      <c r="L892"/>
    </row>
    <row r="893" spans="1:12" x14ac:dyDescent="0.25">
      <c r="A893"/>
      <c r="B893"/>
      <c r="C893"/>
      <c r="D893"/>
      <c r="E893"/>
      <c r="F893"/>
      <c r="G893"/>
      <c r="H893"/>
      <c r="I893"/>
      <c r="J893"/>
      <c r="K893"/>
      <c r="L893"/>
    </row>
    <row r="894" spans="1:12" x14ac:dyDescent="0.25">
      <c r="A894"/>
      <c r="B894"/>
      <c r="C894"/>
      <c r="D894"/>
      <c r="E894"/>
      <c r="F894"/>
      <c r="G894"/>
      <c r="H894"/>
      <c r="I894"/>
      <c r="J894"/>
      <c r="K894"/>
      <c r="L894"/>
    </row>
    <row r="895" spans="1:12" x14ac:dyDescent="0.25">
      <c r="A895"/>
      <c r="B895"/>
      <c r="C895"/>
      <c r="D895"/>
      <c r="E895"/>
      <c r="F895"/>
      <c r="G895"/>
      <c r="H895"/>
      <c r="I895"/>
      <c r="J895"/>
      <c r="K895"/>
      <c r="L895"/>
    </row>
    <row r="896" spans="1:12" x14ac:dyDescent="0.25">
      <c r="A896"/>
      <c r="B896"/>
      <c r="C896"/>
      <c r="D896"/>
      <c r="E896"/>
      <c r="F896"/>
      <c r="G896"/>
      <c r="H896"/>
      <c r="I896"/>
      <c r="J896"/>
      <c r="K896"/>
      <c r="L896"/>
    </row>
    <row r="897" spans="1:12" x14ac:dyDescent="0.25">
      <c r="A897"/>
      <c r="B897"/>
      <c r="C897"/>
      <c r="D897"/>
      <c r="E897"/>
      <c r="F897"/>
      <c r="G897"/>
      <c r="H897"/>
      <c r="I897"/>
      <c r="J897"/>
      <c r="K897"/>
      <c r="L897"/>
    </row>
    <row r="898" spans="1:12" x14ac:dyDescent="0.25">
      <c r="A898"/>
      <c r="B898"/>
      <c r="C898"/>
      <c r="D898"/>
      <c r="E898"/>
      <c r="F898"/>
      <c r="G898"/>
      <c r="H898"/>
      <c r="I898"/>
      <c r="J898"/>
      <c r="K898"/>
      <c r="L898"/>
    </row>
    <row r="899" spans="1:12" x14ac:dyDescent="0.25">
      <c r="A899"/>
      <c r="B899"/>
      <c r="C899"/>
      <c r="D899"/>
      <c r="E899"/>
      <c r="F899"/>
      <c r="G899"/>
      <c r="H899"/>
      <c r="I899"/>
      <c r="J899"/>
      <c r="K899"/>
      <c r="L899"/>
    </row>
    <row r="900" spans="1:12" x14ac:dyDescent="0.25">
      <c r="A900"/>
      <c r="B900"/>
      <c r="C900"/>
      <c r="D900"/>
      <c r="E900"/>
      <c r="F900"/>
      <c r="G900"/>
      <c r="H900"/>
      <c r="I900"/>
      <c r="J900"/>
      <c r="K900"/>
      <c r="L900"/>
    </row>
    <row r="901" spans="1:12" x14ac:dyDescent="0.25">
      <c r="A901"/>
      <c r="B901"/>
      <c r="C901"/>
      <c r="D901"/>
      <c r="E901"/>
      <c r="F901"/>
      <c r="G901"/>
      <c r="H901"/>
      <c r="I901"/>
      <c r="J901"/>
      <c r="K901"/>
      <c r="L901"/>
    </row>
    <row r="902" spans="1:12" x14ac:dyDescent="0.25">
      <c r="A902"/>
      <c r="B902"/>
      <c r="C902"/>
      <c r="D902"/>
      <c r="E902"/>
      <c r="F902"/>
      <c r="G902"/>
      <c r="H902"/>
      <c r="I902"/>
      <c r="J902"/>
      <c r="K902"/>
      <c r="L902"/>
    </row>
    <row r="903" spans="1:12" x14ac:dyDescent="0.25">
      <c r="A903"/>
      <c r="B903"/>
      <c r="C903"/>
      <c r="D903"/>
      <c r="E903"/>
      <c r="F903"/>
      <c r="G903"/>
      <c r="H903"/>
      <c r="I903"/>
      <c r="J903"/>
      <c r="K903"/>
      <c r="L903"/>
    </row>
    <row r="904" spans="1:12" x14ac:dyDescent="0.25">
      <c r="A904"/>
      <c r="B904"/>
      <c r="C904"/>
      <c r="D904"/>
      <c r="E904"/>
      <c r="F904"/>
      <c r="G904"/>
      <c r="H904"/>
      <c r="I904"/>
      <c r="J904"/>
      <c r="K904"/>
      <c r="L904"/>
    </row>
    <row r="905" spans="1:12" x14ac:dyDescent="0.25">
      <c r="A905"/>
      <c r="B905"/>
      <c r="C905"/>
      <c r="D905"/>
      <c r="E905"/>
      <c r="F905"/>
      <c r="G905"/>
      <c r="H905"/>
      <c r="I905"/>
      <c r="J905"/>
      <c r="K905"/>
      <c r="L905"/>
    </row>
    <row r="906" spans="1:12" x14ac:dyDescent="0.25">
      <c r="A906"/>
      <c r="B906"/>
      <c r="C906"/>
      <c r="D906"/>
      <c r="E906"/>
      <c r="F906"/>
      <c r="G906"/>
      <c r="H906"/>
      <c r="I906"/>
      <c r="J906"/>
      <c r="K906"/>
      <c r="L906"/>
    </row>
    <row r="907" spans="1:12" x14ac:dyDescent="0.25">
      <c r="A907"/>
      <c r="B907"/>
      <c r="C907"/>
      <c r="D907"/>
      <c r="E907"/>
      <c r="F907"/>
      <c r="G907"/>
      <c r="H907"/>
      <c r="I907"/>
      <c r="J907"/>
      <c r="K907"/>
      <c r="L907"/>
    </row>
    <row r="908" spans="1:12" x14ac:dyDescent="0.25">
      <c r="A908"/>
      <c r="B908"/>
      <c r="C908"/>
      <c r="D908"/>
      <c r="E908"/>
      <c r="F908"/>
      <c r="G908"/>
      <c r="H908"/>
      <c r="I908"/>
      <c r="J908"/>
      <c r="K908"/>
      <c r="L908"/>
    </row>
    <row r="909" spans="1:12" x14ac:dyDescent="0.25">
      <c r="A909"/>
      <c r="B909"/>
      <c r="C909"/>
      <c r="D909"/>
      <c r="E909"/>
      <c r="F909"/>
      <c r="G909"/>
      <c r="H909"/>
      <c r="I909"/>
      <c r="J909"/>
      <c r="K909"/>
      <c r="L909"/>
    </row>
    <row r="910" spans="1:12" x14ac:dyDescent="0.25">
      <c r="A910"/>
      <c r="B910"/>
      <c r="C910"/>
      <c r="D910"/>
      <c r="E910"/>
      <c r="F910"/>
      <c r="G910"/>
      <c r="H910"/>
      <c r="I910"/>
      <c r="J910"/>
      <c r="K910"/>
      <c r="L910"/>
    </row>
    <row r="911" spans="1:12" x14ac:dyDescent="0.25">
      <c r="A911"/>
      <c r="B911"/>
      <c r="C911"/>
      <c r="D911"/>
      <c r="E911"/>
      <c r="F911"/>
      <c r="G911"/>
      <c r="H911"/>
      <c r="I911"/>
      <c r="J911"/>
      <c r="K911"/>
      <c r="L911"/>
    </row>
    <row r="912" spans="1:12" x14ac:dyDescent="0.25">
      <c r="A912"/>
      <c r="B912"/>
      <c r="C912"/>
      <c r="D912"/>
      <c r="E912"/>
      <c r="F912"/>
      <c r="G912"/>
      <c r="H912"/>
      <c r="I912"/>
      <c r="J912"/>
      <c r="K912"/>
      <c r="L912"/>
    </row>
    <row r="913" spans="1:12" x14ac:dyDescent="0.25">
      <c r="A913"/>
      <c r="B913"/>
      <c r="C913"/>
      <c r="D913"/>
      <c r="E913"/>
      <c r="F913"/>
      <c r="G913"/>
      <c r="H913"/>
      <c r="I913"/>
      <c r="J913"/>
      <c r="K913"/>
      <c r="L913"/>
    </row>
    <row r="914" spans="1:12" x14ac:dyDescent="0.25">
      <c r="A914"/>
      <c r="B914"/>
      <c r="C914"/>
      <c r="D914"/>
      <c r="E914"/>
      <c r="F914"/>
      <c r="G914"/>
      <c r="H914"/>
      <c r="I914"/>
      <c r="J914"/>
      <c r="K914"/>
      <c r="L914"/>
    </row>
    <row r="915" spans="1:12" x14ac:dyDescent="0.25">
      <c r="A915"/>
      <c r="B915"/>
      <c r="C915"/>
      <c r="D915"/>
      <c r="E915"/>
      <c r="F915"/>
      <c r="G915"/>
      <c r="H915"/>
      <c r="I915"/>
      <c r="J915"/>
      <c r="K915"/>
      <c r="L915"/>
    </row>
    <row r="916" spans="1:12" x14ac:dyDescent="0.25">
      <c r="A916"/>
      <c r="B916"/>
      <c r="C916"/>
      <c r="D916"/>
      <c r="E916"/>
      <c r="F916"/>
      <c r="G916"/>
      <c r="H916"/>
      <c r="I916"/>
      <c r="J916"/>
      <c r="K916"/>
      <c r="L916"/>
    </row>
    <row r="917" spans="1:12" x14ac:dyDescent="0.25">
      <c r="A917"/>
      <c r="B917"/>
      <c r="C917"/>
      <c r="D917"/>
      <c r="E917"/>
      <c r="F917"/>
      <c r="G917"/>
      <c r="H917"/>
      <c r="I917"/>
      <c r="J917"/>
      <c r="K917"/>
      <c r="L917"/>
    </row>
    <row r="918" spans="1:12" x14ac:dyDescent="0.25">
      <c r="A918"/>
      <c r="B918"/>
      <c r="C918"/>
      <c r="D918"/>
      <c r="E918"/>
      <c r="F918"/>
      <c r="G918"/>
      <c r="H918"/>
      <c r="I918"/>
      <c r="J918"/>
      <c r="K918"/>
      <c r="L918"/>
    </row>
    <row r="919" spans="1:12" x14ac:dyDescent="0.25">
      <c r="A919"/>
      <c r="B919"/>
      <c r="C919"/>
      <c r="D919"/>
      <c r="E919"/>
      <c r="F919"/>
      <c r="G919"/>
      <c r="H919"/>
      <c r="I919"/>
      <c r="J919"/>
      <c r="K919"/>
      <c r="L919"/>
    </row>
    <row r="920" spans="1:12" x14ac:dyDescent="0.25">
      <c r="A920"/>
      <c r="B920"/>
      <c r="C920"/>
      <c r="D920"/>
      <c r="E920"/>
      <c r="F920"/>
      <c r="G920"/>
      <c r="H920"/>
      <c r="I920"/>
      <c r="J920"/>
      <c r="K920"/>
      <c r="L920"/>
    </row>
    <row r="921" spans="1:12" x14ac:dyDescent="0.25">
      <c r="A921"/>
      <c r="B921"/>
      <c r="C921"/>
      <c r="D921"/>
      <c r="E921"/>
      <c r="F921"/>
      <c r="G921"/>
      <c r="H921"/>
      <c r="I921"/>
      <c r="J921"/>
      <c r="K921"/>
      <c r="L921"/>
    </row>
    <row r="922" spans="1:12" x14ac:dyDescent="0.25">
      <c r="A922"/>
      <c r="B922"/>
      <c r="C922"/>
      <c r="D922"/>
      <c r="E922"/>
      <c r="F922"/>
      <c r="G922"/>
      <c r="H922"/>
      <c r="I922"/>
      <c r="J922"/>
      <c r="K922"/>
      <c r="L922"/>
    </row>
    <row r="923" spans="1:12" x14ac:dyDescent="0.25">
      <c r="A923"/>
      <c r="B923"/>
      <c r="C923"/>
      <c r="D923"/>
      <c r="E923"/>
      <c r="F923"/>
      <c r="G923"/>
      <c r="H923"/>
      <c r="I923"/>
      <c r="J923"/>
      <c r="K923"/>
      <c r="L923"/>
    </row>
    <row r="924" spans="1:12" x14ac:dyDescent="0.25">
      <c r="A924"/>
      <c r="B924"/>
      <c r="C924"/>
      <c r="D924"/>
      <c r="E924"/>
      <c r="F924"/>
      <c r="G924"/>
      <c r="H924"/>
      <c r="I924"/>
      <c r="J924"/>
      <c r="K924"/>
      <c r="L924"/>
    </row>
    <row r="925" spans="1:12" x14ac:dyDescent="0.25">
      <c r="A925"/>
      <c r="B925"/>
      <c r="C925"/>
      <c r="D925"/>
      <c r="E925"/>
      <c r="F925"/>
      <c r="G925"/>
      <c r="H925"/>
      <c r="I925"/>
      <c r="J925"/>
      <c r="K925"/>
      <c r="L925"/>
    </row>
    <row r="926" spans="1:12" x14ac:dyDescent="0.25">
      <c r="A926"/>
      <c r="B926"/>
      <c r="C926"/>
      <c r="D926"/>
      <c r="E926"/>
      <c r="F926"/>
      <c r="G926"/>
      <c r="H926"/>
      <c r="I926"/>
      <c r="J926"/>
      <c r="K926"/>
      <c r="L926"/>
    </row>
    <row r="927" spans="1:12" x14ac:dyDescent="0.25">
      <c r="A927"/>
      <c r="B927"/>
      <c r="C927"/>
      <c r="D927"/>
      <c r="E927"/>
      <c r="F927"/>
      <c r="G927"/>
      <c r="H927"/>
      <c r="I927"/>
      <c r="J927"/>
      <c r="K927"/>
      <c r="L927"/>
    </row>
    <row r="928" spans="1:12" x14ac:dyDescent="0.25">
      <c r="A928"/>
      <c r="B928"/>
      <c r="C928"/>
      <c r="D928"/>
      <c r="E928"/>
      <c r="F928"/>
      <c r="G928"/>
      <c r="H928"/>
      <c r="I928"/>
      <c r="J928"/>
      <c r="K928"/>
      <c r="L928"/>
    </row>
    <row r="929" spans="1:12" x14ac:dyDescent="0.25">
      <c r="A929"/>
      <c r="B929"/>
      <c r="C929"/>
      <c r="D929"/>
      <c r="E929"/>
      <c r="F929"/>
      <c r="G929"/>
      <c r="H929"/>
      <c r="I929"/>
      <c r="J929"/>
      <c r="K929"/>
      <c r="L929"/>
    </row>
    <row r="930" spans="1:12" x14ac:dyDescent="0.25">
      <c r="A930"/>
      <c r="B930"/>
      <c r="C930"/>
      <c r="D930"/>
      <c r="E930"/>
      <c r="F930"/>
      <c r="G930"/>
      <c r="H930"/>
      <c r="I930"/>
      <c r="J930"/>
      <c r="K930"/>
      <c r="L930"/>
    </row>
    <row r="931" spans="1:12" x14ac:dyDescent="0.25">
      <c r="A931"/>
      <c r="B931"/>
      <c r="C931"/>
      <c r="D931"/>
      <c r="E931"/>
      <c r="F931"/>
      <c r="G931"/>
      <c r="H931"/>
      <c r="I931"/>
      <c r="J931"/>
      <c r="K931"/>
      <c r="L931"/>
    </row>
    <row r="932" spans="1:12" x14ac:dyDescent="0.25">
      <c r="A932"/>
      <c r="B932"/>
      <c r="C932"/>
      <c r="D932"/>
      <c r="E932"/>
      <c r="F932"/>
      <c r="G932"/>
      <c r="H932"/>
      <c r="I932"/>
      <c r="J932"/>
      <c r="K932"/>
      <c r="L932"/>
    </row>
    <row r="933" spans="1:12" x14ac:dyDescent="0.25">
      <c r="A933"/>
      <c r="B933"/>
      <c r="C933"/>
      <c r="D933"/>
      <c r="E933"/>
      <c r="F933"/>
      <c r="G933"/>
      <c r="H933"/>
      <c r="I933"/>
      <c r="J933"/>
      <c r="K933"/>
      <c r="L933"/>
    </row>
    <row r="934" spans="1:12" x14ac:dyDescent="0.25">
      <c r="A934"/>
      <c r="B934"/>
      <c r="C934"/>
      <c r="D934"/>
      <c r="E934"/>
      <c r="F934"/>
      <c r="G934"/>
      <c r="H934"/>
      <c r="I934"/>
      <c r="J934"/>
      <c r="K934"/>
      <c r="L934"/>
    </row>
    <row r="935" spans="1:12" x14ac:dyDescent="0.25">
      <c r="A935"/>
      <c r="B935"/>
      <c r="C935"/>
      <c r="D935"/>
      <c r="E935"/>
      <c r="F935"/>
      <c r="G935"/>
      <c r="H935"/>
      <c r="I935"/>
      <c r="J935"/>
      <c r="K935"/>
      <c r="L935"/>
    </row>
    <row r="936" spans="1:12" x14ac:dyDescent="0.25">
      <c r="A936"/>
      <c r="B936"/>
      <c r="C936"/>
      <c r="D936"/>
      <c r="E936"/>
      <c r="F936"/>
      <c r="G936"/>
      <c r="H936"/>
      <c r="I936"/>
      <c r="J936"/>
      <c r="K936"/>
      <c r="L936"/>
    </row>
    <row r="937" spans="1:12" x14ac:dyDescent="0.25">
      <c r="A937"/>
      <c r="B937"/>
      <c r="C937"/>
      <c r="D937"/>
      <c r="E937"/>
      <c r="F937"/>
      <c r="G937"/>
      <c r="H937"/>
      <c r="I937"/>
      <c r="J937"/>
      <c r="K937"/>
      <c r="L937"/>
    </row>
    <row r="938" spans="1:12" x14ac:dyDescent="0.25">
      <c r="A938"/>
      <c r="B938"/>
      <c r="C938"/>
      <c r="D938"/>
      <c r="E938"/>
      <c r="F938"/>
      <c r="G938"/>
      <c r="H938"/>
      <c r="I938"/>
      <c r="J938"/>
      <c r="K938"/>
      <c r="L938"/>
    </row>
    <row r="939" spans="1:12" x14ac:dyDescent="0.25">
      <c r="A939"/>
      <c r="B939"/>
      <c r="C939"/>
      <c r="D939"/>
      <c r="E939"/>
      <c r="F939"/>
      <c r="G939"/>
      <c r="H939"/>
      <c r="I939"/>
      <c r="J939"/>
      <c r="K939"/>
      <c r="L939"/>
    </row>
    <row r="940" spans="1:12" x14ac:dyDescent="0.25">
      <c r="A940"/>
      <c r="B940"/>
      <c r="C940"/>
      <c r="D940"/>
      <c r="E940"/>
      <c r="F940"/>
      <c r="G940"/>
      <c r="H940"/>
      <c r="I940"/>
      <c r="J940"/>
      <c r="K940"/>
      <c r="L940"/>
    </row>
    <row r="941" spans="1:12" x14ac:dyDescent="0.25">
      <c r="A941"/>
      <c r="B941"/>
      <c r="C941"/>
      <c r="D941"/>
      <c r="E941"/>
      <c r="F941"/>
      <c r="G941"/>
      <c r="H941"/>
      <c r="I941"/>
      <c r="J941"/>
      <c r="K941"/>
      <c r="L941"/>
    </row>
    <row r="942" spans="1:12" x14ac:dyDescent="0.25">
      <c r="A942"/>
      <c r="B942"/>
      <c r="C942"/>
      <c r="D942"/>
      <c r="E942"/>
      <c r="F942"/>
      <c r="G942"/>
      <c r="H942"/>
      <c r="I942"/>
      <c r="J942"/>
      <c r="K942"/>
      <c r="L942"/>
    </row>
    <row r="943" spans="1:12" x14ac:dyDescent="0.25">
      <c r="A943"/>
      <c r="B943"/>
      <c r="C943"/>
      <c r="D943"/>
      <c r="E943"/>
      <c r="F943"/>
      <c r="G943"/>
      <c r="H943"/>
      <c r="I943"/>
      <c r="J943"/>
      <c r="K943"/>
      <c r="L943"/>
    </row>
    <row r="944" spans="1:12" x14ac:dyDescent="0.25">
      <c r="A944"/>
      <c r="B944"/>
      <c r="C944"/>
      <c r="D944"/>
      <c r="E944"/>
      <c r="F944"/>
      <c r="G944"/>
      <c r="H944"/>
      <c r="I944"/>
      <c r="J944"/>
      <c r="K944"/>
      <c r="L944"/>
    </row>
    <row r="945" spans="1:12" x14ac:dyDescent="0.25">
      <c r="A945"/>
      <c r="B945"/>
      <c r="C945"/>
      <c r="D945"/>
      <c r="E945"/>
      <c r="F945"/>
      <c r="G945"/>
      <c r="H945"/>
      <c r="I945"/>
      <c r="J945"/>
      <c r="K945"/>
      <c r="L945"/>
    </row>
    <row r="946" spans="1:12" x14ac:dyDescent="0.25">
      <c r="A946"/>
      <c r="B946"/>
      <c r="C946"/>
      <c r="D946"/>
      <c r="E946"/>
      <c r="F946"/>
      <c r="G946"/>
      <c r="H946"/>
      <c r="I946"/>
      <c r="J946"/>
      <c r="K946"/>
      <c r="L946"/>
    </row>
    <row r="947" spans="1:12" x14ac:dyDescent="0.25">
      <c r="A947"/>
      <c r="B947"/>
      <c r="C947"/>
      <c r="D947"/>
      <c r="E947"/>
      <c r="F947"/>
      <c r="G947"/>
      <c r="H947"/>
      <c r="I947"/>
      <c r="J947"/>
      <c r="K947"/>
      <c r="L947"/>
    </row>
    <row r="948" spans="1:12" x14ac:dyDescent="0.25">
      <c r="A948"/>
      <c r="B948"/>
      <c r="C948"/>
      <c r="D948"/>
      <c r="E948"/>
      <c r="F948"/>
      <c r="G948"/>
      <c r="H948"/>
      <c r="I948"/>
      <c r="J948"/>
      <c r="K948"/>
      <c r="L948"/>
    </row>
    <row r="949" spans="1:12" x14ac:dyDescent="0.25">
      <c r="A949"/>
      <c r="B949"/>
      <c r="C949"/>
      <c r="D949"/>
      <c r="E949"/>
      <c r="F949"/>
      <c r="G949"/>
      <c r="H949"/>
      <c r="I949"/>
      <c r="J949"/>
      <c r="K949"/>
      <c r="L949"/>
    </row>
    <row r="950" spans="1:12" x14ac:dyDescent="0.25">
      <c r="A950"/>
      <c r="B950"/>
      <c r="C950"/>
      <c r="D950"/>
      <c r="E950"/>
      <c r="F950"/>
      <c r="G950"/>
      <c r="H950"/>
      <c r="I950"/>
      <c r="J950"/>
      <c r="K950"/>
      <c r="L950"/>
    </row>
    <row r="951" spans="1:12" x14ac:dyDescent="0.25">
      <c r="A951"/>
      <c r="B951"/>
      <c r="C951"/>
      <c r="D951"/>
      <c r="E951"/>
      <c r="F951"/>
      <c r="G951"/>
      <c r="H951"/>
      <c r="I951"/>
      <c r="J951"/>
      <c r="K951"/>
      <c r="L951"/>
    </row>
    <row r="952" spans="1:12" x14ac:dyDescent="0.25">
      <c r="A952"/>
      <c r="B952"/>
      <c r="C952"/>
      <c r="D952"/>
      <c r="E952"/>
      <c r="F952"/>
      <c r="G952"/>
      <c r="H952"/>
      <c r="I952"/>
      <c r="J952"/>
      <c r="K952"/>
      <c r="L952"/>
    </row>
    <row r="953" spans="1:12" x14ac:dyDescent="0.25">
      <c r="A953"/>
      <c r="B953"/>
      <c r="C953"/>
      <c r="D953"/>
      <c r="E953"/>
      <c r="F953"/>
      <c r="G953"/>
      <c r="H953"/>
      <c r="I953"/>
      <c r="J953"/>
      <c r="K953"/>
      <c r="L953"/>
    </row>
    <row r="954" spans="1:12" x14ac:dyDescent="0.25">
      <c r="A954"/>
      <c r="B954"/>
      <c r="C954"/>
      <c r="D954"/>
      <c r="E954"/>
      <c r="F954"/>
      <c r="G954"/>
      <c r="H954"/>
      <c r="I954"/>
      <c r="J954"/>
      <c r="K954"/>
      <c r="L954"/>
    </row>
    <row r="955" spans="1:12" x14ac:dyDescent="0.25">
      <c r="A955"/>
      <c r="B955"/>
      <c r="C955"/>
      <c r="D955"/>
      <c r="E955"/>
      <c r="F955"/>
      <c r="G955"/>
      <c r="H955"/>
      <c r="I955"/>
      <c r="J955"/>
      <c r="K955"/>
      <c r="L955"/>
    </row>
    <row r="956" spans="1:12" x14ac:dyDescent="0.25">
      <c r="A956"/>
      <c r="B956"/>
      <c r="C956"/>
      <c r="D956"/>
      <c r="E956"/>
      <c r="F956"/>
      <c r="G956"/>
      <c r="H956"/>
      <c r="I956"/>
      <c r="J956"/>
      <c r="K956"/>
      <c r="L956"/>
    </row>
    <row r="957" spans="1:12" x14ac:dyDescent="0.25">
      <c r="A957"/>
      <c r="B957"/>
      <c r="C957"/>
      <c r="D957"/>
      <c r="E957"/>
      <c r="F957"/>
      <c r="G957"/>
      <c r="H957"/>
      <c r="I957"/>
      <c r="J957"/>
      <c r="K957"/>
      <c r="L957"/>
    </row>
    <row r="958" spans="1:12" x14ac:dyDescent="0.25">
      <c r="A958"/>
      <c r="B958"/>
      <c r="C958"/>
      <c r="D958"/>
      <c r="E958"/>
      <c r="F958"/>
      <c r="G958"/>
      <c r="H958"/>
      <c r="I958"/>
      <c r="J958"/>
      <c r="K958"/>
      <c r="L958"/>
    </row>
    <row r="959" spans="1:12" x14ac:dyDescent="0.25">
      <c r="A959"/>
      <c r="B959"/>
      <c r="C959"/>
      <c r="D959"/>
      <c r="E959"/>
      <c r="F959"/>
      <c r="G959"/>
      <c r="H959"/>
      <c r="I959"/>
      <c r="J959"/>
      <c r="K959"/>
      <c r="L959"/>
    </row>
    <row r="960" spans="1:12" x14ac:dyDescent="0.25">
      <c r="A960"/>
      <c r="B960"/>
      <c r="C960"/>
      <c r="D960"/>
      <c r="E960"/>
      <c r="F960"/>
      <c r="G960"/>
      <c r="H960"/>
      <c r="I960"/>
      <c r="J960"/>
      <c r="K960"/>
      <c r="L960"/>
    </row>
    <row r="961" spans="1:12" x14ac:dyDescent="0.25">
      <c r="A961"/>
      <c r="B961"/>
      <c r="C961"/>
      <c r="D961"/>
      <c r="E961"/>
      <c r="F961"/>
      <c r="G961"/>
      <c r="H961"/>
      <c r="I961"/>
      <c r="J961"/>
      <c r="K961"/>
      <c r="L961"/>
    </row>
    <row r="962" spans="1:12" x14ac:dyDescent="0.25">
      <c r="A962"/>
      <c r="B962"/>
      <c r="C962"/>
      <c r="D962"/>
      <c r="E962"/>
      <c r="F962"/>
      <c r="G962"/>
      <c r="H962"/>
      <c r="I962"/>
      <c r="J962"/>
      <c r="K962"/>
      <c r="L962"/>
    </row>
    <row r="963" spans="1:12" x14ac:dyDescent="0.25">
      <c r="A963"/>
      <c r="B963"/>
      <c r="C963"/>
      <c r="D963"/>
      <c r="E963"/>
      <c r="F963"/>
      <c r="G963"/>
      <c r="H963"/>
      <c r="I963"/>
      <c r="J963"/>
      <c r="K963"/>
      <c r="L963"/>
    </row>
    <row r="964" spans="1:12" x14ac:dyDescent="0.25">
      <c r="A964"/>
      <c r="B964"/>
      <c r="C964"/>
      <c r="D964"/>
      <c r="E964"/>
      <c r="F964"/>
      <c r="G964"/>
      <c r="H964"/>
      <c r="I964"/>
      <c r="J964"/>
      <c r="K964"/>
      <c r="L964"/>
    </row>
    <row r="965" spans="1:12" x14ac:dyDescent="0.25">
      <c r="A965"/>
      <c r="B965"/>
      <c r="C965"/>
      <c r="D965"/>
      <c r="E965"/>
      <c r="F965"/>
      <c r="G965"/>
      <c r="H965"/>
      <c r="I965"/>
      <c r="J965"/>
      <c r="K965"/>
      <c r="L965"/>
    </row>
    <row r="966" spans="1:12" x14ac:dyDescent="0.25">
      <c r="A966"/>
      <c r="B966"/>
      <c r="C966"/>
      <c r="D966"/>
      <c r="E966"/>
      <c r="F966"/>
      <c r="G966"/>
      <c r="H966"/>
      <c r="I966"/>
      <c r="J966"/>
      <c r="K966"/>
      <c r="L966"/>
    </row>
    <row r="967" spans="1:12" x14ac:dyDescent="0.25">
      <c r="A967"/>
      <c r="B967"/>
      <c r="C967"/>
      <c r="D967"/>
      <c r="E967"/>
      <c r="F967"/>
      <c r="G967"/>
      <c r="H967"/>
      <c r="I967"/>
      <c r="J967"/>
      <c r="K967"/>
      <c r="L967"/>
    </row>
    <row r="968" spans="1:12" x14ac:dyDescent="0.25">
      <c r="A968"/>
      <c r="B968"/>
      <c r="C968"/>
      <c r="D968"/>
      <c r="E968"/>
      <c r="F968"/>
      <c r="G968"/>
      <c r="H968"/>
      <c r="I968"/>
      <c r="J968"/>
      <c r="K968"/>
      <c r="L968"/>
    </row>
    <row r="969" spans="1:12" x14ac:dyDescent="0.25">
      <c r="A969"/>
      <c r="B969"/>
      <c r="C969"/>
      <c r="D969"/>
      <c r="E969"/>
      <c r="F969"/>
      <c r="G969"/>
      <c r="H969"/>
      <c r="I969"/>
      <c r="J969"/>
      <c r="K969"/>
      <c r="L969"/>
    </row>
    <row r="970" spans="1:12" x14ac:dyDescent="0.25">
      <c r="A970"/>
      <c r="B970"/>
      <c r="C970"/>
      <c r="D970"/>
      <c r="E970"/>
      <c r="F970"/>
      <c r="G970"/>
      <c r="H970"/>
      <c r="I970"/>
      <c r="J970"/>
      <c r="K970"/>
      <c r="L970"/>
    </row>
    <row r="971" spans="1:12" x14ac:dyDescent="0.25">
      <c r="A971"/>
      <c r="B971"/>
      <c r="C971"/>
      <c r="D971"/>
      <c r="E971"/>
      <c r="F971"/>
      <c r="G971"/>
      <c r="H971"/>
      <c r="I971"/>
      <c r="J971"/>
      <c r="K971"/>
      <c r="L971"/>
    </row>
    <row r="972" spans="1:12" x14ac:dyDescent="0.25">
      <c r="A972"/>
      <c r="B972"/>
      <c r="C972"/>
      <c r="D972"/>
      <c r="E972"/>
      <c r="F972"/>
      <c r="G972"/>
      <c r="H972"/>
      <c r="I972"/>
      <c r="J972"/>
      <c r="K972"/>
      <c r="L972"/>
    </row>
    <row r="973" spans="1:12" x14ac:dyDescent="0.25">
      <c r="A973"/>
      <c r="B973"/>
      <c r="C973"/>
      <c r="D973"/>
      <c r="E973"/>
      <c r="F973"/>
      <c r="G973"/>
      <c r="H973"/>
      <c r="I973"/>
      <c r="J973"/>
      <c r="K973"/>
      <c r="L973"/>
    </row>
    <row r="974" spans="1:12" x14ac:dyDescent="0.25">
      <c r="A974"/>
      <c r="B974"/>
      <c r="C974"/>
      <c r="D974"/>
      <c r="E974"/>
      <c r="F974"/>
      <c r="G974"/>
      <c r="H974"/>
      <c r="I974"/>
      <c r="J974"/>
      <c r="K974"/>
      <c r="L974"/>
    </row>
    <row r="975" spans="1:12" x14ac:dyDescent="0.25">
      <c r="A975"/>
      <c r="B975"/>
      <c r="C975"/>
      <c r="D975"/>
      <c r="E975"/>
      <c r="F975"/>
      <c r="G975"/>
      <c r="H975"/>
      <c r="I975"/>
      <c r="J975"/>
      <c r="K975"/>
      <c r="L975"/>
    </row>
    <row r="976" spans="1:12" x14ac:dyDescent="0.25">
      <c r="A976"/>
      <c r="B976"/>
      <c r="C976"/>
      <c r="D976"/>
      <c r="E976"/>
      <c r="F976"/>
      <c r="G976"/>
      <c r="H976"/>
      <c r="I976"/>
      <c r="J976"/>
      <c r="K976"/>
      <c r="L976"/>
    </row>
    <row r="977" spans="1:12" x14ac:dyDescent="0.25">
      <c r="A977"/>
      <c r="B977"/>
      <c r="C977"/>
      <c r="D977"/>
      <c r="E977"/>
      <c r="F977"/>
      <c r="G977"/>
      <c r="H977"/>
      <c r="I977"/>
      <c r="J977"/>
      <c r="K977"/>
      <c r="L977"/>
    </row>
    <row r="978" spans="1:12" x14ac:dyDescent="0.25">
      <c r="A978"/>
      <c r="B978"/>
      <c r="C978"/>
      <c r="D978"/>
      <c r="E978"/>
      <c r="F978"/>
      <c r="G978"/>
      <c r="H978"/>
      <c r="I978"/>
      <c r="J978"/>
      <c r="K978"/>
      <c r="L978"/>
    </row>
    <row r="979" spans="1:12" x14ac:dyDescent="0.25">
      <c r="A979"/>
      <c r="B979"/>
      <c r="C979"/>
      <c r="D979"/>
      <c r="E979"/>
      <c r="F979"/>
      <c r="G979"/>
      <c r="H979"/>
      <c r="I979"/>
      <c r="J979"/>
      <c r="K979"/>
      <c r="L979"/>
    </row>
    <row r="980" spans="1:12" x14ac:dyDescent="0.25">
      <c r="A980"/>
      <c r="B980"/>
      <c r="C980"/>
      <c r="D980"/>
      <c r="E980"/>
      <c r="F980"/>
      <c r="G980"/>
      <c r="H980"/>
      <c r="I980"/>
      <c r="J980"/>
      <c r="K980"/>
      <c r="L980"/>
    </row>
    <row r="981" spans="1:12" x14ac:dyDescent="0.25">
      <c r="A981"/>
      <c r="B981"/>
      <c r="C981"/>
      <c r="D981"/>
      <c r="E981"/>
      <c r="F981"/>
      <c r="G981"/>
      <c r="H981"/>
      <c r="I981"/>
      <c r="J981"/>
      <c r="K981"/>
      <c r="L981"/>
    </row>
    <row r="982" spans="1:12" x14ac:dyDescent="0.25">
      <c r="A982"/>
      <c r="B982"/>
      <c r="C982"/>
      <c r="D982"/>
      <c r="E982"/>
      <c r="F982"/>
      <c r="G982"/>
      <c r="H982"/>
      <c r="I982"/>
      <c r="J982"/>
      <c r="K982"/>
      <c r="L982"/>
    </row>
    <row r="983" spans="1:12" x14ac:dyDescent="0.25">
      <c r="A983"/>
      <c r="B983"/>
      <c r="C983"/>
      <c r="D983"/>
      <c r="E983"/>
      <c r="F983"/>
      <c r="G983"/>
      <c r="H983"/>
      <c r="I983"/>
      <c r="J983"/>
      <c r="K983"/>
      <c r="L983"/>
    </row>
    <row r="984" spans="1:12" x14ac:dyDescent="0.25">
      <c r="A984"/>
      <c r="B984"/>
      <c r="C984"/>
      <c r="D984"/>
      <c r="E984"/>
      <c r="F984"/>
      <c r="G984"/>
      <c r="H984"/>
      <c r="I984"/>
      <c r="J984"/>
      <c r="K984"/>
      <c r="L984"/>
    </row>
    <row r="985" spans="1:12" x14ac:dyDescent="0.25">
      <c r="A985"/>
      <c r="B985"/>
      <c r="C985"/>
      <c r="D985"/>
      <c r="E985"/>
      <c r="F985"/>
      <c r="G985"/>
      <c r="H985"/>
      <c r="I985"/>
      <c r="J985"/>
      <c r="K985"/>
      <c r="L985"/>
    </row>
    <row r="986" spans="1:12" x14ac:dyDescent="0.25">
      <c r="A986"/>
      <c r="B986"/>
      <c r="C986"/>
      <c r="D986"/>
      <c r="E986"/>
      <c r="F986"/>
      <c r="G986"/>
      <c r="H986"/>
      <c r="I986"/>
      <c r="J986"/>
      <c r="K986"/>
      <c r="L986"/>
    </row>
    <row r="987" spans="1:12" x14ac:dyDescent="0.25">
      <c r="A987"/>
      <c r="B987"/>
      <c r="C987"/>
      <c r="D987"/>
      <c r="E987"/>
      <c r="F987"/>
      <c r="G987"/>
      <c r="H987"/>
      <c r="I987"/>
      <c r="J987"/>
      <c r="K987"/>
      <c r="L987"/>
    </row>
    <row r="988" spans="1:12" x14ac:dyDescent="0.25">
      <c r="A988"/>
      <c r="B988"/>
      <c r="C988"/>
      <c r="D988"/>
      <c r="E988"/>
      <c r="F988"/>
      <c r="G988"/>
      <c r="H988"/>
      <c r="I988"/>
      <c r="J988"/>
      <c r="K988"/>
      <c r="L988"/>
    </row>
    <row r="989" spans="1:12" x14ac:dyDescent="0.25">
      <c r="A989"/>
      <c r="B989"/>
      <c r="C989"/>
      <c r="D989"/>
      <c r="E989"/>
      <c r="F989"/>
      <c r="G989"/>
      <c r="H989"/>
      <c r="I989"/>
      <c r="J989"/>
      <c r="K989"/>
      <c r="L989"/>
    </row>
    <row r="990" spans="1:12" x14ac:dyDescent="0.25">
      <c r="A990"/>
      <c r="B990"/>
      <c r="C990"/>
      <c r="D990"/>
      <c r="E990"/>
      <c r="F990"/>
      <c r="G990"/>
      <c r="H990"/>
      <c r="I990"/>
      <c r="J990"/>
      <c r="K990"/>
      <c r="L990"/>
    </row>
    <row r="991" spans="1:12" x14ac:dyDescent="0.25">
      <c r="A991"/>
      <c r="B991"/>
      <c r="C991"/>
      <c r="D991"/>
      <c r="E991"/>
      <c r="F991"/>
      <c r="G991"/>
      <c r="H991"/>
      <c r="I991"/>
      <c r="J991"/>
      <c r="K991"/>
      <c r="L991"/>
    </row>
    <row r="992" spans="1:12" x14ac:dyDescent="0.25">
      <c r="A992"/>
      <c r="B992"/>
      <c r="C992"/>
      <c r="D992"/>
      <c r="E992"/>
      <c r="F992"/>
      <c r="G992"/>
      <c r="H992"/>
      <c r="I992"/>
      <c r="J992"/>
      <c r="K992"/>
      <c r="L992"/>
    </row>
    <row r="993" spans="1:12" x14ac:dyDescent="0.25">
      <c r="A993"/>
      <c r="B993"/>
      <c r="C993"/>
      <c r="D993"/>
      <c r="E993"/>
      <c r="F993"/>
      <c r="G993"/>
      <c r="H993"/>
      <c r="I993"/>
      <c r="J993"/>
      <c r="K993"/>
      <c r="L993"/>
    </row>
    <row r="994" spans="1:12" x14ac:dyDescent="0.25">
      <c r="A994"/>
      <c r="B994"/>
      <c r="C994"/>
      <c r="D994"/>
      <c r="E994"/>
      <c r="F994"/>
      <c r="G994"/>
      <c r="H994"/>
      <c r="I994"/>
      <c r="J994"/>
      <c r="K994"/>
      <c r="L994"/>
    </row>
    <row r="995" spans="1:12" x14ac:dyDescent="0.25">
      <c r="A995"/>
      <c r="B995"/>
      <c r="C995"/>
      <c r="D995"/>
      <c r="E995"/>
      <c r="F995"/>
      <c r="G995"/>
      <c r="H995"/>
      <c r="I995"/>
      <c r="J995"/>
      <c r="K995"/>
      <c r="L995"/>
    </row>
    <row r="996" spans="1:12" x14ac:dyDescent="0.25">
      <c r="A996"/>
      <c r="B996"/>
      <c r="C996"/>
      <c r="D996"/>
      <c r="E996"/>
      <c r="F996"/>
      <c r="G996"/>
      <c r="H996"/>
      <c r="I996"/>
      <c r="J996"/>
      <c r="K996"/>
      <c r="L996"/>
    </row>
    <row r="997" spans="1:12" x14ac:dyDescent="0.25">
      <c r="A997"/>
      <c r="B997"/>
      <c r="C997"/>
      <c r="D997"/>
      <c r="E997"/>
      <c r="F997"/>
      <c r="G997"/>
      <c r="H997"/>
      <c r="I997"/>
      <c r="J997"/>
      <c r="K997"/>
      <c r="L997"/>
    </row>
    <row r="998" spans="1:12" x14ac:dyDescent="0.25">
      <c r="A998"/>
      <c r="B998"/>
      <c r="C998"/>
      <c r="D998"/>
      <c r="E998"/>
      <c r="F998"/>
      <c r="G998"/>
      <c r="H998"/>
      <c r="I998"/>
      <c r="J998"/>
      <c r="K998"/>
      <c r="L998"/>
    </row>
    <row r="999" spans="1:12" x14ac:dyDescent="0.25">
      <c r="A999"/>
      <c r="B999"/>
      <c r="C999"/>
      <c r="D999"/>
      <c r="E999"/>
      <c r="F999"/>
      <c r="G999"/>
      <c r="H999"/>
      <c r="I999"/>
      <c r="J999"/>
      <c r="K999"/>
      <c r="L999"/>
    </row>
    <row r="1000" spans="1:12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</row>
  </sheetData>
  <sheetProtection algorithmName="SHA-512" hashValue="CTZwhsHEK4ZjKGE9sj/qfMFwHiW4FdHsD4dwPpfhkw1AVBsqEabDG1gDEE///zvDA7tosKFb3zkhAA8Ou2peWA==" saltValue="GoBI4JXi0Tn+Ys7DBdwKi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R201"/>
  <sheetViews>
    <sheetView tabSelected="1" zoomScale="90" zoomScaleNormal="9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U11" sqref="U11"/>
    </sheetView>
  </sheetViews>
  <sheetFormatPr defaultRowHeight="15" x14ac:dyDescent="0.25"/>
  <cols>
    <col min="1" max="1" width="14.85546875" bestFit="1" customWidth="1"/>
    <col min="2" max="2" width="22" bestFit="1" customWidth="1"/>
    <col min="3" max="3" width="15.7109375" bestFit="1" customWidth="1"/>
    <col min="4" max="4" width="16.28515625" bestFit="1" customWidth="1"/>
    <col min="5" max="5" width="8.140625" bestFit="1" customWidth="1"/>
    <col min="6" max="7" width="8.42578125" bestFit="1" customWidth="1"/>
    <col min="8" max="8" width="15.5703125" bestFit="1" customWidth="1"/>
    <col min="9" max="9" width="6.140625" bestFit="1" customWidth="1"/>
    <col min="10" max="10" width="8.140625" bestFit="1" customWidth="1"/>
    <col min="11" max="11" width="9" bestFit="1" customWidth="1"/>
    <col min="12" max="12" width="6" bestFit="1" customWidth="1"/>
    <col min="13" max="13" width="15.5703125" bestFit="1" customWidth="1"/>
    <col min="14" max="14" width="6.140625" bestFit="1" customWidth="1"/>
    <col min="15" max="15" width="8.140625" bestFit="1" customWidth="1"/>
    <col min="16" max="16" width="8.85546875" bestFit="1" customWidth="1"/>
    <col min="17" max="17" width="6" bestFit="1" customWidth="1"/>
    <col min="18" max="18" width="15.5703125" bestFit="1" customWidth="1"/>
    <col min="19" max="19" width="6.140625" bestFit="1" customWidth="1"/>
    <col min="20" max="20" width="8.140625" bestFit="1" customWidth="1"/>
    <col min="21" max="21" width="8.85546875" bestFit="1" customWidth="1"/>
    <col min="22" max="22" width="6" bestFit="1" customWidth="1"/>
    <col min="23" max="23" width="15.5703125" bestFit="1" customWidth="1"/>
    <col min="24" max="24" width="6.140625" bestFit="1" customWidth="1"/>
    <col min="25" max="25" width="8.140625" bestFit="1" customWidth="1"/>
    <col min="26" max="26" width="8.85546875" bestFit="1" customWidth="1"/>
    <col min="27" max="27" width="6" bestFit="1" customWidth="1"/>
    <col min="28" max="28" width="15.5703125" bestFit="1" customWidth="1"/>
    <col min="29" max="29" width="6.140625" bestFit="1" customWidth="1"/>
    <col min="30" max="30" width="8.140625" bestFit="1" customWidth="1"/>
    <col min="31" max="31" width="8.85546875" bestFit="1" customWidth="1"/>
    <col min="32" max="32" width="6" bestFit="1" customWidth="1"/>
    <col min="33" max="33" width="15.5703125" bestFit="1" customWidth="1"/>
    <col min="34" max="34" width="6.140625" bestFit="1" customWidth="1"/>
    <col min="35" max="35" width="8.140625" bestFit="1" customWidth="1"/>
    <col min="36" max="36" width="8.85546875" bestFit="1" customWidth="1"/>
    <col min="37" max="37" width="5.28515625" bestFit="1" customWidth="1"/>
    <col min="38" max="38" width="15.5703125" bestFit="1" customWidth="1"/>
    <col min="39" max="39" width="6.140625" bestFit="1" customWidth="1"/>
    <col min="40" max="40" width="15.5703125" bestFit="1" customWidth="1"/>
    <col min="41" max="41" width="22.28515625" bestFit="1" customWidth="1"/>
    <col min="42" max="42" width="20.28515625" customWidth="1"/>
    <col min="43" max="43" width="18.7109375" bestFit="1" customWidth="1"/>
    <col min="44" max="44" width="20" bestFit="1" customWidth="1"/>
  </cols>
  <sheetData>
    <row r="1" spans="1:44" ht="26.25" x14ac:dyDescent="0.25">
      <c r="A1" s="46" t="s">
        <v>15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</row>
    <row r="2" spans="1:44" x14ac:dyDescent="0.25">
      <c r="B2" s="6">
        <v>44368</v>
      </c>
      <c r="C2" s="6"/>
    </row>
    <row r="3" spans="1:44" x14ac:dyDescent="0.25">
      <c r="A3" t="s">
        <v>16</v>
      </c>
      <c r="B3" s="16">
        <f>B2-WEEKDAY(B2,2)</f>
        <v>44367</v>
      </c>
      <c r="C3" s="16"/>
    </row>
    <row r="4" spans="1:44" ht="15.75" thickBot="1" x14ac:dyDescent="0.3">
      <c r="A4" t="s">
        <v>17</v>
      </c>
      <c r="B4" s="6">
        <f>B3+6</f>
        <v>44373</v>
      </c>
      <c r="C4" s="6"/>
    </row>
    <row r="5" spans="1:44" x14ac:dyDescent="0.25">
      <c r="E5" s="48">
        <f>B3</f>
        <v>44367</v>
      </c>
      <c r="F5" s="49"/>
      <c r="G5" s="49"/>
      <c r="H5" s="50"/>
      <c r="I5" s="51"/>
      <c r="J5" s="56">
        <f>E5+1</f>
        <v>44368</v>
      </c>
      <c r="K5" s="57"/>
      <c r="L5" s="57"/>
      <c r="M5" s="57"/>
      <c r="N5" s="58"/>
      <c r="O5" s="56">
        <f>J5+1</f>
        <v>44369</v>
      </c>
      <c r="P5" s="57"/>
      <c r="Q5" s="57"/>
      <c r="R5" s="57"/>
      <c r="S5" s="58"/>
      <c r="T5" s="56">
        <f>O5+1</f>
        <v>44370</v>
      </c>
      <c r="U5" s="57"/>
      <c r="V5" s="57"/>
      <c r="W5" s="57"/>
      <c r="X5" s="58"/>
      <c r="Y5" s="56">
        <f>T5+1</f>
        <v>44371</v>
      </c>
      <c r="Z5" s="57"/>
      <c r="AA5" s="57"/>
      <c r="AB5" s="57"/>
      <c r="AC5" s="58"/>
      <c r="AD5" s="56">
        <f>Y5+1</f>
        <v>44372</v>
      </c>
      <c r="AE5" s="57"/>
      <c r="AF5" s="57"/>
      <c r="AG5" s="57"/>
      <c r="AH5" s="58"/>
      <c r="AI5" s="56">
        <f>AD5+1</f>
        <v>44373</v>
      </c>
      <c r="AJ5" s="57"/>
      <c r="AK5" s="57"/>
      <c r="AL5" s="57"/>
      <c r="AM5" s="58"/>
      <c r="AP5" s="41" t="s">
        <v>41</v>
      </c>
    </row>
    <row r="6" spans="1:44" x14ac:dyDescent="0.25">
      <c r="E6" s="52" t="s">
        <v>24</v>
      </c>
      <c r="F6" s="53"/>
      <c r="G6" s="53"/>
      <c r="H6" s="54"/>
      <c r="I6" s="55"/>
      <c r="J6" s="59" t="s">
        <v>18</v>
      </c>
      <c r="K6" s="60"/>
      <c r="L6" s="60"/>
      <c r="M6" s="60"/>
      <c r="N6" s="61"/>
      <c r="O6" s="59" t="s">
        <v>19</v>
      </c>
      <c r="P6" s="60"/>
      <c r="Q6" s="60"/>
      <c r="R6" s="60"/>
      <c r="S6" s="61"/>
      <c r="T6" s="59" t="s">
        <v>20</v>
      </c>
      <c r="U6" s="60"/>
      <c r="V6" s="60"/>
      <c r="W6" s="60"/>
      <c r="X6" s="61"/>
      <c r="Y6" s="59" t="s">
        <v>21</v>
      </c>
      <c r="Z6" s="60"/>
      <c r="AA6" s="60"/>
      <c r="AB6" s="60"/>
      <c r="AC6" s="61"/>
      <c r="AD6" s="59" t="s">
        <v>22</v>
      </c>
      <c r="AE6" s="60"/>
      <c r="AF6" s="60"/>
      <c r="AG6" s="60"/>
      <c r="AH6" s="61"/>
      <c r="AI6" s="59" t="s">
        <v>23</v>
      </c>
      <c r="AJ6" s="60"/>
      <c r="AK6" s="60"/>
      <c r="AL6" s="60"/>
      <c r="AM6" s="61"/>
      <c r="AP6" s="42">
        <v>10.5</v>
      </c>
    </row>
    <row r="7" spans="1:44" ht="15.75" thickBot="1" x14ac:dyDescent="0.3">
      <c r="A7" s="4" t="s">
        <v>1</v>
      </c>
      <c r="B7" s="4" t="s">
        <v>12</v>
      </c>
      <c r="C7" s="7" t="s">
        <v>236</v>
      </c>
      <c r="D7" s="7" t="s">
        <v>27</v>
      </c>
      <c r="E7" s="18" t="s">
        <v>34</v>
      </c>
      <c r="F7" s="19" t="s">
        <v>35</v>
      </c>
      <c r="G7" s="19" t="s">
        <v>26</v>
      </c>
      <c r="H7" s="20" t="s">
        <v>37</v>
      </c>
      <c r="I7" s="21" t="s">
        <v>25</v>
      </c>
      <c r="J7" s="18" t="s">
        <v>34</v>
      </c>
      <c r="K7" s="19" t="s">
        <v>35</v>
      </c>
      <c r="L7" s="19" t="s">
        <v>26</v>
      </c>
      <c r="M7" s="20" t="s">
        <v>37</v>
      </c>
      <c r="N7" s="21" t="s">
        <v>25</v>
      </c>
      <c r="O7" s="18" t="s">
        <v>34</v>
      </c>
      <c r="P7" s="19" t="s">
        <v>35</v>
      </c>
      <c r="Q7" s="19" t="s">
        <v>26</v>
      </c>
      <c r="R7" s="20" t="s">
        <v>37</v>
      </c>
      <c r="S7" s="21" t="s">
        <v>25</v>
      </c>
      <c r="T7" s="18" t="s">
        <v>34</v>
      </c>
      <c r="U7" s="19" t="s">
        <v>35</v>
      </c>
      <c r="V7" s="19" t="s">
        <v>26</v>
      </c>
      <c r="W7" s="20" t="s">
        <v>37</v>
      </c>
      <c r="X7" s="21" t="s">
        <v>25</v>
      </c>
      <c r="Y7" s="18" t="s">
        <v>34</v>
      </c>
      <c r="Z7" s="19" t="s">
        <v>35</v>
      </c>
      <c r="AA7" s="19" t="s">
        <v>26</v>
      </c>
      <c r="AB7" s="20" t="s">
        <v>37</v>
      </c>
      <c r="AC7" s="21" t="s">
        <v>25</v>
      </c>
      <c r="AD7" s="18" t="s">
        <v>34</v>
      </c>
      <c r="AE7" s="19" t="s">
        <v>35</v>
      </c>
      <c r="AF7" s="19" t="s">
        <v>26</v>
      </c>
      <c r="AG7" s="20" t="s">
        <v>37</v>
      </c>
      <c r="AH7" s="21" t="s">
        <v>25</v>
      </c>
      <c r="AI7" s="18" t="s">
        <v>34</v>
      </c>
      <c r="AJ7" s="19" t="s">
        <v>35</v>
      </c>
      <c r="AK7" s="19" t="s">
        <v>26</v>
      </c>
      <c r="AL7" s="20" t="s">
        <v>37</v>
      </c>
      <c r="AM7" s="21" t="s">
        <v>25</v>
      </c>
      <c r="AN7" s="8" t="s">
        <v>36</v>
      </c>
      <c r="AO7" s="5" t="s">
        <v>38</v>
      </c>
      <c r="AP7" s="43" t="s">
        <v>40</v>
      </c>
      <c r="AQ7" s="8" t="s">
        <v>37</v>
      </c>
      <c r="AR7" s="8" t="s">
        <v>39</v>
      </c>
    </row>
    <row r="8" spans="1:44" x14ac:dyDescent="0.25">
      <c r="A8" s="9">
        <f t="array" ref="A8">IFERROR(INDEX(Output!A$1:A$2000,MATCH(0,COUNTIF(Prediction!$A$7:A7,Output!A$1:A$2000),0)),"")</f>
        <v>0</v>
      </c>
      <c r="B8" t="str">
        <f>IFERROR(VLOOKUP($A8,Output!$A:$M,2,FALSE),"")</f>
        <v/>
      </c>
      <c r="C8" t="str">
        <f>IFERROR(VLOOKUP(B8,Departments!B:C,2,FALSE),"")</f>
        <v/>
      </c>
      <c r="D8" t="str">
        <f>IFERROR(VLOOKUP($A8,Output!$A:$M,13,FALSE),"")</f>
        <v/>
      </c>
      <c r="E8" s="26">
        <f>IFERROR(VLOOKUP($D8,Schedules!$A:$I,MATCH(Prediction!E$6,Schedules!$A$1:$H$1,0),FALSE),0)</f>
        <v>0</v>
      </c>
      <c r="F8" s="27">
        <f>IF(E8=0,0,SUMIFS(Output!$L:$L,Output!$A:$A,Prediction!$A8,Output!$C:$C,Prediction!E$5))</f>
        <v>0</v>
      </c>
      <c r="G8" s="27">
        <f>IF(I8&gt;E8, I8-E8, 0)</f>
        <v>0</v>
      </c>
      <c r="H8" s="24">
        <f>IF(AND($E$5&gt;$B$3,E8&gt;0),E8,0)</f>
        <v>0</v>
      </c>
      <c r="I8" s="28">
        <f>SUMIFS(Output!$L:$L,Output!$A:$A,Prediction!$A8,Output!$C:$C,Prediction!E$5)</f>
        <v>0</v>
      </c>
      <c r="J8" s="26">
        <f>IFERROR(VLOOKUP($D8,Schedules!$A:$I,MATCH(Prediction!J$6,Schedules!$A$1:$H$1,0),FALSE),0)</f>
        <v>0</v>
      </c>
      <c r="K8" s="27">
        <f>IF(J8=0,0,SUMIFS(Output!$L:$L,Output!$A:$A,Prediction!$A8,Output!$C:$C,Prediction!J$5))</f>
        <v>0</v>
      </c>
      <c r="L8" s="27">
        <f>IF(N8&gt;J8, N8-J8, 0)</f>
        <v>0</v>
      </c>
      <c r="M8" s="27">
        <f t="shared" ref="M8:M39" si="0">IF(AND($J$5&gt;$B$3,J8&gt;0),J8,0)</f>
        <v>0</v>
      </c>
      <c r="N8" s="28">
        <f>SUMIFS(Output!$L:$L,Output!$A:$A,Prediction!$A8,Output!$C:$C,Prediction!J$5)</f>
        <v>0</v>
      </c>
      <c r="O8" s="26">
        <f>IFERROR(VLOOKUP($D8,Schedules!$A:$I,MATCH(Prediction!O$6,Schedules!$A$1:$H$1,0),FALSE),0)</f>
        <v>0</v>
      </c>
      <c r="P8" s="27">
        <f>IF(O8=0,0,SUMIFS(Output!$L:$L,Output!$A:$A,Prediction!$A8,Output!$C:$C,Prediction!O$5))</f>
        <v>0</v>
      </c>
      <c r="Q8" s="27">
        <f>IF(S8&gt;O8, S8-O8, 0)</f>
        <v>0</v>
      </c>
      <c r="R8" s="27">
        <f t="shared" ref="R8:R39" si="1">IF(AND($O$5&gt;$B$3,O8&gt;0),O8,0)</f>
        <v>0</v>
      </c>
      <c r="S8" s="28">
        <f>SUMIFS(Output!$L:$L,Output!$A:$A,Prediction!$A8,Output!$C:$C,Prediction!O$5)</f>
        <v>0</v>
      </c>
      <c r="T8" s="26">
        <f>IFERROR(VLOOKUP($D8,Schedules!$A:$I,MATCH(Prediction!T$6,Schedules!$A$1:$H$1,0),FALSE),0)</f>
        <v>0</v>
      </c>
      <c r="U8" s="27">
        <f>IF(T8=0,0,SUMIFS(Output!$L:$L,Output!$A:$A,Prediction!$A8,Output!$C:$C,Prediction!T$5))</f>
        <v>0</v>
      </c>
      <c r="V8" s="27">
        <f t="shared" ref="V8:V39" si="2">IF(X8&gt;T8, X8-T8, 0)</f>
        <v>0</v>
      </c>
      <c r="W8" s="27">
        <f t="shared" ref="W8:W39" si="3">IF(AND($T$5&gt;$B$3,T8&gt;0),T8,0)</f>
        <v>0</v>
      </c>
      <c r="X8" s="28">
        <f>SUMIFS(Output!$L:$L,Output!$A:$A,Prediction!$A8,Output!$C:$C,Prediction!T$5)</f>
        <v>0</v>
      </c>
      <c r="Y8" s="34">
        <f>IFERROR(VLOOKUP($D8,Schedules!$A:$I,MATCH(Prediction!Y$6,Schedules!$A$1:$H$1,0),FALSE),0)</f>
        <v>0</v>
      </c>
      <c r="Z8" s="24">
        <f>IF(Y8=0,0,SUMIFS(Output!$L:$L,Output!$A:$A,Prediction!$A8,Output!$C:$C,Prediction!Y$5))</f>
        <v>0</v>
      </c>
      <c r="AA8" s="27">
        <f>IF(AC8&gt;Y8, AC8-Y8, 0)</f>
        <v>0</v>
      </c>
      <c r="AB8" s="27">
        <f t="shared" ref="AB8:AB39" si="4">IF(AND($Y$5&gt;$B$3,Y8&gt;0),Y8,0)</f>
        <v>0</v>
      </c>
      <c r="AC8" s="28">
        <f>SUMIFS(Output!$L:$L,Output!$A:$A,Prediction!$A8,Output!$C:$C,Prediction!Y$5)</f>
        <v>0</v>
      </c>
      <c r="AD8" s="26">
        <f>IFERROR(VLOOKUP($D8,Schedules!$A:$I,MATCH(Prediction!AD$6,Schedules!$A$1:$H$1,0),FALSE),0)</f>
        <v>0</v>
      </c>
      <c r="AE8" s="27">
        <f>IF(AD8=0,0,SUMIFS(Output!$L:$L,Output!$A:$A,Prediction!$A8,Output!$C:$C,Prediction!AD$5))</f>
        <v>0</v>
      </c>
      <c r="AF8" s="27">
        <f>IF(AH8&gt;AD8, AH8-AD8, 0)</f>
        <v>0</v>
      </c>
      <c r="AG8" s="27">
        <f t="shared" ref="AG8:AG39" si="5">IF(AND($AD$5&gt;$B$3,AD8&gt;0),AD8,0)</f>
        <v>0</v>
      </c>
      <c r="AH8" s="28">
        <f>SUMIFS(Output!$L:$L,Output!$A:$A,Prediction!$A8,Output!$C:$C,Prediction!AD$5)</f>
        <v>0</v>
      </c>
      <c r="AI8" s="26">
        <f>IFERROR(VLOOKUP($D8,Schedules!$A:$I,MATCH(Prediction!AI$6,Schedules!$A$1:$H$1,0),FALSE),0)</f>
        <v>0</v>
      </c>
      <c r="AJ8" s="27">
        <f>IF(AI8=0,0,SUMIFS(Output!$L:$L,Output!$A:$A,Prediction!$A8,Output!$C:$C,Prediction!AI$5))</f>
        <v>0</v>
      </c>
      <c r="AK8" s="27">
        <f>IF(AM8&gt;AI8, AM8-AI8, 0)</f>
        <v>0</v>
      </c>
      <c r="AL8" s="27">
        <f t="shared" ref="AL8:AL39" si="6">IF(AND($AI$5&gt;$B$3,AI8&gt;0),AI8,0)</f>
        <v>0</v>
      </c>
      <c r="AM8" s="28">
        <f>SUMIFS(Output!$L:$L,Output!$A:$A,Prediction!$A8,Output!$C:$C,Prediction!AI$5)</f>
        <v>0</v>
      </c>
      <c r="AN8">
        <f t="shared" ref="AN8:AN39" si="7">IFERROR(E8+J8+O8+T8+Y8+AD8+AI8,"")</f>
        <v>0</v>
      </c>
      <c r="AO8" s="3">
        <f t="shared" ref="AO8:AO39" si="8">SUM(I8,N8,S8,X8,AC8,AH8,AM8)</f>
        <v>0</v>
      </c>
      <c r="AP8" s="44"/>
      <c r="AQ8" s="3">
        <f>SUM(H8:I8,M8:N8,R8:S8,W8:X8,AB8:AC8,AG8:AH8,AL8:AM8,AP8)</f>
        <v>0</v>
      </c>
      <c r="AR8" s="3">
        <f t="shared" ref="AR8:AR39" si="9">IF(AQ8-AN8&lt;0,0,AQ8-AN8)</f>
        <v>0</v>
      </c>
    </row>
    <row r="9" spans="1:44" x14ac:dyDescent="0.25">
      <c r="A9" s="9" t="str">
        <f t="array" ref="A9">IFERROR(INDEX(Output!A$1:A$2000,MATCH(0,COUNTIF(Prediction!$A$7:A8,Output!A$1:A$2000),0)),"")</f>
        <v/>
      </c>
      <c r="B9" t="str">
        <f>IFERROR(VLOOKUP($A9,Output!$A:$M,2,FALSE),"")</f>
        <v/>
      </c>
      <c r="C9" t="str">
        <f>IFERROR(VLOOKUP(B9,Departments!B:C,2,FALSE),"")</f>
        <v/>
      </c>
      <c r="D9" t="str">
        <f>IFERROR(VLOOKUP($A9,Output!$A:$M,13,FALSE),"")</f>
        <v/>
      </c>
      <c r="E9" s="29">
        <f>IFERROR(VLOOKUP($D9,Schedules!$A:$I,MATCH(Prediction!E$6,Schedules!$A$1:$H$1,0),FALSE),0)</f>
        <v>0</v>
      </c>
      <c r="F9" s="24">
        <f>IF(E9=0,0,SUMIFS(Output!$L:$L,Output!$A:$A,Prediction!$A9,Output!$C:$C,Prediction!E$5))</f>
        <v>0</v>
      </c>
      <c r="G9" s="24">
        <f t="shared" ref="G9:G72" si="10">IF(I9&gt;E9, I9-E9, 0)</f>
        <v>0</v>
      </c>
      <c r="H9" s="45">
        <f>IF(AND($E$5&gt;$B$3,E9&gt;0),E9,0)</f>
        <v>0</v>
      </c>
      <c r="I9" s="30">
        <f>SUMIFS(Output!$L:$L,Output!$A:$A,Prediction!$A9,Output!$C:$C,Prediction!E$5)</f>
        <v>0</v>
      </c>
      <c r="J9" s="29">
        <f>IFERROR(VLOOKUP($D9,Schedules!$A:$I,MATCH(Prediction!J$6,Schedules!$A$1:$H$1,0),FALSE),0)</f>
        <v>0</v>
      </c>
      <c r="K9" s="24">
        <f>IF(J9=0,0,SUMIFS(Output!$L:$L,Output!$A:$A,Prediction!$A9,Output!$C:$C,Prediction!J$5))</f>
        <v>0</v>
      </c>
      <c r="L9" s="24">
        <f t="shared" ref="L9:L72" si="11">IF(N9&gt;J9, N9-J9, 0)</f>
        <v>0</v>
      </c>
      <c r="M9" s="24">
        <f t="shared" si="0"/>
        <v>0</v>
      </c>
      <c r="N9" s="30">
        <f>SUMIFS(Output!$L:$L,Output!$A:$A,Prediction!$A9,Output!$C:$C,Prediction!J$5)</f>
        <v>0</v>
      </c>
      <c r="O9" s="29">
        <f>IFERROR(VLOOKUP($D9,Schedules!$A:$I,MATCH(Prediction!O$6,Schedules!$A$1:$H$1,0),FALSE),0)</f>
        <v>0</v>
      </c>
      <c r="P9" s="24">
        <f>IF(O9=0,0,SUMIFS(Output!$L:$L,Output!$A:$A,Prediction!$A9,Output!$C:$C,Prediction!O$5))</f>
        <v>0</v>
      </c>
      <c r="Q9" s="24">
        <f t="shared" ref="Q9:Q72" si="12">IF(S9&gt;O9, S9-O9, 0)</f>
        <v>0</v>
      </c>
      <c r="R9" s="24">
        <f t="shared" si="1"/>
        <v>0</v>
      </c>
      <c r="S9" s="30">
        <f>SUMIFS(Output!$L:$L,Output!$A:$A,Prediction!$A9,Output!$C:$C,Prediction!O$5)</f>
        <v>0</v>
      </c>
      <c r="T9" s="29">
        <f>IFERROR(VLOOKUP($D9,Schedules!$A:$I,MATCH(Prediction!T$6,Schedules!$A$1:$H$1,0),FALSE),0)</f>
        <v>0</v>
      </c>
      <c r="U9" s="24">
        <f>IF(T9=0,0,SUMIFS(Output!$L:$L,Output!$A:$A,Prediction!$A9,Output!$C:$C,Prediction!T$5))</f>
        <v>0</v>
      </c>
      <c r="V9" s="24">
        <f t="shared" si="2"/>
        <v>0</v>
      </c>
      <c r="W9" s="24">
        <f t="shared" si="3"/>
        <v>0</v>
      </c>
      <c r="X9" s="30">
        <f>SUMIFS(Output!$L:$L,Output!$A:$A,Prediction!$A9,Output!$C:$C,Prediction!T$5)</f>
        <v>0</v>
      </c>
      <c r="Y9" s="25">
        <f>IFERROR(VLOOKUP($D9,Schedules!$A:$I,MATCH(Prediction!Y$6,Schedules!$A$1:$H$1,0),FALSE),0)</f>
        <v>0</v>
      </c>
      <c r="Z9" s="24">
        <f>IF(Y9=0,0,SUMIFS(Output!$L:$L,Output!$A:$A,Prediction!$A9,Output!$C:$C,Prediction!Y$5))</f>
        <v>0</v>
      </c>
      <c r="AA9" s="24">
        <f t="shared" ref="AA9:AA72" si="13">IF(AC9&gt;Y9, AC9-Y9, 0)</f>
        <v>0</v>
      </c>
      <c r="AB9" s="24">
        <f t="shared" si="4"/>
        <v>0</v>
      </c>
      <c r="AC9" s="30">
        <f>SUMIFS(Output!$L:$L,Output!$A:$A,Prediction!$A9,Output!$C:$C,Prediction!Y$5)</f>
        <v>0</v>
      </c>
      <c r="AD9" s="29">
        <f>IFERROR(VLOOKUP($D9,Schedules!$A:$I,MATCH(Prediction!AD$6,Schedules!$A$1:$H$1,0),FALSE),0)</f>
        <v>0</v>
      </c>
      <c r="AE9" s="24">
        <f>IF(AD9=0,0,SUMIFS(Output!$L:$L,Output!$A:$A,Prediction!$A9,Output!$C:$C,Prediction!AD$5))</f>
        <v>0</v>
      </c>
      <c r="AF9" s="24">
        <f t="shared" ref="AF9:AF72" si="14">IF(AH9&gt;AD9, AH9-AD9, 0)</f>
        <v>0</v>
      </c>
      <c r="AG9" s="24">
        <f t="shared" si="5"/>
        <v>0</v>
      </c>
      <c r="AH9" s="30">
        <f>SUMIFS(Output!$L:$L,Output!$A:$A,Prediction!$A9,Output!$C:$C,Prediction!AD$5)</f>
        <v>0</v>
      </c>
      <c r="AI9" s="29">
        <f>IFERROR(VLOOKUP($D9,Schedules!$A:$I,MATCH(Prediction!AI$6,Schedules!$A$1:$H$1,0),FALSE),0)</f>
        <v>0</v>
      </c>
      <c r="AJ9" s="24">
        <f>IF(AI9=0,0,SUMIFS(Output!$L:$L,Output!$A:$A,Prediction!$A9,Output!$C:$C,Prediction!AI$5))</f>
        <v>0</v>
      </c>
      <c r="AK9" s="24">
        <f t="shared" ref="AK9:AK72" si="15">IF(AM9&gt;AI9, AM9-AI9, 0)</f>
        <v>0</v>
      </c>
      <c r="AL9" s="24">
        <f t="shared" si="6"/>
        <v>0</v>
      </c>
      <c r="AM9" s="30">
        <f>SUMIFS(Output!$L:$L,Output!$A:$A,Prediction!$A9,Output!$C:$C,Prediction!AI$5)</f>
        <v>0</v>
      </c>
      <c r="AN9">
        <f t="shared" si="7"/>
        <v>0</v>
      </c>
      <c r="AO9" s="3">
        <f t="shared" si="8"/>
        <v>0</v>
      </c>
      <c r="AP9" s="44"/>
      <c r="AQ9" s="3">
        <f t="shared" ref="AQ9:AQ72" si="16">SUM(H9:I9,M9:N9,R9:S9,W9:X9,AB9:AC9,AG9:AH9,AL9:AM9,AP9)</f>
        <v>0</v>
      </c>
      <c r="AR9" s="3">
        <f t="shared" si="9"/>
        <v>0</v>
      </c>
    </row>
    <row r="10" spans="1:44" x14ac:dyDescent="0.25">
      <c r="A10" s="9" t="str">
        <f t="array" ref="A10">IFERROR(INDEX(Output!A$1:A$2000,MATCH(0,COUNTIF(Prediction!$A$7:A9,Output!A$1:A$2000),0)),"")</f>
        <v/>
      </c>
      <c r="B10" t="str">
        <f>IFERROR(VLOOKUP($A10,Output!$A:$M,2,FALSE),"")</f>
        <v/>
      </c>
      <c r="C10" t="str">
        <f>IFERROR(VLOOKUP(B10,Departments!B:C,2,FALSE),"")</f>
        <v/>
      </c>
      <c r="D10" t="str">
        <f>IFERROR(VLOOKUP($A10,Output!$A:$M,13,FALSE),"")</f>
        <v/>
      </c>
      <c r="E10" s="29">
        <f>IFERROR(VLOOKUP($D10,Schedules!$A:$I,MATCH(Prediction!E$6,Schedules!$A$1:$H$1,0),FALSE),0)</f>
        <v>0</v>
      </c>
      <c r="F10" s="24">
        <f>IF(E10=0,0,SUMIFS(Output!$L:$L,Output!$A:$A,Prediction!$A10,Output!$C:$C,Prediction!E$5))</f>
        <v>0</v>
      </c>
      <c r="G10" s="24">
        <f t="shared" si="10"/>
        <v>0</v>
      </c>
      <c r="H10" s="45">
        <f t="shared" ref="H10:H73" si="17">IF(AND($E$5&gt;$B$3,E10&gt;0),E10,0)</f>
        <v>0</v>
      </c>
      <c r="I10" s="30">
        <f>SUMIFS(Output!$L:$L,Output!$A:$A,Prediction!$A10,Output!$C:$C,Prediction!E$5)</f>
        <v>0</v>
      </c>
      <c r="J10" s="29">
        <f>IFERROR(VLOOKUP($D10,Schedules!$A:$I,MATCH(Prediction!J$6,Schedules!$A$1:$H$1,0),FALSE),0)</f>
        <v>0</v>
      </c>
      <c r="K10" s="24">
        <f>IF(J10=0,0,SUMIFS(Output!$L:$L,Output!$A:$A,Prediction!$A10,Output!$C:$C,Prediction!J$5))</f>
        <v>0</v>
      </c>
      <c r="L10" s="24">
        <f t="shared" si="11"/>
        <v>0</v>
      </c>
      <c r="M10" s="24">
        <f t="shared" si="0"/>
        <v>0</v>
      </c>
      <c r="N10" s="30">
        <f>SUMIFS(Output!$L:$L,Output!$A:$A,Prediction!$A10,Output!$C:$C,Prediction!J$5)</f>
        <v>0</v>
      </c>
      <c r="O10" s="29">
        <f>IFERROR(VLOOKUP($D10,Schedules!$A:$I,MATCH(Prediction!O$6,Schedules!$A$1:$H$1,0),FALSE),0)</f>
        <v>0</v>
      </c>
      <c r="P10" s="24">
        <f>IF(O10=0,0,SUMIFS(Output!$L:$L,Output!$A:$A,Prediction!$A10,Output!$C:$C,Prediction!O$5))</f>
        <v>0</v>
      </c>
      <c r="Q10" s="24">
        <f t="shared" si="12"/>
        <v>0</v>
      </c>
      <c r="R10" s="24">
        <f t="shared" si="1"/>
        <v>0</v>
      </c>
      <c r="S10" s="30">
        <f>SUMIFS(Output!$L:$L,Output!$A:$A,Prediction!$A10,Output!$C:$C,Prediction!O$5)</f>
        <v>0</v>
      </c>
      <c r="T10" s="29">
        <f>IFERROR(VLOOKUP($D10,Schedules!$A:$I,MATCH(Prediction!T$6,Schedules!$A$1:$H$1,0),FALSE),0)</f>
        <v>0</v>
      </c>
      <c r="U10" s="24">
        <f>IF(T10=0,0,SUMIFS(Output!$L:$L,Output!$A:$A,Prediction!$A10,Output!$C:$C,Prediction!T$5))</f>
        <v>0</v>
      </c>
      <c r="V10" s="24">
        <f t="shared" si="2"/>
        <v>0</v>
      </c>
      <c r="W10" s="24">
        <f t="shared" si="3"/>
        <v>0</v>
      </c>
      <c r="X10" s="30">
        <f>SUMIFS(Output!$L:$L,Output!$A:$A,Prediction!$A10,Output!$C:$C,Prediction!T$5)</f>
        <v>0</v>
      </c>
      <c r="Y10" s="25">
        <f>IFERROR(VLOOKUP($D10,Schedules!$A:$I,MATCH(Prediction!Y$6,Schedules!$A$1:$H$1,0),FALSE),0)</f>
        <v>0</v>
      </c>
      <c r="Z10" s="24">
        <f>IF(Y10=0,0,SUMIFS(Output!$L:$L,Output!$A:$A,Prediction!$A10,Output!$C:$C,Prediction!Y$5))</f>
        <v>0</v>
      </c>
      <c r="AA10" s="24">
        <f t="shared" si="13"/>
        <v>0</v>
      </c>
      <c r="AB10" s="24">
        <f t="shared" si="4"/>
        <v>0</v>
      </c>
      <c r="AC10" s="30">
        <f>SUMIFS(Output!$L:$L,Output!$A:$A,Prediction!$A10,Output!$C:$C,Prediction!Y$5)</f>
        <v>0</v>
      </c>
      <c r="AD10" s="29">
        <f>IFERROR(VLOOKUP($D10,Schedules!$A:$I,MATCH(Prediction!AD$6,Schedules!$A$1:$H$1,0),FALSE),0)</f>
        <v>0</v>
      </c>
      <c r="AE10" s="24">
        <f>IF(AD10=0,0,SUMIFS(Output!$L:$L,Output!$A:$A,Prediction!$A10,Output!$C:$C,Prediction!AD$5))</f>
        <v>0</v>
      </c>
      <c r="AF10" s="24">
        <f t="shared" si="14"/>
        <v>0</v>
      </c>
      <c r="AG10" s="24">
        <f t="shared" si="5"/>
        <v>0</v>
      </c>
      <c r="AH10" s="30">
        <f>SUMIFS(Output!$L:$L,Output!$A:$A,Prediction!$A10,Output!$C:$C,Prediction!AD$5)</f>
        <v>0</v>
      </c>
      <c r="AI10" s="29">
        <f>IFERROR(VLOOKUP($D10,Schedules!$A:$I,MATCH(Prediction!AI$6,Schedules!$A$1:$H$1,0),FALSE),0)</f>
        <v>0</v>
      </c>
      <c r="AJ10" s="24">
        <f>IF(AI10=0,0,SUMIFS(Output!$L:$L,Output!$A:$A,Prediction!$A10,Output!$C:$C,Prediction!AI$5))</f>
        <v>0</v>
      </c>
      <c r="AK10" s="24">
        <f t="shared" si="15"/>
        <v>0</v>
      </c>
      <c r="AL10" s="24">
        <f t="shared" si="6"/>
        <v>0</v>
      </c>
      <c r="AM10" s="30">
        <f>SUMIFS(Output!$L:$L,Output!$A:$A,Prediction!$A10,Output!$C:$C,Prediction!AI$5)</f>
        <v>0</v>
      </c>
      <c r="AN10">
        <f t="shared" si="7"/>
        <v>0</v>
      </c>
      <c r="AO10" s="3">
        <f t="shared" si="8"/>
        <v>0</v>
      </c>
      <c r="AP10" s="44"/>
      <c r="AQ10" s="3">
        <f t="shared" si="16"/>
        <v>0</v>
      </c>
      <c r="AR10" s="3">
        <f t="shared" si="9"/>
        <v>0</v>
      </c>
    </row>
    <row r="11" spans="1:44" x14ac:dyDescent="0.25">
      <c r="A11" s="9" t="str">
        <f t="array" ref="A11">IFERROR(INDEX(Output!A$1:A$2000,MATCH(0,COUNTIF(Prediction!$A$7:A10,Output!A$1:A$2000),0)),"")</f>
        <v/>
      </c>
      <c r="B11" t="str">
        <f>IFERROR(VLOOKUP($A11,Output!$A:$M,2,FALSE),"")</f>
        <v/>
      </c>
      <c r="C11" t="str">
        <f>IFERROR(VLOOKUP(B11,Departments!B:C,2,FALSE),"")</f>
        <v/>
      </c>
      <c r="D11" t="str">
        <f>IFERROR(VLOOKUP($A11,Output!$A:$M,13,FALSE),"")</f>
        <v/>
      </c>
      <c r="E11" s="29">
        <f>IFERROR(VLOOKUP($D11,Schedules!$A:$I,MATCH(Prediction!E$6,Schedules!$A$1:$H$1,0),FALSE),0)</f>
        <v>0</v>
      </c>
      <c r="F11" s="24">
        <f>IF(E11=0,0,SUMIFS(Output!$L:$L,Output!$A:$A,Prediction!$A11,Output!$C:$C,Prediction!E$5))</f>
        <v>0</v>
      </c>
      <c r="G11" s="24">
        <f t="shared" si="10"/>
        <v>0</v>
      </c>
      <c r="H11" s="45">
        <f t="shared" si="17"/>
        <v>0</v>
      </c>
      <c r="I11" s="30">
        <f>SUMIFS(Output!$L:$L,Output!$A:$A,Prediction!$A11,Output!$C:$C,Prediction!E$5)</f>
        <v>0</v>
      </c>
      <c r="J11" s="29">
        <f>IFERROR(VLOOKUP($D11,Schedules!$A:$I,MATCH(Prediction!J$6,Schedules!$A$1:$H$1,0),FALSE),0)</f>
        <v>0</v>
      </c>
      <c r="K11" s="24">
        <f>IF(J11=0,0,SUMIFS(Output!$L:$L,Output!$A:$A,Prediction!$A11,Output!$C:$C,Prediction!J$5))</f>
        <v>0</v>
      </c>
      <c r="L11" s="24">
        <f t="shared" si="11"/>
        <v>0</v>
      </c>
      <c r="M11" s="24">
        <f t="shared" si="0"/>
        <v>0</v>
      </c>
      <c r="N11" s="30">
        <f>SUMIFS(Output!$L:$L,Output!$A:$A,Prediction!$A11,Output!$C:$C,Prediction!J$5)</f>
        <v>0</v>
      </c>
      <c r="O11" s="29">
        <f>IFERROR(VLOOKUP($D11,Schedules!$A:$I,MATCH(Prediction!O$6,Schedules!$A$1:$H$1,0),FALSE),0)</f>
        <v>0</v>
      </c>
      <c r="P11" s="24">
        <f>IF(O11=0,0,SUMIFS(Output!$L:$L,Output!$A:$A,Prediction!$A11,Output!$C:$C,Prediction!O$5))</f>
        <v>0</v>
      </c>
      <c r="Q11" s="24">
        <f t="shared" si="12"/>
        <v>0</v>
      </c>
      <c r="R11" s="24">
        <f t="shared" si="1"/>
        <v>0</v>
      </c>
      <c r="S11" s="30">
        <f>SUMIFS(Output!$L:$L,Output!$A:$A,Prediction!$A11,Output!$C:$C,Prediction!O$5)</f>
        <v>0</v>
      </c>
      <c r="T11" s="29">
        <f>IFERROR(VLOOKUP($D11,Schedules!$A:$I,MATCH(Prediction!T$6,Schedules!$A$1:$H$1,0),FALSE),0)</f>
        <v>0</v>
      </c>
      <c r="U11" s="24">
        <f>IF(T11=0,0,SUMIFS(Output!$L:$L,Output!$A:$A,Prediction!$A11,Output!$C:$C,Prediction!T$5))</f>
        <v>0</v>
      </c>
      <c r="V11" s="24">
        <f t="shared" si="2"/>
        <v>0</v>
      </c>
      <c r="W11" s="24">
        <f t="shared" si="3"/>
        <v>0</v>
      </c>
      <c r="X11" s="30">
        <f>SUMIFS(Output!$L:$L,Output!$A:$A,Prediction!$A11,Output!$C:$C,Prediction!T$5)</f>
        <v>0</v>
      </c>
      <c r="Y11" s="25">
        <f>IFERROR(VLOOKUP($D11,Schedules!$A:$I,MATCH(Prediction!Y$6,Schedules!$A$1:$H$1,0),FALSE),0)</f>
        <v>0</v>
      </c>
      <c r="Z11" s="24">
        <f>IF(Y11=0,0,SUMIFS(Output!$L:$L,Output!$A:$A,Prediction!$A11,Output!$C:$C,Prediction!Y$5))</f>
        <v>0</v>
      </c>
      <c r="AA11" s="24">
        <f t="shared" si="13"/>
        <v>0</v>
      </c>
      <c r="AB11" s="24">
        <f t="shared" si="4"/>
        <v>0</v>
      </c>
      <c r="AC11" s="30">
        <f>SUMIFS(Output!$L:$L,Output!$A:$A,Prediction!$A11,Output!$C:$C,Prediction!Y$5)</f>
        <v>0</v>
      </c>
      <c r="AD11" s="29">
        <f>IFERROR(VLOOKUP($D11,Schedules!$A:$I,MATCH(Prediction!AD$6,Schedules!$A$1:$H$1,0),FALSE),0)</f>
        <v>0</v>
      </c>
      <c r="AE11" s="24">
        <f>IF(AD11=0,0,SUMIFS(Output!$L:$L,Output!$A:$A,Prediction!$A11,Output!$C:$C,Prediction!AD$5))</f>
        <v>0</v>
      </c>
      <c r="AF11" s="24">
        <f t="shared" si="14"/>
        <v>0</v>
      </c>
      <c r="AG11" s="24">
        <f t="shared" si="5"/>
        <v>0</v>
      </c>
      <c r="AH11" s="30">
        <f>SUMIFS(Output!$L:$L,Output!$A:$A,Prediction!$A11,Output!$C:$C,Prediction!AD$5)</f>
        <v>0</v>
      </c>
      <c r="AI11" s="29">
        <f>IFERROR(VLOOKUP($D11,Schedules!$A:$I,MATCH(Prediction!AI$6,Schedules!$A$1:$H$1,0),FALSE),0)</f>
        <v>0</v>
      </c>
      <c r="AJ11" s="24">
        <f>IF(AI11=0,0,SUMIFS(Output!$L:$L,Output!$A:$A,Prediction!$A11,Output!$C:$C,Prediction!AI$5))</f>
        <v>0</v>
      </c>
      <c r="AK11" s="24">
        <f t="shared" si="15"/>
        <v>0</v>
      </c>
      <c r="AL11" s="24">
        <f t="shared" si="6"/>
        <v>0</v>
      </c>
      <c r="AM11" s="30">
        <f>SUMIFS(Output!$L:$L,Output!$A:$A,Prediction!$A11,Output!$C:$C,Prediction!AI$5)</f>
        <v>0</v>
      </c>
      <c r="AN11">
        <f t="shared" si="7"/>
        <v>0</v>
      </c>
      <c r="AO11" s="3">
        <f t="shared" si="8"/>
        <v>0</v>
      </c>
      <c r="AP11" s="44"/>
      <c r="AQ11" s="3">
        <f t="shared" si="16"/>
        <v>0</v>
      </c>
      <c r="AR11" s="3">
        <f t="shared" si="9"/>
        <v>0</v>
      </c>
    </row>
    <row r="12" spans="1:44" x14ac:dyDescent="0.25">
      <c r="A12" s="9" t="str">
        <f t="array" ref="A12">IFERROR(INDEX(Output!A$1:A$2000,MATCH(0,COUNTIF(Prediction!$A$7:A11,Output!A$1:A$2000),0)),"")</f>
        <v/>
      </c>
      <c r="B12" t="str">
        <f>IFERROR(VLOOKUP($A12,Output!$A:$M,2,FALSE),"")</f>
        <v/>
      </c>
      <c r="C12" t="str">
        <f>IFERROR(VLOOKUP(B12,Departments!B:C,2,FALSE),"")</f>
        <v/>
      </c>
      <c r="D12" t="str">
        <f>IFERROR(VLOOKUP($A12,Output!$A:$M,13,FALSE),"")</f>
        <v/>
      </c>
      <c r="E12" s="29">
        <f>IFERROR(VLOOKUP($D12,Schedules!$A:$I,MATCH(Prediction!E$6,Schedules!$A$1:$H$1,0),FALSE),0)</f>
        <v>0</v>
      </c>
      <c r="F12" s="24">
        <f>IF(E12=0,0,SUMIFS(Output!$L:$L,Output!$A:$A,Prediction!$A12,Output!$C:$C,Prediction!E$5))</f>
        <v>0</v>
      </c>
      <c r="G12" s="24">
        <f t="shared" si="10"/>
        <v>0</v>
      </c>
      <c r="H12" s="45">
        <f t="shared" si="17"/>
        <v>0</v>
      </c>
      <c r="I12" s="30">
        <f>SUMIFS(Output!$L:$L,Output!$A:$A,Prediction!$A12,Output!$C:$C,Prediction!E$5)</f>
        <v>0</v>
      </c>
      <c r="J12" s="29">
        <f>IFERROR(VLOOKUP($D12,Schedules!$A:$I,MATCH(Prediction!J$6,Schedules!$A$1:$H$1,0),FALSE),0)</f>
        <v>0</v>
      </c>
      <c r="K12" s="24">
        <f>IF(J12=0,0,SUMIFS(Output!$L:$L,Output!$A:$A,Prediction!$A12,Output!$C:$C,Prediction!J$5))</f>
        <v>0</v>
      </c>
      <c r="L12" s="24">
        <f t="shared" si="11"/>
        <v>0</v>
      </c>
      <c r="M12" s="24">
        <f t="shared" si="0"/>
        <v>0</v>
      </c>
      <c r="N12" s="30">
        <f>SUMIFS(Output!$L:$L,Output!$A:$A,Prediction!$A12,Output!$C:$C,Prediction!J$5)</f>
        <v>0</v>
      </c>
      <c r="O12" s="29">
        <f>IFERROR(VLOOKUP($D12,Schedules!$A:$I,MATCH(Prediction!O$6,Schedules!$A$1:$H$1,0),FALSE),0)</f>
        <v>0</v>
      </c>
      <c r="P12" s="24">
        <f>IF(O12=0,0,SUMIFS(Output!$L:$L,Output!$A:$A,Prediction!$A12,Output!$C:$C,Prediction!O$5))</f>
        <v>0</v>
      </c>
      <c r="Q12" s="24">
        <f t="shared" si="12"/>
        <v>0</v>
      </c>
      <c r="R12" s="24">
        <f t="shared" si="1"/>
        <v>0</v>
      </c>
      <c r="S12" s="30">
        <f>SUMIFS(Output!$L:$L,Output!$A:$A,Prediction!$A12,Output!$C:$C,Prediction!O$5)</f>
        <v>0</v>
      </c>
      <c r="T12" s="29">
        <f>IFERROR(VLOOKUP($D12,Schedules!$A:$I,MATCH(Prediction!T$6,Schedules!$A$1:$H$1,0),FALSE),0)</f>
        <v>0</v>
      </c>
      <c r="U12" s="24">
        <f>IF(T12=0,0,SUMIFS(Output!$L:$L,Output!$A:$A,Prediction!$A12,Output!$C:$C,Prediction!T$5))</f>
        <v>0</v>
      </c>
      <c r="V12" s="24">
        <f t="shared" si="2"/>
        <v>0</v>
      </c>
      <c r="W12" s="24">
        <f t="shared" si="3"/>
        <v>0</v>
      </c>
      <c r="X12" s="30">
        <f>SUMIFS(Output!$L:$L,Output!$A:$A,Prediction!$A12,Output!$C:$C,Prediction!T$5)</f>
        <v>0</v>
      </c>
      <c r="Y12" s="25">
        <f>IFERROR(VLOOKUP($D12,Schedules!$A:$I,MATCH(Prediction!Y$6,Schedules!$A$1:$H$1,0),FALSE),0)</f>
        <v>0</v>
      </c>
      <c r="Z12" s="24">
        <f>IF(Y12=0,0,SUMIFS(Output!$L:$L,Output!$A:$A,Prediction!$A12,Output!$C:$C,Prediction!Y$5))</f>
        <v>0</v>
      </c>
      <c r="AA12" s="24">
        <f t="shared" si="13"/>
        <v>0</v>
      </c>
      <c r="AB12" s="24">
        <f t="shared" si="4"/>
        <v>0</v>
      </c>
      <c r="AC12" s="30">
        <f>SUMIFS(Output!$L:$L,Output!$A:$A,Prediction!$A12,Output!$C:$C,Prediction!Y$5)</f>
        <v>0</v>
      </c>
      <c r="AD12" s="29">
        <f>IFERROR(VLOOKUP($D12,Schedules!$A:$I,MATCH(Prediction!AD$6,Schedules!$A$1:$H$1,0),FALSE),0)</f>
        <v>0</v>
      </c>
      <c r="AE12" s="24">
        <f>IF(AD12=0,0,SUMIFS(Output!$L:$L,Output!$A:$A,Prediction!$A12,Output!$C:$C,Prediction!AD$5))</f>
        <v>0</v>
      </c>
      <c r="AF12" s="24">
        <f t="shared" si="14"/>
        <v>0</v>
      </c>
      <c r="AG12" s="24">
        <f t="shared" si="5"/>
        <v>0</v>
      </c>
      <c r="AH12" s="30">
        <f>SUMIFS(Output!$L:$L,Output!$A:$A,Prediction!$A12,Output!$C:$C,Prediction!AD$5)</f>
        <v>0</v>
      </c>
      <c r="AI12" s="29">
        <f>IFERROR(VLOOKUP($D12,Schedules!$A:$I,MATCH(Prediction!AI$6,Schedules!$A$1:$H$1,0),FALSE),0)</f>
        <v>0</v>
      </c>
      <c r="AJ12" s="24">
        <f>IF(AI12=0,0,SUMIFS(Output!$L:$L,Output!$A:$A,Prediction!$A12,Output!$C:$C,Prediction!AI$5))</f>
        <v>0</v>
      </c>
      <c r="AK12" s="24">
        <f t="shared" si="15"/>
        <v>0</v>
      </c>
      <c r="AL12" s="24">
        <f t="shared" si="6"/>
        <v>0</v>
      </c>
      <c r="AM12" s="30">
        <f>SUMIFS(Output!$L:$L,Output!$A:$A,Prediction!$A12,Output!$C:$C,Prediction!AI$5)</f>
        <v>0</v>
      </c>
      <c r="AN12">
        <f t="shared" si="7"/>
        <v>0</v>
      </c>
      <c r="AO12" s="3">
        <f t="shared" si="8"/>
        <v>0</v>
      </c>
      <c r="AP12" s="44"/>
      <c r="AQ12" s="36">
        <f t="shared" si="16"/>
        <v>0</v>
      </c>
      <c r="AR12" s="3">
        <f t="shared" si="9"/>
        <v>0</v>
      </c>
    </row>
    <row r="13" spans="1:44" x14ac:dyDescent="0.25">
      <c r="A13" s="9" t="str">
        <f t="array" ref="A13">IFERROR(INDEX(Output!A$1:A$2000,MATCH(0,COUNTIF(Prediction!$A$7:A12,Output!A$1:A$2000),0)),"")</f>
        <v/>
      </c>
      <c r="B13" t="str">
        <f>IFERROR(VLOOKUP($A13,Output!$A:$M,2,FALSE),"")</f>
        <v/>
      </c>
      <c r="C13" t="str">
        <f>IFERROR(VLOOKUP(B13,Departments!B:C,2,FALSE),"")</f>
        <v/>
      </c>
      <c r="D13" t="str">
        <f>IFERROR(VLOOKUP($A13,Output!$A:$M,13,FALSE),"")</f>
        <v/>
      </c>
      <c r="E13" s="29">
        <f>IFERROR(VLOOKUP($D13,Schedules!$A:$I,MATCH(Prediction!E$6,Schedules!$A$1:$H$1,0),FALSE),0)</f>
        <v>0</v>
      </c>
      <c r="F13" s="24">
        <f>IF(E13=0,0,SUMIFS(Output!$L:$L,Output!$A:$A,Prediction!$A13,Output!$C:$C,Prediction!E$5))</f>
        <v>0</v>
      </c>
      <c r="G13" s="24">
        <f t="shared" si="10"/>
        <v>0</v>
      </c>
      <c r="H13" s="45">
        <f t="shared" si="17"/>
        <v>0</v>
      </c>
      <c r="I13" s="30">
        <f>SUMIFS(Output!$L:$L,Output!$A:$A,Prediction!$A13,Output!$C:$C,Prediction!E$5)</f>
        <v>0</v>
      </c>
      <c r="J13" s="29">
        <f>IFERROR(VLOOKUP($D13,Schedules!$A:$I,MATCH(Prediction!J$6,Schedules!$A$1:$H$1,0),FALSE),0)</f>
        <v>0</v>
      </c>
      <c r="K13" s="24">
        <f>IF(J13=0,0,SUMIFS(Output!$L:$L,Output!$A:$A,Prediction!$A13,Output!$C:$C,Prediction!J$5))</f>
        <v>0</v>
      </c>
      <c r="L13" s="24">
        <f t="shared" si="11"/>
        <v>0</v>
      </c>
      <c r="M13" s="24">
        <f t="shared" si="0"/>
        <v>0</v>
      </c>
      <c r="N13" s="30">
        <f>SUMIFS(Output!$L:$L,Output!$A:$A,Prediction!$A13,Output!$C:$C,Prediction!J$5)</f>
        <v>0</v>
      </c>
      <c r="O13" s="29">
        <f>IFERROR(VLOOKUP($D13,Schedules!$A:$I,MATCH(Prediction!O$6,Schedules!$A$1:$H$1,0),FALSE),0)</f>
        <v>0</v>
      </c>
      <c r="P13" s="24">
        <f>IF(O13=0,0,SUMIFS(Output!$L:$L,Output!$A:$A,Prediction!$A13,Output!$C:$C,Prediction!O$5))</f>
        <v>0</v>
      </c>
      <c r="Q13" s="24">
        <f t="shared" si="12"/>
        <v>0</v>
      </c>
      <c r="R13" s="24">
        <f t="shared" si="1"/>
        <v>0</v>
      </c>
      <c r="S13" s="30">
        <f>SUMIFS(Output!$L:$L,Output!$A:$A,Prediction!$A13,Output!$C:$C,Prediction!O$5)</f>
        <v>0</v>
      </c>
      <c r="T13" s="29">
        <f>IFERROR(VLOOKUP($D13,Schedules!$A:$I,MATCH(Prediction!T$6,Schedules!$A$1:$H$1,0),FALSE),0)</f>
        <v>0</v>
      </c>
      <c r="U13" s="24">
        <f>IF(T13=0,0,SUMIFS(Output!$L:$L,Output!$A:$A,Prediction!$A13,Output!$C:$C,Prediction!T$5))</f>
        <v>0</v>
      </c>
      <c r="V13" s="24">
        <f t="shared" si="2"/>
        <v>0</v>
      </c>
      <c r="W13" s="24">
        <f t="shared" si="3"/>
        <v>0</v>
      </c>
      <c r="X13" s="30">
        <f>SUMIFS(Output!$L:$L,Output!$A:$A,Prediction!$A13,Output!$C:$C,Prediction!T$5)</f>
        <v>0</v>
      </c>
      <c r="Y13" s="25">
        <f>IFERROR(VLOOKUP($D13,Schedules!$A:$I,MATCH(Prediction!Y$6,Schedules!$A$1:$H$1,0),FALSE),0)</f>
        <v>0</v>
      </c>
      <c r="Z13" s="24">
        <f>IF(Y13=0,0,SUMIFS(Output!$L:$L,Output!$A:$A,Prediction!$A13,Output!$C:$C,Prediction!Y$5))</f>
        <v>0</v>
      </c>
      <c r="AA13" s="24">
        <f t="shared" si="13"/>
        <v>0</v>
      </c>
      <c r="AB13" s="24">
        <f t="shared" si="4"/>
        <v>0</v>
      </c>
      <c r="AC13" s="30">
        <f>SUMIFS(Output!$L:$L,Output!$A:$A,Prediction!$A13,Output!$C:$C,Prediction!Y$5)</f>
        <v>0</v>
      </c>
      <c r="AD13" s="29">
        <f>IFERROR(VLOOKUP($D13,Schedules!$A:$I,MATCH(Prediction!AD$6,Schedules!$A$1:$H$1,0),FALSE),0)</f>
        <v>0</v>
      </c>
      <c r="AE13" s="24">
        <f>IF(AD13=0,0,SUMIFS(Output!$L:$L,Output!$A:$A,Prediction!$A13,Output!$C:$C,Prediction!AD$5))</f>
        <v>0</v>
      </c>
      <c r="AF13" s="24">
        <f t="shared" si="14"/>
        <v>0</v>
      </c>
      <c r="AG13" s="24">
        <f t="shared" si="5"/>
        <v>0</v>
      </c>
      <c r="AH13" s="30">
        <f>SUMIFS(Output!$L:$L,Output!$A:$A,Prediction!$A13,Output!$C:$C,Prediction!AD$5)</f>
        <v>0</v>
      </c>
      <c r="AI13" s="29">
        <f>IFERROR(VLOOKUP($D13,Schedules!$A:$I,MATCH(Prediction!AI$6,Schedules!$A$1:$H$1,0),FALSE),0)</f>
        <v>0</v>
      </c>
      <c r="AJ13" s="24">
        <f>IF(AI13=0,0,SUMIFS(Output!$L:$L,Output!$A:$A,Prediction!$A13,Output!$C:$C,Prediction!AI$5))</f>
        <v>0</v>
      </c>
      <c r="AK13" s="24">
        <f t="shared" si="15"/>
        <v>0</v>
      </c>
      <c r="AL13" s="24">
        <f t="shared" si="6"/>
        <v>0</v>
      </c>
      <c r="AM13" s="30">
        <f>SUMIFS(Output!$L:$L,Output!$A:$A,Prediction!$A13,Output!$C:$C,Prediction!AI$5)</f>
        <v>0</v>
      </c>
      <c r="AN13">
        <f t="shared" si="7"/>
        <v>0</v>
      </c>
      <c r="AO13" s="3">
        <f t="shared" si="8"/>
        <v>0</v>
      </c>
      <c r="AP13" s="44"/>
      <c r="AQ13" s="3">
        <f t="shared" si="16"/>
        <v>0</v>
      </c>
      <c r="AR13" s="3">
        <f t="shared" si="9"/>
        <v>0</v>
      </c>
    </row>
    <row r="14" spans="1:44" x14ac:dyDescent="0.25">
      <c r="A14" s="9" t="str">
        <f t="array" ref="A14">IFERROR(INDEX(Output!A$1:A$2000,MATCH(0,COUNTIF(Prediction!$A$7:A13,Output!A$1:A$2000),0)),"")</f>
        <v/>
      </c>
      <c r="B14" t="str">
        <f>IFERROR(VLOOKUP($A14,Output!$A:$M,2,FALSE),"")</f>
        <v/>
      </c>
      <c r="C14" t="str">
        <f>IFERROR(VLOOKUP(B14,Departments!B:C,2,FALSE),"")</f>
        <v/>
      </c>
      <c r="D14" t="str">
        <f>IFERROR(VLOOKUP($A14,Output!$A:$M,13,FALSE),"")</f>
        <v/>
      </c>
      <c r="E14" s="29">
        <f>IFERROR(VLOOKUP($D14,Schedules!$A:$I,MATCH(Prediction!E$6,Schedules!$A$1:$H$1,0),FALSE),0)</f>
        <v>0</v>
      </c>
      <c r="F14" s="24">
        <f>IF(E14=0,0,SUMIFS(Output!$L:$L,Output!$A:$A,Prediction!$A14,Output!$C:$C,Prediction!E$5))</f>
        <v>0</v>
      </c>
      <c r="G14" s="24">
        <f t="shared" si="10"/>
        <v>0</v>
      </c>
      <c r="H14" s="45">
        <f t="shared" si="17"/>
        <v>0</v>
      </c>
      <c r="I14" s="30">
        <f>SUMIFS(Output!$L:$L,Output!$A:$A,Prediction!$A14,Output!$C:$C,Prediction!E$5)</f>
        <v>0</v>
      </c>
      <c r="J14" s="29">
        <f>IFERROR(VLOOKUP($D14,Schedules!$A:$I,MATCH(Prediction!J$6,Schedules!$A$1:$H$1,0),FALSE),0)</f>
        <v>0</v>
      </c>
      <c r="K14" s="24">
        <f>IF(J14=0,0,SUMIFS(Output!$L:$L,Output!$A:$A,Prediction!$A14,Output!$C:$C,Prediction!J$5))</f>
        <v>0</v>
      </c>
      <c r="L14" s="24">
        <f t="shared" si="11"/>
        <v>0</v>
      </c>
      <c r="M14" s="24">
        <f t="shared" si="0"/>
        <v>0</v>
      </c>
      <c r="N14" s="30">
        <f>SUMIFS(Output!$L:$L,Output!$A:$A,Prediction!$A14,Output!$C:$C,Prediction!J$5)</f>
        <v>0</v>
      </c>
      <c r="O14" s="29">
        <f>IFERROR(VLOOKUP($D14,Schedules!$A:$I,MATCH(Prediction!O$6,Schedules!$A$1:$H$1,0),FALSE),0)</f>
        <v>0</v>
      </c>
      <c r="P14" s="24">
        <f>IF(O14=0,0,SUMIFS(Output!$L:$L,Output!$A:$A,Prediction!$A14,Output!$C:$C,Prediction!O$5))</f>
        <v>0</v>
      </c>
      <c r="Q14" s="24">
        <f t="shared" si="12"/>
        <v>0</v>
      </c>
      <c r="R14" s="24">
        <f t="shared" si="1"/>
        <v>0</v>
      </c>
      <c r="S14" s="30">
        <f>SUMIFS(Output!$L:$L,Output!$A:$A,Prediction!$A14,Output!$C:$C,Prediction!O$5)</f>
        <v>0</v>
      </c>
      <c r="T14" s="29">
        <f>IFERROR(VLOOKUP($D14,Schedules!$A:$I,MATCH(Prediction!T$6,Schedules!$A$1:$H$1,0),FALSE),0)</f>
        <v>0</v>
      </c>
      <c r="U14" s="24">
        <f>IF(T14=0,0,SUMIFS(Output!$L:$L,Output!$A:$A,Prediction!$A14,Output!$C:$C,Prediction!T$5))</f>
        <v>0</v>
      </c>
      <c r="V14" s="24">
        <f t="shared" si="2"/>
        <v>0</v>
      </c>
      <c r="W14" s="24">
        <f t="shared" si="3"/>
        <v>0</v>
      </c>
      <c r="X14" s="30">
        <f>SUMIFS(Output!$L:$L,Output!$A:$A,Prediction!$A14,Output!$C:$C,Prediction!T$5)</f>
        <v>0</v>
      </c>
      <c r="Y14" s="25">
        <f>IFERROR(VLOOKUP($D14,Schedules!$A:$I,MATCH(Prediction!Y$6,Schedules!$A$1:$H$1,0),FALSE),0)</f>
        <v>0</v>
      </c>
      <c r="Z14" s="24">
        <f>IF(Y14=0,0,SUMIFS(Output!$L:$L,Output!$A:$A,Prediction!$A14,Output!$C:$C,Prediction!Y$5))</f>
        <v>0</v>
      </c>
      <c r="AA14" s="24">
        <f t="shared" si="13"/>
        <v>0</v>
      </c>
      <c r="AB14" s="24">
        <f t="shared" si="4"/>
        <v>0</v>
      </c>
      <c r="AC14" s="30">
        <f>SUMIFS(Output!$L:$L,Output!$A:$A,Prediction!$A14,Output!$C:$C,Prediction!Y$5)</f>
        <v>0</v>
      </c>
      <c r="AD14" s="29">
        <f>IFERROR(VLOOKUP($D14,Schedules!$A:$I,MATCH(Prediction!AD$6,Schedules!$A$1:$H$1,0),FALSE),0)</f>
        <v>0</v>
      </c>
      <c r="AE14" s="24">
        <f>IF(AD14=0,0,SUMIFS(Output!$L:$L,Output!$A:$A,Prediction!$A14,Output!$C:$C,Prediction!AD$5))</f>
        <v>0</v>
      </c>
      <c r="AF14" s="24">
        <f t="shared" si="14"/>
        <v>0</v>
      </c>
      <c r="AG14" s="24">
        <f t="shared" si="5"/>
        <v>0</v>
      </c>
      <c r="AH14" s="30">
        <f>SUMIFS(Output!$L:$L,Output!$A:$A,Prediction!$A14,Output!$C:$C,Prediction!AD$5)</f>
        <v>0</v>
      </c>
      <c r="AI14" s="29">
        <f>IFERROR(VLOOKUP($D14,Schedules!$A:$I,MATCH(Prediction!AI$6,Schedules!$A$1:$H$1,0),FALSE),0)</f>
        <v>0</v>
      </c>
      <c r="AJ14" s="24">
        <f>IF(AI14=0,0,SUMIFS(Output!$L:$L,Output!$A:$A,Prediction!$A14,Output!$C:$C,Prediction!AI$5))</f>
        <v>0</v>
      </c>
      <c r="AK14" s="24">
        <f t="shared" si="15"/>
        <v>0</v>
      </c>
      <c r="AL14" s="24">
        <f t="shared" si="6"/>
        <v>0</v>
      </c>
      <c r="AM14" s="30">
        <f>SUMIFS(Output!$L:$L,Output!$A:$A,Prediction!$A14,Output!$C:$C,Prediction!AI$5)</f>
        <v>0</v>
      </c>
      <c r="AN14">
        <f t="shared" si="7"/>
        <v>0</v>
      </c>
      <c r="AO14" s="3">
        <f t="shared" si="8"/>
        <v>0</v>
      </c>
      <c r="AP14" s="44"/>
      <c r="AQ14" s="3">
        <f t="shared" si="16"/>
        <v>0</v>
      </c>
      <c r="AR14" s="3">
        <f t="shared" si="9"/>
        <v>0</v>
      </c>
    </row>
    <row r="15" spans="1:44" x14ac:dyDescent="0.25">
      <c r="A15" s="9" t="str">
        <f t="array" ref="A15">IFERROR(INDEX(Output!A$1:A$2000,MATCH(0,COUNTIF(Prediction!$A$7:A14,Output!A$1:A$2000),0)),"")</f>
        <v/>
      </c>
      <c r="B15" t="str">
        <f>IFERROR(VLOOKUP($A15,Output!$A:$M,2,FALSE),"")</f>
        <v/>
      </c>
      <c r="C15" t="str">
        <f>IFERROR(VLOOKUP(B15,Departments!B:C,2,FALSE),"")</f>
        <v/>
      </c>
      <c r="D15" t="str">
        <f>IFERROR(VLOOKUP($A15,Output!$A:$M,13,FALSE),"")</f>
        <v/>
      </c>
      <c r="E15" s="29">
        <f>IFERROR(VLOOKUP($D15,Schedules!$A:$I,MATCH(Prediction!E$6,Schedules!$A$1:$H$1,0),FALSE),0)</f>
        <v>0</v>
      </c>
      <c r="F15" s="24">
        <f>IF(E15=0,0,SUMIFS(Output!$L:$L,Output!$A:$A,Prediction!$A15,Output!$C:$C,Prediction!E$5))</f>
        <v>0</v>
      </c>
      <c r="G15" s="24">
        <f t="shared" si="10"/>
        <v>0</v>
      </c>
      <c r="H15" s="45">
        <f t="shared" si="17"/>
        <v>0</v>
      </c>
      <c r="I15" s="30">
        <f>SUMIFS(Output!$L:$L,Output!$A:$A,Prediction!$A15,Output!$C:$C,Prediction!E$5)</f>
        <v>0</v>
      </c>
      <c r="J15" s="29">
        <f>IFERROR(VLOOKUP($D15,Schedules!$A:$I,MATCH(Prediction!J$6,Schedules!$A$1:$H$1,0),FALSE),0)</f>
        <v>0</v>
      </c>
      <c r="K15" s="24">
        <f>IF(J15=0,0,SUMIFS(Output!$L:$L,Output!$A:$A,Prediction!$A15,Output!$C:$C,Prediction!J$5))</f>
        <v>0</v>
      </c>
      <c r="L15" s="24">
        <f t="shared" si="11"/>
        <v>0</v>
      </c>
      <c r="M15" s="24">
        <f t="shared" si="0"/>
        <v>0</v>
      </c>
      <c r="N15" s="30">
        <f>SUMIFS(Output!$L:$L,Output!$A:$A,Prediction!$A15,Output!$C:$C,Prediction!J$5)</f>
        <v>0</v>
      </c>
      <c r="O15" s="29">
        <f>IFERROR(VLOOKUP($D15,Schedules!$A:$I,MATCH(Prediction!O$6,Schedules!$A$1:$H$1,0),FALSE),0)</f>
        <v>0</v>
      </c>
      <c r="P15" s="24">
        <f>IF(O15=0,0,SUMIFS(Output!$L:$L,Output!$A:$A,Prediction!$A15,Output!$C:$C,Prediction!O$5))</f>
        <v>0</v>
      </c>
      <c r="Q15" s="24">
        <f t="shared" si="12"/>
        <v>0</v>
      </c>
      <c r="R15" s="24">
        <f t="shared" si="1"/>
        <v>0</v>
      </c>
      <c r="S15" s="30">
        <f>SUMIFS(Output!$L:$L,Output!$A:$A,Prediction!$A15,Output!$C:$C,Prediction!O$5)</f>
        <v>0</v>
      </c>
      <c r="T15" s="29">
        <f>IFERROR(VLOOKUP($D15,Schedules!$A:$I,MATCH(Prediction!T$6,Schedules!$A$1:$H$1,0),FALSE),0)</f>
        <v>0</v>
      </c>
      <c r="U15" s="24">
        <f>IF(T15=0,0,SUMIFS(Output!$L:$L,Output!$A:$A,Prediction!$A15,Output!$C:$C,Prediction!T$5))</f>
        <v>0</v>
      </c>
      <c r="V15" s="24">
        <f t="shared" si="2"/>
        <v>0</v>
      </c>
      <c r="W15" s="24">
        <f t="shared" si="3"/>
        <v>0</v>
      </c>
      <c r="X15" s="30">
        <f>SUMIFS(Output!$L:$L,Output!$A:$A,Prediction!$A15,Output!$C:$C,Prediction!T$5)</f>
        <v>0</v>
      </c>
      <c r="Y15" s="25">
        <f>IFERROR(VLOOKUP($D15,Schedules!$A:$I,MATCH(Prediction!Y$6,Schedules!$A$1:$H$1,0),FALSE),0)</f>
        <v>0</v>
      </c>
      <c r="Z15" s="24">
        <f>IF(Y15=0,0,SUMIFS(Output!$L:$L,Output!$A:$A,Prediction!$A15,Output!$C:$C,Prediction!Y$5))</f>
        <v>0</v>
      </c>
      <c r="AA15" s="24">
        <f t="shared" si="13"/>
        <v>0</v>
      </c>
      <c r="AB15" s="24">
        <f t="shared" si="4"/>
        <v>0</v>
      </c>
      <c r="AC15" s="30">
        <f>SUMIFS(Output!$L:$L,Output!$A:$A,Prediction!$A15,Output!$C:$C,Prediction!Y$5)</f>
        <v>0</v>
      </c>
      <c r="AD15" s="29">
        <f>IFERROR(VLOOKUP($D15,Schedules!$A:$I,MATCH(Prediction!AD$6,Schedules!$A$1:$H$1,0),FALSE),0)</f>
        <v>0</v>
      </c>
      <c r="AE15" s="24">
        <f>IF(AD15=0,0,SUMIFS(Output!$L:$L,Output!$A:$A,Prediction!$A15,Output!$C:$C,Prediction!AD$5))</f>
        <v>0</v>
      </c>
      <c r="AF15" s="24">
        <f t="shared" si="14"/>
        <v>0</v>
      </c>
      <c r="AG15" s="24">
        <f t="shared" si="5"/>
        <v>0</v>
      </c>
      <c r="AH15" s="30">
        <f>SUMIFS(Output!$L:$L,Output!$A:$A,Prediction!$A15,Output!$C:$C,Prediction!AD$5)</f>
        <v>0</v>
      </c>
      <c r="AI15" s="29">
        <f>IFERROR(VLOOKUP($D15,Schedules!$A:$I,MATCH(Prediction!AI$6,Schedules!$A$1:$H$1,0),FALSE),0)</f>
        <v>0</v>
      </c>
      <c r="AJ15" s="24">
        <f>IF(AI15=0,0,SUMIFS(Output!$L:$L,Output!$A:$A,Prediction!$A15,Output!$C:$C,Prediction!AI$5))</f>
        <v>0</v>
      </c>
      <c r="AK15" s="24">
        <f t="shared" si="15"/>
        <v>0</v>
      </c>
      <c r="AL15" s="24">
        <f t="shared" si="6"/>
        <v>0</v>
      </c>
      <c r="AM15" s="30">
        <f>SUMIFS(Output!$L:$L,Output!$A:$A,Prediction!$A15,Output!$C:$C,Prediction!AI$5)</f>
        <v>0</v>
      </c>
      <c r="AN15">
        <f t="shared" si="7"/>
        <v>0</v>
      </c>
      <c r="AO15" s="3">
        <f t="shared" si="8"/>
        <v>0</v>
      </c>
      <c r="AP15" s="44"/>
      <c r="AQ15" s="3">
        <f t="shared" si="16"/>
        <v>0</v>
      </c>
      <c r="AR15" s="3">
        <f t="shared" si="9"/>
        <v>0</v>
      </c>
    </row>
    <row r="16" spans="1:44" x14ac:dyDescent="0.25">
      <c r="A16" s="9" t="str">
        <f t="array" ref="A16">IFERROR(INDEX(Output!A$1:A$2000,MATCH(0,COUNTIF(Prediction!$A$7:A15,Output!A$1:A$2000),0)),"")</f>
        <v/>
      </c>
      <c r="B16" t="str">
        <f>IFERROR(VLOOKUP($A16,Output!$A:$M,2,FALSE),"")</f>
        <v/>
      </c>
      <c r="C16" t="str">
        <f>IFERROR(VLOOKUP(B16,Departments!B:C,2,FALSE),"")</f>
        <v/>
      </c>
      <c r="D16" t="str">
        <f>IFERROR(VLOOKUP($A16,Output!$A:$M,13,FALSE),"")</f>
        <v/>
      </c>
      <c r="E16" s="29">
        <f>IFERROR(VLOOKUP($D16,Schedules!$A:$I,MATCH(Prediction!E$6,Schedules!$A$1:$H$1,0),FALSE),0)</f>
        <v>0</v>
      </c>
      <c r="F16" s="24">
        <f>IF(E16=0,0,SUMIFS(Output!$L:$L,Output!$A:$A,Prediction!$A16,Output!$C:$C,Prediction!E$5))</f>
        <v>0</v>
      </c>
      <c r="G16" s="24">
        <f t="shared" si="10"/>
        <v>0</v>
      </c>
      <c r="H16" s="45">
        <f t="shared" si="17"/>
        <v>0</v>
      </c>
      <c r="I16" s="30">
        <f>SUMIFS(Output!$L:$L,Output!$A:$A,Prediction!$A16,Output!$C:$C,Prediction!E$5)</f>
        <v>0</v>
      </c>
      <c r="J16" s="29">
        <f>IFERROR(VLOOKUP($D16,Schedules!$A:$I,MATCH(Prediction!J$6,Schedules!$A$1:$H$1,0),FALSE),0)</f>
        <v>0</v>
      </c>
      <c r="K16" s="24">
        <f>IF(J16=0,0,SUMIFS(Output!$L:$L,Output!$A:$A,Prediction!$A16,Output!$C:$C,Prediction!J$5))</f>
        <v>0</v>
      </c>
      <c r="L16" s="24">
        <f t="shared" si="11"/>
        <v>0</v>
      </c>
      <c r="M16" s="24">
        <f t="shared" si="0"/>
        <v>0</v>
      </c>
      <c r="N16" s="30">
        <f>SUMIFS(Output!$L:$L,Output!$A:$A,Prediction!$A16,Output!$C:$C,Prediction!J$5)</f>
        <v>0</v>
      </c>
      <c r="O16" s="29">
        <f>IFERROR(VLOOKUP($D16,Schedules!$A:$I,MATCH(Prediction!O$6,Schedules!$A$1:$H$1,0),FALSE),0)</f>
        <v>0</v>
      </c>
      <c r="P16" s="24">
        <f>IF(O16=0,0,SUMIFS(Output!$L:$L,Output!$A:$A,Prediction!$A16,Output!$C:$C,Prediction!O$5))</f>
        <v>0</v>
      </c>
      <c r="Q16" s="24">
        <f t="shared" si="12"/>
        <v>0</v>
      </c>
      <c r="R16" s="24">
        <f t="shared" si="1"/>
        <v>0</v>
      </c>
      <c r="S16" s="30">
        <f>SUMIFS(Output!$L:$L,Output!$A:$A,Prediction!$A16,Output!$C:$C,Prediction!O$5)</f>
        <v>0</v>
      </c>
      <c r="T16" s="29">
        <f>IFERROR(VLOOKUP($D16,Schedules!$A:$I,MATCH(Prediction!T$6,Schedules!$A$1:$H$1,0),FALSE),0)</f>
        <v>0</v>
      </c>
      <c r="U16" s="24">
        <f>IF(T16=0,0,SUMIFS(Output!$L:$L,Output!$A:$A,Prediction!$A16,Output!$C:$C,Prediction!T$5))</f>
        <v>0</v>
      </c>
      <c r="V16" s="24">
        <f t="shared" si="2"/>
        <v>0</v>
      </c>
      <c r="W16" s="24">
        <f t="shared" si="3"/>
        <v>0</v>
      </c>
      <c r="X16" s="30">
        <f>SUMIFS(Output!$L:$L,Output!$A:$A,Prediction!$A16,Output!$C:$C,Prediction!T$5)</f>
        <v>0</v>
      </c>
      <c r="Y16" s="25">
        <f>IFERROR(VLOOKUP($D16,Schedules!$A:$I,MATCH(Prediction!Y$6,Schedules!$A$1:$H$1,0),FALSE),0)</f>
        <v>0</v>
      </c>
      <c r="Z16" s="24">
        <f>IF(Y16=0,0,SUMIFS(Output!$L:$L,Output!$A:$A,Prediction!$A16,Output!$C:$C,Prediction!Y$5))</f>
        <v>0</v>
      </c>
      <c r="AA16" s="24">
        <f t="shared" si="13"/>
        <v>0</v>
      </c>
      <c r="AB16" s="24">
        <f t="shared" si="4"/>
        <v>0</v>
      </c>
      <c r="AC16" s="30">
        <f>SUMIFS(Output!$L:$L,Output!$A:$A,Prediction!$A16,Output!$C:$C,Prediction!Y$5)</f>
        <v>0</v>
      </c>
      <c r="AD16" s="29">
        <f>IFERROR(VLOOKUP($D16,Schedules!$A:$I,MATCH(Prediction!AD$6,Schedules!$A$1:$H$1,0),FALSE),0)</f>
        <v>0</v>
      </c>
      <c r="AE16" s="24">
        <f>IF(AD16=0,0,SUMIFS(Output!$L:$L,Output!$A:$A,Prediction!$A16,Output!$C:$C,Prediction!AD$5))</f>
        <v>0</v>
      </c>
      <c r="AF16" s="24">
        <f t="shared" si="14"/>
        <v>0</v>
      </c>
      <c r="AG16" s="24">
        <f t="shared" si="5"/>
        <v>0</v>
      </c>
      <c r="AH16" s="30">
        <f>SUMIFS(Output!$L:$L,Output!$A:$A,Prediction!$A16,Output!$C:$C,Prediction!AD$5)</f>
        <v>0</v>
      </c>
      <c r="AI16" s="29">
        <f>IFERROR(VLOOKUP($D16,Schedules!$A:$I,MATCH(Prediction!AI$6,Schedules!$A$1:$H$1,0),FALSE),0)</f>
        <v>0</v>
      </c>
      <c r="AJ16" s="24">
        <f>IF(AI16=0,0,SUMIFS(Output!$L:$L,Output!$A:$A,Prediction!$A16,Output!$C:$C,Prediction!AI$5))</f>
        <v>0</v>
      </c>
      <c r="AK16" s="24">
        <f t="shared" si="15"/>
        <v>0</v>
      </c>
      <c r="AL16" s="24">
        <f t="shared" si="6"/>
        <v>0</v>
      </c>
      <c r="AM16" s="30">
        <f>SUMIFS(Output!$L:$L,Output!$A:$A,Prediction!$A16,Output!$C:$C,Prediction!AI$5)</f>
        <v>0</v>
      </c>
      <c r="AN16">
        <f t="shared" si="7"/>
        <v>0</v>
      </c>
      <c r="AO16" s="3">
        <f t="shared" si="8"/>
        <v>0</v>
      </c>
      <c r="AP16" s="44"/>
      <c r="AQ16" s="3">
        <f t="shared" si="16"/>
        <v>0</v>
      </c>
      <c r="AR16" s="3">
        <f t="shared" si="9"/>
        <v>0</v>
      </c>
    </row>
    <row r="17" spans="1:44" x14ac:dyDescent="0.25">
      <c r="A17" s="9" t="str">
        <f t="array" ref="A17">IFERROR(INDEX(Output!A$1:A$2000,MATCH(0,COUNTIF(Prediction!$A$7:A16,Output!A$1:A$2000),0)),"")</f>
        <v/>
      </c>
      <c r="B17" t="str">
        <f>IFERROR(VLOOKUP($A17,Output!$A:$M,2,FALSE),"")</f>
        <v/>
      </c>
      <c r="C17" t="str">
        <f>IFERROR(VLOOKUP(B17,Departments!B:C,2,FALSE),"")</f>
        <v/>
      </c>
      <c r="D17" t="str">
        <f>IFERROR(VLOOKUP($A17,Output!$A:$M,13,FALSE),"")</f>
        <v/>
      </c>
      <c r="E17" s="29">
        <f>IFERROR(VLOOKUP($D17,Schedules!$A:$I,MATCH(Prediction!E$6,Schedules!$A$1:$H$1,0),FALSE),0)</f>
        <v>0</v>
      </c>
      <c r="F17" s="24">
        <f>IF(E17=0,0,SUMIFS(Output!$L:$L,Output!$A:$A,Prediction!$A17,Output!$C:$C,Prediction!E$5))</f>
        <v>0</v>
      </c>
      <c r="G17" s="24">
        <f t="shared" si="10"/>
        <v>0</v>
      </c>
      <c r="H17" s="45">
        <f t="shared" si="17"/>
        <v>0</v>
      </c>
      <c r="I17" s="30">
        <f>SUMIFS(Output!$L:$L,Output!$A:$A,Prediction!$A17,Output!$C:$C,Prediction!E$5)</f>
        <v>0</v>
      </c>
      <c r="J17" s="29">
        <f>IFERROR(VLOOKUP($D17,Schedules!$A:$I,MATCH(Prediction!J$6,Schedules!$A$1:$H$1,0),FALSE),0)</f>
        <v>0</v>
      </c>
      <c r="K17" s="24">
        <f>IF(J17=0,0,SUMIFS(Output!$L:$L,Output!$A:$A,Prediction!$A17,Output!$C:$C,Prediction!J$5))</f>
        <v>0</v>
      </c>
      <c r="L17" s="24">
        <f t="shared" si="11"/>
        <v>0</v>
      </c>
      <c r="M17" s="24">
        <f t="shared" si="0"/>
        <v>0</v>
      </c>
      <c r="N17" s="30">
        <f>SUMIFS(Output!$L:$L,Output!$A:$A,Prediction!$A17,Output!$C:$C,Prediction!J$5)</f>
        <v>0</v>
      </c>
      <c r="O17" s="29">
        <f>IFERROR(VLOOKUP($D17,Schedules!$A:$I,MATCH(Prediction!O$6,Schedules!$A$1:$H$1,0),FALSE),0)</f>
        <v>0</v>
      </c>
      <c r="P17" s="24">
        <f>IF(O17=0,0,SUMIFS(Output!$L:$L,Output!$A:$A,Prediction!$A17,Output!$C:$C,Prediction!O$5))</f>
        <v>0</v>
      </c>
      <c r="Q17" s="24">
        <f t="shared" si="12"/>
        <v>0</v>
      </c>
      <c r="R17" s="24">
        <f t="shared" si="1"/>
        <v>0</v>
      </c>
      <c r="S17" s="30">
        <f>SUMIFS(Output!$L:$L,Output!$A:$A,Prediction!$A17,Output!$C:$C,Prediction!O$5)</f>
        <v>0</v>
      </c>
      <c r="T17" s="29">
        <f>IFERROR(VLOOKUP($D17,Schedules!$A:$I,MATCH(Prediction!T$6,Schedules!$A$1:$H$1,0),FALSE),0)</f>
        <v>0</v>
      </c>
      <c r="U17" s="24">
        <f>IF(T17=0,0,SUMIFS(Output!$L:$L,Output!$A:$A,Prediction!$A17,Output!$C:$C,Prediction!T$5))</f>
        <v>0</v>
      </c>
      <c r="V17" s="24">
        <f t="shared" si="2"/>
        <v>0</v>
      </c>
      <c r="W17" s="24">
        <f t="shared" si="3"/>
        <v>0</v>
      </c>
      <c r="X17" s="30">
        <f>SUMIFS(Output!$L:$L,Output!$A:$A,Prediction!$A17,Output!$C:$C,Prediction!T$5)</f>
        <v>0</v>
      </c>
      <c r="Y17" s="25">
        <f>IFERROR(VLOOKUP($D17,Schedules!$A:$I,MATCH(Prediction!Y$6,Schedules!$A$1:$H$1,0),FALSE),0)</f>
        <v>0</v>
      </c>
      <c r="Z17" s="24">
        <f>IF(Y17=0,0,SUMIFS(Output!$L:$L,Output!$A:$A,Prediction!$A17,Output!$C:$C,Prediction!Y$5))</f>
        <v>0</v>
      </c>
      <c r="AA17" s="24">
        <f t="shared" si="13"/>
        <v>0</v>
      </c>
      <c r="AB17" s="24">
        <f t="shared" si="4"/>
        <v>0</v>
      </c>
      <c r="AC17" s="30">
        <f>SUMIFS(Output!$L:$L,Output!$A:$A,Prediction!$A17,Output!$C:$C,Prediction!Y$5)</f>
        <v>0</v>
      </c>
      <c r="AD17" s="29">
        <f>IFERROR(VLOOKUP($D17,Schedules!$A:$I,MATCH(Prediction!AD$6,Schedules!$A$1:$H$1,0),FALSE),0)</f>
        <v>0</v>
      </c>
      <c r="AE17" s="24">
        <f>IF(AD17=0,0,SUMIFS(Output!$L:$L,Output!$A:$A,Prediction!$A17,Output!$C:$C,Prediction!AD$5))</f>
        <v>0</v>
      </c>
      <c r="AF17" s="24">
        <f t="shared" si="14"/>
        <v>0</v>
      </c>
      <c r="AG17" s="24">
        <f t="shared" si="5"/>
        <v>0</v>
      </c>
      <c r="AH17" s="30">
        <f>SUMIFS(Output!$L:$L,Output!$A:$A,Prediction!$A17,Output!$C:$C,Prediction!AD$5)</f>
        <v>0</v>
      </c>
      <c r="AI17" s="29">
        <f>IFERROR(VLOOKUP($D17,Schedules!$A:$I,MATCH(Prediction!AI$6,Schedules!$A$1:$H$1,0),FALSE),0)</f>
        <v>0</v>
      </c>
      <c r="AJ17" s="24">
        <f>IF(AI17=0,0,SUMIFS(Output!$L:$L,Output!$A:$A,Prediction!$A17,Output!$C:$C,Prediction!AI$5))</f>
        <v>0</v>
      </c>
      <c r="AK17" s="24">
        <f t="shared" si="15"/>
        <v>0</v>
      </c>
      <c r="AL17" s="24">
        <f t="shared" si="6"/>
        <v>0</v>
      </c>
      <c r="AM17" s="30">
        <f>SUMIFS(Output!$L:$L,Output!$A:$A,Prediction!$A17,Output!$C:$C,Prediction!AI$5)</f>
        <v>0</v>
      </c>
      <c r="AN17">
        <f t="shared" si="7"/>
        <v>0</v>
      </c>
      <c r="AO17" s="3">
        <f t="shared" si="8"/>
        <v>0</v>
      </c>
      <c r="AP17" s="44"/>
      <c r="AQ17" s="3">
        <f t="shared" si="16"/>
        <v>0</v>
      </c>
      <c r="AR17" s="3">
        <f t="shared" si="9"/>
        <v>0</v>
      </c>
    </row>
    <row r="18" spans="1:44" x14ac:dyDescent="0.25">
      <c r="A18" s="9" t="str">
        <f t="array" ref="A18">IFERROR(INDEX(Output!A$1:A$2000,MATCH(0,COUNTIF(Prediction!$A$7:A17,Output!A$1:A$2000),0)),"")</f>
        <v/>
      </c>
      <c r="B18" t="str">
        <f>IFERROR(VLOOKUP($A18,Output!$A:$M,2,FALSE),"")</f>
        <v/>
      </c>
      <c r="C18" t="str">
        <f>IFERROR(VLOOKUP(B18,Departments!B:C,2,FALSE),"")</f>
        <v/>
      </c>
      <c r="D18" t="str">
        <f>IFERROR(VLOOKUP($A18,Output!$A:$M,13,FALSE),"")</f>
        <v/>
      </c>
      <c r="E18" s="29">
        <f>IFERROR(VLOOKUP($D18,Schedules!$A:$I,MATCH(Prediction!E$6,Schedules!$A$1:$H$1,0),FALSE),0)</f>
        <v>0</v>
      </c>
      <c r="F18" s="24">
        <f>IF(E18=0,0,SUMIFS(Output!$L:$L,Output!$A:$A,Prediction!$A18,Output!$C:$C,Prediction!E$5))</f>
        <v>0</v>
      </c>
      <c r="G18" s="24">
        <f t="shared" si="10"/>
        <v>0</v>
      </c>
      <c r="H18" s="45">
        <f t="shared" si="17"/>
        <v>0</v>
      </c>
      <c r="I18" s="30">
        <f>SUMIFS(Output!$L:$L,Output!$A:$A,Prediction!$A18,Output!$C:$C,Prediction!E$5)</f>
        <v>0</v>
      </c>
      <c r="J18" s="29">
        <f>IFERROR(VLOOKUP($D18,Schedules!$A:$I,MATCH(Prediction!J$6,Schedules!$A$1:$H$1,0),FALSE),0)</f>
        <v>0</v>
      </c>
      <c r="K18" s="24">
        <f>IF(J18=0,0,SUMIFS(Output!$L:$L,Output!$A:$A,Prediction!$A18,Output!$C:$C,Prediction!J$5))</f>
        <v>0</v>
      </c>
      <c r="L18" s="24">
        <f t="shared" si="11"/>
        <v>0</v>
      </c>
      <c r="M18" s="24">
        <f t="shared" si="0"/>
        <v>0</v>
      </c>
      <c r="N18" s="30">
        <f>SUMIFS(Output!$L:$L,Output!$A:$A,Prediction!$A18,Output!$C:$C,Prediction!J$5)</f>
        <v>0</v>
      </c>
      <c r="O18" s="29">
        <f>IFERROR(VLOOKUP($D18,Schedules!$A:$I,MATCH(Prediction!O$6,Schedules!$A$1:$H$1,0),FALSE),0)</f>
        <v>0</v>
      </c>
      <c r="P18" s="24">
        <f>IF(O18=0,0,SUMIFS(Output!$L:$L,Output!$A:$A,Prediction!$A18,Output!$C:$C,Prediction!O$5))</f>
        <v>0</v>
      </c>
      <c r="Q18" s="24">
        <f t="shared" si="12"/>
        <v>0</v>
      </c>
      <c r="R18" s="24">
        <f t="shared" si="1"/>
        <v>0</v>
      </c>
      <c r="S18" s="30">
        <f>SUMIFS(Output!$L:$L,Output!$A:$A,Prediction!$A18,Output!$C:$C,Prediction!O$5)</f>
        <v>0</v>
      </c>
      <c r="T18" s="29">
        <f>IFERROR(VLOOKUP($D18,Schedules!$A:$I,MATCH(Prediction!T$6,Schedules!$A$1:$H$1,0),FALSE),0)</f>
        <v>0</v>
      </c>
      <c r="U18" s="24">
        <f>IF(T18=0,0,SUMIFS(Output!$L:$L,Output!$A:$A,Prediction!$A18,Output!$C:$C,Prediction!T$5))</f>
        <v>0</v>
      </c>
      <c r="V18" s="24">
        <f t="shared" si="2"/>
        <v>0</v>
      </c>
      <c r="W18" s="24">
        <f t="shared" si="3"/>
        <v>0</v>
      </c>
      <c r="X18" s="30">
        <f>SUMIFS(Output!$L:$L,Output!$A:$A,Prediction!$A18,Output!$C:$C,Prediction!T$5)</f>
        <v>0</v>
      </c>
      <c r="Y18" s="25">
        <f>IFERROR(VLOOKUP($D18,Schedules!$A:$I,MATCH(Prediction!Y$6,Schedules!$A$1:$H$1,0),FALSE),0)</f>
        <v>0</v>
      </c>
      <c r="Z18" s="24">
        <f>IF(Y18=0,0,SUMIFS(Output!$L:$L,Output!$A:$A,Prediction!$A18,Output!$C:$C,Prediction!Y$5))</f>
        <v>0</v>
      </c>
      <c r="AA18" s="24">
        <f t="shared" si="13"/>
        <v>0</v>
      </c>
      <c r="AB18" s="24">
        <f t="shared" si="4"/>
        <v>0</v>
      </c>
      <c r="AC18" s="30">
        <f>SUMIFS(Output!$L:$L,Output!$A:$A,Prediction!$A18,Output!$C:$C,Prediction!Y$5)</f>
        <v>0</v>
      </c>
      <c r="AD18" s="29">
        <f>IFERROR(VLOOKUP($D18,Schedules!$A:$I,MATCH(Prediction!AD$6,Schedules!$A$1:$H$1,0),FALSE),0)</f>
        <v>0</v>
      </c>
      <c r="AE18" s="24">
        <f>IF(AD18=0,0,SUMIFS(Output!$L:$L,Output!$A:$A,Prediction!$A18,Output!$C:$C,Prediction!AD$5))</f>
        <v>0</v>
      </c>
      <c r="AF18" s="24">
        <f t="shared" si="14"/>
        <v>0</v>
      </c>
      <c r="AG18" s="24">
        <f t="shared" si="5"/>
        <v>0</v>
      </c>
      <c r="AH18" s="30">
        <f>SUMIFS(Output!$L:$L,Output!$A:$A,Prediction!$A18,Output!$C:$C,Prediction!AD$5)</f>
        <v>0</v>
      </c>
      <c r="AI18" s="29">
        <f>IFERROR(VLOOKUP($D18,Schedules!$A:$I,MATCH(Prediction!AI$6,Schedules!$A$1:$H$1,0),FALSE),0)</f>
        <v>0</v>
      </c>
      <c r="AJ18" s="24">
        <f>IF(AI18=0,0,SUMIFS(Output!$L:$L,Output!$A:$A,Prediction!$A18,Output!$C:$C,Prediction!AI$5))</f>
        <v>0</v>
      </c>
      <c r="AK18" s="24">
        <f t="shared" si="15"/>
        <v>0</v>
      </c>
      <c r="AL18" s="24">
        <f t="shared" si="6"/>
        <v>0</v>
      </c>
      <c r="AM18" s="30">
        <f>SUMIFS(Output!$L:$L,Output!$A:$A,Prediction!$A18,Output!$C:$C,Prediction!AI$5)</f>
        <v>0</v>
      </c>
      <c r="AN18">
        <f t="shared" si="7"/>
        <v>0</v>
      </c>
      <c r="AO18" s="3">
        <f t="shared" si="8"/>
        <v>0</v>
      </c>
      <c r="AP18" s="44"/>
      <c r="AQ18" s="3">
        <f t="shared" si="16"/>
        <v>0</v>
      </c>
      <c r="AR18" s="3">
        <f t="shared" si="9"/>
        <v>0</v>
      </c>
    </row>
    <row r="19" spans="1:44" x14ac:dyDescent="0.25">
      <c r="A19" s="9" t="str">
        <f t="array" ref="A19">IFERROR(INDEX(Output!A$1:A$2000,MATCH(0,COUNTIF(Prediction!$A$7:A18,Output!A$1:A$2000),0)),"")</f>
        <v/>
      </c>
      <c r="B19" t="str">
        <f>IFERROR(VLOOKUP($A19,Output!$A:$M,2,FALSE),"")</f>
        <v/>
      </c>
      <c r="C19" t="str">
        <f>IFERROR(VLOOKUP(B19,Departments!B:C,2,FALSE),"")</f>
        <v/>
      </c>
      <c r="D19" t="str">
        <f>IFERROR(VLOOKUP($A19,Output!$A:$M,13,FALSE),"")</f>
        <v/>
      </c>
      <c r="E19" s="29">
        <f>IFERROR(VLOOKUP($D19,Schedules!$A:$I,MATCH(Prediction!E$6,Schedules!$A$1:$H$1,0),FALSE),0)</f>
        <v>0</v>
      </c>
      <c r="F19" s="24">
        <f>IF(E19=0,0,SUMIFS(Output!$L:$L,Output!$A:$A,Prediction!$A19,Output!$C:$C,Prediction!E$5))</f>
        <v>0</v>
      </c>
      <c r="G19" s="24">
        <f t="shared" si="10"/>
        <v>0</v>
      </c>
      <c r="H19" s="45">
        <f t="shared" si="17"/>
        <v>0</v>
      </c>
      <c r="I19" s="30">
        <f>SUMIFS(Output!$L:$L,Output!$A:$A,Prediction!$A19,Output!$C:$C,Prediction!E$5)</f>
        <v>0</v>
      </c>
      <c r="J19" s="29">
        <f>IFERROR(VLOOKUP($D19,Schedules!$A:$I,MATCH(Prediction!J$6,Schedules!$A$1:$H$1,0),FALSE),0)</f>
        <v>0</v>
      </c>
      <c r="K19" s="24">
        <f>IF(J19=0,0,SUMIFS(Output!$L:$L,Output!$A:$A,Prediction!$A19,Output!$C:$C,Prediction!J$5))</f>
        <v>0</v>
      </c>
      <c r="L19" s="24">
        <f t="shared" si="11"/>
        <v>0</v>
      </c>
      <c r="M19" s="24">
        <f t="shared" si="0"/>
        <v>0</v>
      </c>
      <c r="N19" s="30">
        <f>SUMIFS(Output!$L:$L,Output!$A:$A,Prediction!$A19,Output!$C:$C,Prediction!J$5)</f>
        <v>0</v>
      </c>
      <c r="O19" s="29">
        <f>IFERROR(VLOOKUP($D19,Schedules!$A:$I,MATCH(Prediction!O$6,Schedules!$A$1:$H$1,0),FALSE),0)</f>
        <v>0</v>
      </c>
      <c r="P19" s="24">
        <f>IF(O19=0,0,SUMIFS(Output!$L:$L,Output!$A:$A,Prediction!$A19,Output!$C:$C,Prediction!O$5))</f>
        <v>0</v>
      </c>
      <c r="Q19" s="24">
        <f t="shared" si="12"/>
        <v>0</v>
      </c>
      <c r="R19" s="24">
        <f t="shared" si="1"/>
        <v>0</v>
      </c>
      <c r="S19" s="30">
        <f>SUMIFS(Output!$L:$L,Output!$A:$A,Prediction!$A19,Output!$C:$C,Prediction!O$5)</f>
        <v>0</v>
      </c>
      <c r="T19" s="29">
        <f>IFERROR(VLOOKUP($D19,Schedules!$A:$I,MATCH(Prediction!T$6,Schedules!$A$1:$H$1,0),FALSE),0)</f>
        <v>0</v>
      </c>
      <c r="U19" s="24">
        <f>IF(T19=0,0,SUMIFS(Output!$L:$L,Output!$A:$A,Prediction!$A19,Output!$C:$C,Prediction!T$5))</f>
        <v>0</v>
      </c>
      <c r="V19" s="24">
        <f t="shared" si="2"/>
        <v>0</v>
      </c>
      <c r="W19" s="24">
        <f t="shared" si="3"/>
        <v>0</v>
      </c>
      <c r="X19" s="30">
        <f>SUMIFS(Output!$L:$L,Output!$A:$A,Prediction!$A19,Output!$C:$C,Prediction!T$5)</f>
        <v>0</v>
      </c>
      <c r="Y19" s="25">
        <f>IFERROR(VLOOKUP($D19,Schedules!$A:$I,MATCH(Prediction!Y$6,Schedules!$A$1:$H$1,0),FALSE),0)</f>
        <v>0</v>
      </c>
      <c r="Z19" s="24">
        <f>IF(Y19=0,0,SUMIFS(Output!$L:$L,Output!$A:$A,Prediction!$A19,Output!$C:$C,Prediction!Y$5))</f>
        <v>0</v>
      </c>
      <c r="AA19" s="24">
        <f t="shared" si="13"/>
        <v>0</v>
      </c>
      <c r="AB19" s="24">
        <f t="shared" si="4"/>
        <v>0</v>
      </c>
      <c r="AC19" s="30">
        <f>SUMIFS(Output!$L:$L,Output!$A:$A,Prediction!$A19,Output!$C:$C,Prediction!Y$5)</f>
        <v>0</v>
      </c>
      <c r="AD19" s="29">
        <f>IFERROR(VLOOKUP($D19,Schedules!$A:$I,MATCH(Prediction!AD$6,Schedules!$A$1:$H$1,0),FALSE),0)</f>
        <v>0</v>
      </c>
      <c r="AE19" s="24">
        <f>IF(AD19=0,0,SUMIFS(Output!$L:$L,Output!$A:$A,Prediction!$A19,Output!$C:$C,Prediction!AD$5))</f>
        <v>0</v>
      </c>
      <c r="AF19" s="24">
        <f t="shared" si="14"/>
        <v>0</v>
      </c>
      <c r="AG19" s="24">
        <f t="shared" si="5"/>
        <v>0</v>
      </c>
      <c r="AH19" s="30">
        <f>SUMIFS(Output!$L:$L,Output!$A:$A,Prediction!$A19,Output!$C:$C,Prediction!AD$5)</f>
        <v>0</v>
      </c>
      <c r="AI19" s="29">
        <f>IFERROR(VLOOKUP($D19,Schedules!$A:$I,MATCH(Prediction!AI$6,Schedules!$A$1:$H$1,0),FALSE),0)</f>
        <v>0</v>
      </c>
      <c r="AJ19" s="24">
        <f>IF(AI19=0,0,SUMIFS(Output!$L:$L,Output!$A:$A,Prediction!$A19,Output!$C:$C,Prediction!AI$5))</f>
        <v>0</v>
      </c>
      <c r="AK19" s="24">
        <f t="shared" si="15"/>
        <v>0</v>
      </c>
      <c r="AL19" s="24">
        <f t="shared" si="6"/>
        <v>0</v>
      </c>
      <c r="AM19" s="30">
        <f>SUMIFS(Output!$L:$L,Output!$A:$A,Prediction!$A19,Output!$C:$C,Prediction!AI$5)</f>
        <v>0</v>
      </c>
      <c r="AN19">
        <f t="shared" si="7"/>
        <v>0</v>
      </c>
      <c r="AO19" s="3">
        <f t="shared" si="8"/>
        <v>0</v>
      </c>
      <c r="AP19" s="44"/>
      <c r="AQ19" s="3">
        <f t="shared" si="16"/>
        <v>0</v>
      </c>
      <c r="AR19" s="3">
        <f t="shared" si="9"/>
        <v>0</v>
      </c>
    </row>
    <row r="20" spans="1:44" x14ac:dyDescent="0.25">
      <c r="A20" s="9" t="str">
        <f t="array" ref="A20">IFERROR(INDEX(Output!A$1:A$2000,MATCH(0,COUNTIF(Prediction!$A$7:A19,Output!A$1:A$2000),0)),"")</f>
        <v/>
      </c>
      <c r="B20" t="str">
        <f>IFERROR(VLOOKUP($A20,Output!$A:$M,2,FALSE),"")</f>
        <v/>
      </c>
      <c r="C20" t="str">
        <f>IFERROR(VLOOKUP(B20,Departments!B:C,2,FALSE),"")</f>
        <v/>
      </c>
      <c r="D20" t="str">
        <f>IFERROR(VLOOKUP($A20,Output!$A:$M,13,FALSE),"")</f>
        <v/>
      </c>
      <c r="E20" s="29">
        <f>IFERROR(VLOOKUP($D20,Schedules!$A:$I,MATCH(Prediction!E$6,Schedules!$A$1:$H$1,0),FALSE),0)</f>
        <v>0</v>
      </c>
      <c r="F20" s="24">
        <f>IF(E20=0,0,SUMIFS(Output!$L:$L,Output!$A:$A,Prediction!$A20,Output!$C:$C,Prediction!E$5))</f>
        <v>0</v>
      </c>
      <c r="G20" s="24">
        <f t="shared" si="10"/>
        <v>0</v>
      </c>
      <c r="H20" s="45">
        <f t="shared" si="17"/>
        <v>0</v>
      </c>
      <c r="I20" s="30">
        <f>SUMIFS(Output!$L:$L,Output!$A:$A,Prediction!$A20,Output!$C:$C,Prediction!E$5)</f>
        <v>0</v>
      </c>
      <c r="J20" s="29">
        <f>IFERROR(VLOOKUP($D20,Schedules!$A:$I,MATCH(Prediction!J$6,Schedules!$A$1:$H$1,0),FALSE),0)</f>
        <v>0</v>
      </c>
      <c r="K20" s="24">
        <f>IF(J20=0,0,SUMIFS(Output!$L:$L,Output!$A:$A,Prediction!$A20,Output!$C:$C,Prediction!J$5))</f>
        <v>0</v>
      </c>
      <c r="L20" s="24">
        <f t="shared" si="11"/>
        <v>0</v>
      </c>
      <c r="M20" s="24">
        <f t="shared" si="0"/>
        <v>0</v>
      </c>
      <c r="N20" s="30">
        <f>SUMIFS(Output!$L:$L,Output!$A:$A,Prediction!$A20,Output!$C:$C,Prediction!J$5)</f>
        <v>0</v>
      </c>
      <c r="O20" s="29">
        <f>IFERROR(VLOOKUP($D20,Schedules!$A:$I,MATCH(Prediction!O$6,Schedules!$A$1:$H$1,0),FALSE),0)</f>
        <v>0</v>
      </c>
      <c r="P20" s="24">
        <f>IF(O20=0,0,SUMIFS(Output!$L:$L,Output!$A:$A,Prediction!$A20,Output!$C:$C,Prediction!O$5))</f>
        <v>0</v>
      </c>
      <c r="Q20" s="24">
        <f t="shared" si="12"/>
        <v>0</v>
      </c>
      <c r="R20" s="24">
        <f t="shared" si="1"/>
        <v>0</v>
      </c>
      <c r="S20" s="30">
        <f>SUMIFS(Output!$L:$L,Output!$A:$A,Prediction!$A20,Output!$C:$C,Prediction!O$5)</f>
        <v>0</v>
      </c>
      <c r="T20" s="29">
        <f>IFERROR(VLOOKUP($D20,Schedules!$A:$I,MATCH(Prediction!T$6,Schedules!$A$1:$H$1,0),FALSE),0)</f>
        <v>0</v>
      </c>
      <c r="U20" s="24">
        <f>IF(T20=0,0,SUMIFS(Output!$L:$L,Output!$A:$A,Prediction!$A20,Output!$C:$C,Prediction!T$5))</f>
        <v>0</v>
      </c>
      <c r="V20" s="24">
        <f t="shared" si="2"/>
        <v>0</v>
      </c>
      <c r="W20" s="24">
        <f t="shared" si="3"/>
        <v>0</v>
      </c>
      <c r="X20" s="30">
        <f>SUMIFS(Output!$L:$L,Output!$A:$A,Prediction!$A20,Output!$C:$C,Prediction!T$5)</f>
        <v>0</v>
      </c>
      <c r="Y20" s="25">
        <f>IFERROR(VLOOKUP($D20,Schedules!$A:$I,MATCH(Prediction!Y$6,Schedules!$A$1:$H$1,0),FALSE),0)</f>
        <v>0</v>
      </c>
      <c r="Z20" s="24">
        <f>IF(Y20=0,0,SUMIFS(Output!$L:$L,Output!$A:$A,Prediction!$A20,Output!$C:$C,Prediction!Y$5))</f>
        <v>0</v>
      </c>
      <c r="AA20" s="24">
        <f t="shared" si="13"/>
        <v>0</v>
      </c>
      <c r="AB20" s="24">
        <f t="shared" si="4"/>
        <v>0</v>
      </c>
      <c r="AC20" s="30">
        <f>SUMIFS(Output!$L:$L,Output!$A:$A,Prediction!$A20,Output!$C:$C,Prediction!Y$5)</f>
        <v>0</v>
      </c>
      <c r="AD20" s="29">
        <f>IFERROR(VLOOKUP($D20,Schedules!$A:$I,MATCH(Prediction!AD$6,Schedules!$A$1:$H$1,0),FALSE),0)</f>
        <v>0</v>
      </c>
      <c r="AE20" s="24">
        <f>IF(AD20=0,0,SUMIFS(Output!$L:$L,Output!$A:$A,Prediction!$A20,Output!$C:$C,Prediction!AD$5))</f>
        <v>0</v>
      </c>
      <c r="AF20" s="24">
        <f t="shared" si="14"/>
        <v>0</v>
      </c>
      <c r="AG20" s="24">
        <f t="shared" si="5"/>
        <v>0</v>
      </c>
      <c r="AH20" s="30">
        <f>SUMIFS(Output!$L:$L,Output!$A:$A,Prediction!$A20,Output!$C:$C,Prediction!AD$5)</f>
        <v>0</v>
      </c>
      <c r="AI20" s="29">
        <f>IFERROR(VLOOKUP($D20,Schedules!$A:$I,MATCH(Prediction!AI$6,Schedules!$A$1:$H$1,0),FALSE),0)</f>
        <v>0</v>
      </c>
      <c r="AJ20" s="24">
        <f>IF(AI20=0,0,SUMIFS(Output!$L:$L,Output!$A:$A,Prediction!$A20,Output!$C:$C,Prediction!AI$5))</f>
        <v>0</v>
      </c>
      <c r="AK20" s="24">
        <f t="shared" si="15"/>
        <v>0</v>
      </c>
      <c r="AL20" s="24">
        <f t="shared" si="6"/>
        <v>0</v>
      </c>
      <c r="AM20" s="30">
        <f>SUMIFS(Output!$L:$L,Output!$A:$A,Prediction!$A20,Output!$C:$C,Prediction!AI$5)</f>
        <v>0</v>
      </c>
      <c r="AN20">
        <f t="shared" si="7"/>
        <v>0</v>
      </c>
      <c r="AO20" s="3">
        <f t="shared" si="8"/>
        <v>0</v>
      </c>
      <c r="AP20" s="44"/>
      <c r="AQ20" s="3">
        <f t="shared" si="16"/>
        <v>0</v>
      </c>
      <c r="AR20" s="3">
        <f t="shared" si="9"/>
        <v>0</v>
      </c>
    </row>
    <row r="21" spans="1:44" x14ac:dyDescent="0.25">
      <c r="A21" s="9" t="str">
        <f t="array" ref="A21">IFERROR(INDEX(Output!A$1:A$2000,MATCH(0,COUNTIF(Prediction!$A$7:A20,Output!A$1:A$2000),0)),"")</f>
        <v/>
      </c>
      <c r="B21" t="str">
        <f>IFERROR(VLOOKUP($A21,Output!$A:$M,2,FALSE),"")</f>
        <v/>
      </c>
      <c r="C21" t="str">
        <f>IFERROR(VLOOKUP(B21,Departments!B:C,2,FALSE),"")</f>
        <v/>
      </c>
      <c r="D21" t="str">
        <f>IFERROR(VLOOKUP($A21,Output!$A:$M,13,FALSE),"")</f>
        <v/>
      </c>
      <c r="E21" s="29">
        <f>IFERROR(VLOOKUP($D21,Schedules!$A:$I,MATCH(Prediction!E$6,Schedules!$A$1:$H$1,0),FALSE),0)</f>
        <v>0</v>
      </c>
      <c r="F21" s="24">
        <f>IF(E21=0,0,SUMIFS(Output!$L:$L,Output!$A:$A,Prediction!$A21,Output!$C:$C,Prediction!E$5))</f>
        <v>0</v>
      </c>
      <c r="G21" s="24">
        <f t="shared" si="10"/>
        <v>0</v>
      </c>
      <c r="H21" s="45">
        <f t="shared" si="17"/>
        <v>0</v>
      </c>
      <c r="I21" s="30">
        <f>SUMIFS(Output!$L:$L,Output!$A:$A,Prediction!$A21,Output!$C:$C,Prediction!E$5)</f>
        <v>0</v>
      </c>
      <c r="J21" s="29">
        <f>IFERROR(VLOOKUP($D21,Schedules!$A:$I,MATCH(Prediction!J$6,Schedules!$A$1:$H$1,0),FALSE),0)</f>
        <v>0</v>
      </c>
      <c r="K21" s="24">
        <f>IF(J21=0,0,SUMIFS(Output!$L:$L,Output!$A:$A,Prediction!$A21,Output!$C:$C,Prediction!J$5))</f>
        <v>0</v>
      </c>
      <c r="L21" s="24">
        <f t="shared" si="11"/>
        <v>0</v>
      </c>
      <c r="M21" s="24">
        <f t="shared" si="0"/>
        <v>0</v>
      </c>
      <c r="N21" s="30">
        <f>SUMIFS(Output!$L:$L,Output!$A:$A,Prediction!$A21,Output!$C:$C,Prediction!J$5)</f>
        <v>0</v>
      </c>
      <c r="O21" s="29">
        <f>IFERROR(VLOOKUP($D21,Schedules!$A:$I,MATCH(Prediction!O$6,Schedules!$A$1:$H$1,0),FALSE),0)</f>
        <v>0</v>
      </c>
      <c r="P21" s="24">
        <f>IF(O21=0,0,SUMIFS(Output!$L:$L,Output!$A:$A,Prediction!$A21,Output!$C:$C,Prediction!O$5))</f>
        <v>0</v>
      </c>
      <c r="Q21" s="24">
        <f t="shared" si="12"/>
        <v>0</v>
      </c>
      <c r="R21" s="24">
        <f t="shared" si="1"/>
        <v>0</v>
      </c>
      <c r="S21" s="30">
        <f>SUMIFS(Output!$L:$L,Output!$A:$A,Prediction!$A21,Output!$C:$C,Prediction!O$5)</f>
        <v>0</v>
      </c>
      <c r="T21" s="29">
        <f>IFERROR(VLOOKUP($D21,Schedules!$A:$I,MATCH(Prediction!T$6,Schedules!$A$1:$H$1,0),FALSE),0)</f>
        <v>0</v>
      </c>
      <c r="U21" s="24">
        <f>IF(T21=0,0,SUMIFS(Output!$L:$L,Output!$A:$A,Prediction!$A21,Output!$C:$C,Prediction!T$5))</f>
        <v>0</v>
      </c>
      <c r="V21" s="24">
        <f t="shared" si="2"/>
        <v>0</v>
      </c>
      <c r="W21" s="24">
        <f t="shared" si="3"/>
        <v>0</v>
      </c>
      <c r="X21" s="30">
        <f>SUMIFS(Output!$L:$L,Output!$A:$A,Prediction!$A21,Output!$C:$C,Prediction!T$5)</f>
        <v>0</v>
      </c>
      <c r="Y21" s="25">
        <f>IFERROR(VLOOKUP($D21,Schedules!$A:$I,MATCH(Prediction!Y$6,Schedules!$A$1:$H$1,0),FALSE),0)</f>
        <v>0</v>
      </c>
      <c r="Z21" s="24">
        <f>IF(Y21=0,0,SUMIFS(Output!$L:$L,Output!$A:$A,Prediction!$A21,Output!$C:$C,Prediction!Y$5))</f>
        <v>0</v>
      </c>
      <c r="AA21" s="24">
        <f t="shared" si="13"/>
        <v>0</v>
      </c>
      <c r="AB21" s="24">
        <f t="shared" si="4"/>
        <v>0</v>
      </c>
      <c r="AC21" s="30">
        <f>SUMIFS(Output!$L:$L,Output!$A:$A,Prediction!$A21,Output!$C:$C,Prediction!Y$5)</f>
        <v>0</v>
      </c>
      <c r="AD21" s="29">
        <f>IFERROR(VLOOKUP($D21,Schedules!$A:$I,MATCH(Prediction!AD$6,Schedules!$A$1:$H$1,0),FALSE),0)</f>
        <v>0</v>
      </c>
      <c r="AE21" s="24">
        <f>IF(AD21=0,0,SUMIFS(Output!$L:$L,Output!$A:$A,Prediction!$A21,Output!$C:$C,Prediction!AD$5))</f>
        <v>0</v>
      </c>
      <c r="AF21" s="24">
        <f t="shared" si="14"/>
        <v>0</v>
      </c>
      <c r="AG21" s="24">
        <f t="shared" si="5"/>
        <v>0</v>
      </c>
      <c r="AH21" s="30">
        <f>SUMIFS(Output!$L:$L,Output!$A:$A,Prediction!$A21,Output!$C:$C,Prediction!AD$5)</f>
        <v>0</v>
      </c>
      <c r="AI21" s="29">
        <f>IFERROR(VLOOKUP($D21,Schedules!$A:$I,MATCH(Prediction!AI$6,Schedules!$A$1:$H$1,0),FALSE),0)</f>
        <v>0</v>
      </c>
      <c r="AJ21" s="24">
        <f>IF(AI21=0,0,SUMIFS(Output!$L:$L,Output!$A:$A,Prediction!$A21,Output!$C:$C,Prediction!AI$5))</f>
        <v>0</v>
      </c>
      <c r="AK21" s="24">
        <f t="shared" si="15"/>
        <v>0</v>
      </c>
      <c r="AL21" s="24">
        <f t="shared" si="6"/>
        <v>0</v>
      </c>
      <c r="AM21" s="30">
        <f>SUMIFS(Output!$L:$L,Output!$A:$A,Prediction!$A21,Output!$C:$C,Prediction!AI$5)</f>
        <v>0</v>
      </c>
      <c r="AN21">
        <f t="shared" si="7"/>
        <v>0</v>
      </c>
      <c r="AO21" s="3">
        <f t="shared" si="8"/>
        <v>0</v>
      </c>
      <c r="AP21" s="44"/>
      <c r="AQ21" s="3">
        <f t="shared" si="16"/>
        <v>0</v>
      </c>
      <c r="AR21" s="3">
        <f t="shared" si="9"/>
        <v>0</v>
      </c>
    </row>
    <row r="22" spans="1:44" x14ac:dyDescent="0.25">
      <c r="A22" s="9" t="str">
        <f t="array" ref="A22">IFERROR(INDEX(Output!A$1:A$2000,MATCH(0,COUNTIF(Prediction!$A$7:A21,Output!A$1:A$2000),0)),"")</f>
        <v/>
      </c>
      <c r="B22" t="str">
        <f>IFERROR(VLOOKUP($A22,Output!$A:$M,2,FALSE),"")</f>
        <v/>
      </c>
      <c r="C22" t="str">
        <f>IFERROR(VLOOKUP(B22,Departments!B:C,2,FALSE),"")</f>
        <v/>
      </c>
      <c r="D22" t="str">
        <f>IFERROR(VLOOKUP($A22,Output!$A:$M,13,FALSE),"")</f>
        <v/>
      </c>
      <c r="E22" s="29">
        <f>IFERROR(VLOOKUP($D22,Schedules!$A:$I,MATCH(Prediction!E$6,Schedules!$A$1:$H$1,0),FALSE),0)</f>
        <v>0</v>
      </c>
      <c r="F22" s="24">
        <f>IF(E22=0,0,SUMIFS(Output!$L:$L,Output!$A:$A,Prediction!$A22,Output!$C:$C,Prediction!E$5))</f>
        <v>0</v>
      </c>
      <c r="G22" s="24">
        <f t="shared" si="10"/>
        <v>0</v>
      </c>
      <c r="H22" s="45">
        <f t="shared" si="17"/>
        <v>0</v>
      </c>
      <c r="I22" s="30">
        <f>SUMIFS(Output!$L:$L,Output!$A:$A,Prediction!$A22,Output!$C:$C,Prediction!E$5)</f>
        <v>0</v>
      </c>
      <c r="J22" s="29">
        <f>IFERROR(VLOOKUP($D22,Schedules!$A:$I,MATCH(Prediction!J$6,Schedules!$A$1:$H$1,0),FALSE),0)</f>
        <v>0</v>
      </c>
      <c r="K22" s="24">
        <f>IF(J22=0,0,SUMIFS(Output!$L:$L,Output!$A:$A,Prediction!$A22,Output!$C:$C,Prediction!J$5))</f>
        <v>0</v>
      </c>
      <c r="L22" s="24">
        <f t="shared" si="11"/>
        <v>0</v>
      </c>
      <c r="M22" s="24">
        <f t="shared" si="0"/>
        <v>0</v>
      </c>
      <c r="N22" s="30">
        <f>SUMIFS(Output!$L:$L,Output!$A:$A,Prediction!$A22,Output!$C:$C,Prediction!J$5)</f>
        <v>0</v>
      </c>
      <c r="O22" s="29">
        <f>IFERROR(VLOOKUP($D22,Schedules!$A:$I,MATCH(Prediction!O$6,Schedules!$A$1:$H$1,0),FALSE),0)</f>
        <v>0</v>
      </c>
      <c r="P22" s="24">
        <f>IF(O22=0,0,SUMIFS(Output!$L:$L,Output!$A:$A,Prediction!$A22,Output!$C:$C,Prediction!O$5))</f>
        <v>0</v>
      </c>
      <c r="Q22" s="24">
        <f t="shared" si="12"/>
        <v>0</v>
      </c>
      <c r="R22" s="24">
        <f t="shared" si="1"/>
        <v>0</v>
      </c>
      <c r="S22" s="30">
        <f>SUMIFS(Output!$L:$L,Output!$A:$A,Prediction!$A22,Output!$C:$C,Prediction!O$5)</f>
        <v>0</v>
      </c>
      <c r="T22" s="29">
        <f>IFERROR(VLOOKUP($D22,Schedules!$A:$I,MATCH(Prediction!T$6,Schedules!$A$1:$H$1,0),FALSE),0)</f>
        <v>0</v>
      </c>
      <c r="U22" s="24">
        <f>IF(T22=0,0,SUMIFS(Output!$L:$L,Output!$A:$A,Prediction!$A22,Output!$C:$C,Prediction!T$5))</f>
        <v>0</v>
      </c>
      <c r="V22" s="24">
        <f t="shared" si="2"/>
        <v>0</v>
      </c>
      <c r="W22" s="24">
        <f t="shared" si="3"/>
        <v>0</v>
      </c>
      <c r="X22" s="30">
        <f>SUMIFS(Output!$L:$L,Output!$A:$A,Prediction!$A22,Output!$C:$C,Prediction!T$5)</f>
        <v>0</v>
      </c>
      <c r="Y22" s="25">
        <f>IFERROR(VLOOKUP($D22,Schedules!$A:$I,MATCH(Prediction!Y$6,Schedules!$A$1:$H$1,0),FALSE),0)</f>
        <v>0</v>
      </c>
      <c r="Z22" s="24">
        <f>IF(Y22=0,0,SUMIFS(Output!$L:$L,Output!$A:$A,Prediction!$A22,Output!$C:$C,Prediction!Y$5))</f>
        <v>0</v>
      </c>
      <c r="AA22" s="24">
        <f t="shared" si="13"/>
        <v>0</v>
      </c>
      <c r="AB22" s="24">
        <f t="shared" si="4"/>
        <v>0</v>
      </c>
      <c r="AC22" s="30">
        <f>SUMIFS(Output!$L:$L,Output!$A:$A,Prediction!$A22,Output!$C:$C,Prediction!Y$5)</f>
        <v>0</v>
      </c>
      <c r="AD22" s="29">
        <f>IFERROR(VLOOKUP($D22,Schedules!$A:$I,MATCH(Prediction!AD$6,Schedules!$A$1:$H$1,0),FALSE),0)</f>
        <v>0</v>
      </c>
      <c r="AE22" s="24">
        <f>IF(AD22=0,0,SUMIFS(Output!$L:$L,Output!$A:$A,Prediction!$A22,Output!$C:$C,Prediction!AD$5))</f>
        <v>0</v>
      </c>
      <c r="AF22" s="24">
        <f t="shared" si="14"/>
        <v>0</v>
      </c>
      <c r="AG22" s="24">
        <f t="shared" si="5"/>
        <v>0</v>
      </c>
      <c r="AH22" s="30">
        <f>SUMIFS(Output!$L:$L,Output!$A:$A,Prediction!$A22,Output!$C:$C,Prediction!AD$5)</f>
        <v>0</v>
      </c>
      <c r="AI22" s="29">
        <f>IFERROR(VLOOKUP($D22,Schedules!$A:$I,MATCH(Prediction!AI$6,Schedules!$A$1:$H$1,0),FALSE),0)</f>
        <v>0</v>
      </c>
      <c r="AJ22" s="24">
        <f>IF(AI22=0,0,SUMIFS(Output!$L:$L,Output!$A:$A,Prediction!$A22,Output!$C:$C,Prediction!AI$5))</f>
        <v>0</v>
      </c>
      <c r="AK22" s="24">
        <f t="shared" si="15"/>
        <v>0</v>
      </c>
      <c r="AL22" s="24">
        <f t="shared" si="6"/>
        <v>0</v>
      </c>
      <c r="AM22" s="30">
        <f>SUMIFS(Output!$L:$L,Output!$A:$A,Prediction!$A22,Output!$C:$C,Prediction!AI$5)</f>
        <v>0</v>
      </c>
      <c r="AN22">
        <f t="shared" si="7"/>
        <v>0</v>
      </c>
      <c r="AO22" s="3">
        <f t="shared" si="8"/>
        <v>0</v>
      </c>
      <c r="AP22" s="44"/>
      <c r="AQ22" s="3">
        <f t="shared" si="16"/>
        <v>0</v>
      </c>
      <c r="AR22" s="3">
        <f t="shared" si="9"/>
        <v>0</v>
      </c>
    </row>
    <row r="23" spans="1:44" x14ac:dyDescent="0.25">
      <c r="A23" s="9" t="str">
        <f t="array" ref="A23">IFERROR(INDEX(Output!A$1:A$2000,MATCH(0,COUNTIF(Prediction!$A$7:A22,Output!A$1:A$2000),0)),"")</f>
        <v/>
      </c>
      <c r="B23" t="str">
        <f>IFERROR(VLOOKUP($A23,Output!$A:$M,2,FALSE),"")</f>
        <v/>
      </c>
      <c r="C23" t="str">
        <f>IFERROR(VLOOKUP(B23,Departments!B:C,2,FALSE),"")</f>
        <v/>
      </c>
      <c r="D23" t="str">
        <f>IFERROR(VLOOKUP($A23,Output!$A:$M,13,FALSE),"")</f>
        <v/>
      </c>
      <c r="E23" s="29">
        <f>IFERROR(VLOOKUP($D23,Schedules!$A:$I,MATCH(Prediction!E$6,Schedules!$A$1:$H$1,0),FALSE),0)</f>
        <v>0</v>
      </c>
      <c r="F23" s="24">
        <f>IF(E23=0,0,SUMIFS(Output!$L:$L,Output!$A:$A,Prediction!$A23,Output!$C:$C,Prediction!E$5))</f>
        <v>0</v>
      </c>
      <c r="G23" s="24">
        <f t="shared" si="10"/>
        <v>0</v>
      </c>
      <c r="H23" s="45">
        <f t="shared" si="17"/>
        <v>0</v>
      </c>
      <c r="I23" s="30">
        <f>SUMIFS(Output!$L:$L,Output!$A:$A,Prediction!$A23,Output!$C:$C,Prediction!E$5)</f>
        <v>0</v>
      </c>
      <c r="J23" s="29">
        <f>IFERROR(VLOOKUP($D23,Schedules!$A:$I,MATCH(Prediction!J$6,Schedules!$A$1:$H$1,0),FALSE),0)</f>
        <v>0</v>
      </c>
      <c r="K23" s="24">
        <f>IF(J23=0,0,SUMIFS(Output!$L:$L,Output!$A:$A,Prediction!$A23,Output!$C:$C,Prediction!J$5))</f>
        <v>0</v>
      </c>
      <c r="L23" s="24">
        <f t="shared" si="11"/>
        <v>0</v>
      </c>
      <c r="M23" s="24">
        <f t="shared" si="0"/>
        <v>0</v>
      </c>
      <c r="N23" s="30">
        <f>SUMIFS(Output!$L:$L,Output!$A:$A,Prediction!$A23,Output!$C:$C,Prediction!J$5)</f>
        <v>0</v>
      </c>
      <c r="O23" s="29">
        <f>IFERROR(VLOOKUP($D23,Schedules!$A:$I,MATCH(Prediction!O$6,Schedules!$A$1:$H$1,0),FALSE),0)</f>
        <v>0</v>
      </c>
      <c r="P23" s="24">
        <f>IF(O23=0,0,SUMIFS(Output!$L:$L,Output!$A:$A,Prediction!$A23,Output!$C:$C,Prediction!O$5))</f>
        <v>0</v>
      </c>
      <c r="Q23" s="24">
        <f t="shared" si="12"/>
        <v>0</v>
      </c>
      <c r="R23" s="24">
        <f t="shared" si="1"/>
        <v>0</v>
      </c>
      <c r="S23" s="30">
        <f>SUMIFS(Output!$L:$L,Output!$A:$A,Prediction!$A23,Output!$C:$C,Prediction!O$5)</f>
        <v>0</v>
      </c>
      <c r="T23" s="29">
        <f>IFERROR(VLOOKUP($D23,Schedules!$A:$I,MATCH(Prediction!T$6,Schedules!$A$1:$H$1,0),FALSE),0)</f>
        <v>0</v>
      </c>
      <c r="U23" s="24">
        <f>IF(T23=0,0,SUMIFS(Output!$L:$L,Output!$A:$A,Prediction!$A23,Output!$C:$C,Prediction!T$5))</f>
        <v>0</v>
      </c>
      <c r="V23" s="24">
        <f t="shared" si="2"/>
        <v>0</v>
      </c>
      <c r="W23" s="24">
        <f t="shared" si="3"/>
        <v>0</v>
      </c>
      <c r="X23" s="30">
        <f>SUMIFS(Output!$L:$L,Output!$A:$A,Prediction!$A23,Output!$C:$C,Prediction!T$5)</f>
        <v>0</v>
      </c>
      <c r="Y23" s="25">
        <f>IFERROR(VLOOKUP($D23,Schedules!$A:$I,MATCH(Prediction!Y$6,Schedules!$A$1:$H$1,0),FALSE),0)</f>
        <v>0</v>
      </c>
      <c r="Z23" s="24">
        <f>IF(Y23=0,0,SUMIFS(Output!$L:$L,Output!$A:$A,Prediction!$A23,Output!$C:$C,Prediction!Y$5))</f>
        <v>0</v>
      </c>
      <c r="AA23" s="24">
        <f t="shared" si="13"/>
        <v>0</v>
      </c>
      <c r="AB23" s="24">
        <f t="shared" si="4"/>
        <v>0</v>
      </c>
      <c r="AC23" s="30">
        <f>SUMIFS(Output!$L:$L,Output!$A:$A,Prediction!$A23,Output!$C:$C,Prediction!Y$5)</f>
        <v>0</v>
      </c>
      <c r="AD23" s="29">
        <f>IFERROR(VLOOKUP($D23,Schedules!$A:$I,MATCH(Prediction!AD$6,Schedules!$A$1:$H$1,0),FALSE),0)</f>
        <v>0</v>
      </c>
      <c r="AE23" s="24">
        <f>IF(AD23=0,0,SUMIFS(Output!$L:$L,Output!$A:$A,Prediction!$A23,Output!$C:$C,Prediction!AD$5))</f>
        <v>0</v>
      </c>
      <c r="AF23" s="24">
        <f t="shared" si="14"/>
        <v>0</v>
      </c>
      <c r="AG23" s="24">
        <f t="shared" si="5"/>
        <v>0</v>
      </c>
      <c r="AH23" s="30">
        <f>SUMIFS(Output!$L:$L,Output!$A:$A,Prediction!$A23,Output!$C:$C,Prediction!AD$5)</f>
        <v>0</v>
      </c>
      <c r="AI23" s="29">
        <f>IFERROR(VLOOKUP($D23,Schedules!$A:$I,MATCH(Prediction!AI$6,Schedules!$A$1:$H$1,0),FALSE),0)</f>
        <v>0</v>
      </c>
      <c r="AJ23" s="24">
        <f>IF(AI23=0,0,SUMIFS(Output!$L:$L,Output!$A:$A,Prediction!$A23,Output!$C:$C,Prediction!AI$5))</f>
        <v>0</v>
      </c>
      <c r="AK23" s="24">
        <f t="shared" si="15"/>
        <v>0</v>
      </c>
      <c r="AL23" s="24">
        <f t="shared" si="6"/>
        <v>0</v>
      </c>
      <c r="AM23" s="30">
        <f>SUMIFS(Output!$L:$L,Output!$A:$A,Prediction!$A23,Output!$C:$C,Prediction!AI$5)</f>
        <v>0</v>
      </c>
      <c r="AN23">
        <f t="shared" si="7"/>
        <v>0</v>
      </c>
      <c r="AO23" s="3">
        <f t="shared" si="8"/>
        <v>0</v>
      </c>
      <c r="AP23" s="44"/>
      <c r="AQ23" s="3">
        <f t="shared" si="16"/>
        <v>0</v>
      </c>
      <c r="AR23" s="3">
        <f t="shared" si="9"/>
        <v>0</v>
      </c>
    </row>
    <row r="24" spans="1:44" x14ac:dyDescent="0.25">
      <c r="A24" s="9" t="str">
        <f t="array" ref="A24">IFERROR(INDEX(Output!A$1:A$2000,MATCH(0,COUNTIF(Prediction!$A$7:A23,Output!A$1:A$2000),0)),"")</f>
        <v/>
      </c>
      <c r="B24" t="str">
        <f>IFERROR(VLOOKUP($A24,Output!$A:$M,2,FALSE),"")</f>
        <v/>
      </c>
      <c r="C24" t="str">
        <f>IFERROR(VLOOKUP(B24,Departments!B:C,2,FALSE),"")</f>
        <v/>
      </c>
      <c r="D24" t="str">
        <f>IFERROR(VLOOKUP($A24,Output!$A:$M,13,FALSE),"")</f>
        <v/>
      </c>
      <c r="E24" s="29">
        <f>IFERROR(VLOOKUP($D24,Schedules!$A:$I,MATCH(Prediction!E$6,Schedules!$A$1:$H$1,0),FALSE),0)</f>
        <v>0</v>
      </c>
      <c r="F24" s="24">
        <f>IF(E24=0,0,SUMIFS(Output!$L:$L,Output!$A:$A,Prediction!$A24,Output!$C:$C,Prediction!E$5))</f>
        <v>0</v>
      </c>
      <c r="G24" s="24">
        <f t="shared" si="10"/>
        <v>0</v>
      </c>
      <c r="H24" s="45">
        <f t="shared" si="17"/>
        <v>0</v>
      </c>
      <c r="I24" s="30">
        <f>SUMIFS(Output!$L:$L,Output!$A:$A,Prediction!$A24,Output!$C:$C,Prediction!E$5)</f>
        <v>0</v>
      </c>
      <c r="J24" s="29">
        <f>IFERROR(VLOOKUP($D24,Schedules!$A:$I,MATCH(Prediction!J$6,Schedules!$A$1:$H$1,0),FALSE),0)</f>
        <v>0</v>
      </c>
      <c r="K24" s="24">
        <f>IF(J24=0,0,SUMIFS(Output!$L:$L,Output!$A:$A,Prediction!$A24,Output!$C:$C,Prediction!J$5))</f>
        <v>0</v>
      </c>
      <c r="L24" s="24">
        <f t="shared" si="11"/>
        <v>0</v>
      </c>
      <c r="M24" s="24">
        <f t="shared" si="0"/>
        <v>0</v>
      </c>
      <c r="N24" s="30">
        <f>SUMIFS(Output!$L:$L,Output!$A:$A,Prediction!$A24,Output!$C:$C,Prediction!J$5)</f>
        <v>0</v>
      </c>
      <c r="O24" s="29">
        <f>IFERROR(VLOOKUP($D24,Schedules!$A:$I,MATCH(Prediction!O$6,Schedules!$A$1:$H$1,0),FALSE),0)</f>
        <v>0</v>
      </c>
      <c r="P24" s="24">
        <f>IF(O24=0,0,SUMIFS(Output!$L:$L,Output!$A:$A,Prediction!$A24,Output!$C:$C,Prediction!O$5))</f>
        <v>0</v>
      </c>
      <c r="Q24" s="24">
        <f t="shared" si="12"/>
        <v>0</v>
      </c>
      <c r="R24" s="24">
        <f t="shared" si="1"/>
        <v>0</v>
      </c>
      <c r="S24" s="30">
        <f>SUMIFS(Output!$L:$L,Output!$A:$A,Prediction!$A24,Output!$C:$C,Prediction!O$5)</f>
        <v>0</v>
      </c>
      <c r="T24" s="29">
        <f>IFERROR(VLOOKUP($D24,Schedules!$A:$I,MATCH(Prediction!T$6,Schedules!$A$1:$H$1,0),FALSE),0)</f>
        <v>0</v>
      </c>
      <c r="U24" s="24">
        <f>IF(T24=0,0,SUMIFS(Output!$L:$L,Output!$A:$A,Prediction!$A24,Output!$C:$C,Prediction!T$5))</f>
        <v>0</v>
      </c>
      <c r="V24" s="24">
        <f t="shared" si="2"/>
        <v>0</v>
      </c>
      <c r="W24" s="24">
        <f t="shared" si="3"/>
        <v>0</v>
      </c>
      <c r="X24" s="30">
        <f>SUMIFS(Output!$L:$L,Output!$A:$A,Prediction!$A24,Output!$C:$C,Prediction!T$5)</f>
        <v>0</v>
      </c>
      <c r="Y24" s="25">
        <f>IFERROR(VLOOKUP($D24,Schedules!$A:$I,MATCH(Prediction!Y$6,Schedules!$A$1:$H$1,0),FALSE),0)</f>
        <v>0</v>
      </c>
      <c r="Z24" s="24">
        <f>IF(Y24=0,0,SUMIFS(Output!$L:$L,Output!$A:$A,Prediction!$A24,Output!$C:$C,Prediction!Y$5))</f>
        <v>0</v>
      </c>
      <c r="AA24" s="24">
        <f t="shared" si="13"/>
        <v>0</v>
      </c>
      <c r="AB24" s="24">
        <f t="shared" si="4"/>
        <v>0</v>
      </c>
      <c r="AC24" s="30">
        <f>SUMIFS(Output!$L:$L,Output!$A:$A,Prediction!$A24,Output!$C:$C,Prediction!Y$5)</f>
        <v>0</v>
      </c>
      <c r="AD24" s="29">
        <f>IFERROR(VLOOKUP($D24,Schedules!$A:$I,MATCH(Prediction!AD$6,Schedules!$A$1:$H$1,0),FALSE),0)</f>
        <v>0</v>
      </c>
      <c r="AE24" s="24">
        <f>IF(AD24=0,0,SUMIFS(Output!$L:$L,Output!$A:$A,Prediction!$A24,Output!$C:$C,Prediction!AD$5))</f>
        <v>0</v>
      </c>
      <c r="AF24" s="24">
        <f t="shared" si="14"/>
        <v>0</v>
      </c>
      <c r="AG24" s="24">
        <f t="shared" si="5"/>
        <v>0</v>
      </c>
      <c r="AH24" s="30">
        <f>SUMIFS(Output!$L:$L,Output!$A:$A,Prediction!$A24,Output!$C:$C,Prediction!AD$5)</f>
        <v>0</v>
      </c>
      <c r="AI24" s="29">
        <f>IFERROR(VLOOKUP($D24,Schedules!$A:$I,MATCH(Prediction!AI$6,Schedules!$A$1:$H$1,0),FALSE),0)</f>
        <v>0</v>
      </c>
      <c r="AJ24" s="24">
        <f>IF(AI24=0,0,SUMIFS(Output!$L:$L,Output!$A:$A,Prediction!$A24,Output!$C:$C,Prediction!AI$5))</f>
        <v>0</v>
      </c>
      <c r="AK24" s="24">
        <f t="shared" si="15"/>
        <v>0</v>
      </c>
      <c r="AL24" s="24">
        <f t="shared" si="6"/>
        <v>0</v>
      </c>
      <c r="AM24" s="30">
        <f>SUMIFS(Output!$L:$L,Output!$A:$A,Prediction!$A24,Output!$C:$C,Prediction!AI$5)</f>
        <v>0</v>
      </c>
      <c r="AN24">
        <f t="shared" si="7"/>
        <v>0</v>
      </c>
      <c r="AO24" s="3">
        <f t="shared" si="8"/>
        <v>0</v>
      </c>
      <c r="AP24" s="44"/>
      <c r="AQ24" s="3">
        <f t="shared" si="16"/>
        <v>0</v>
      </c>
      <c r="AR24" s="3">
        <f t="shared" si="9"/>
        <v>0</v>
      </c>
    </row>
    <row r="25" spans="1:44" x14ac:dyDescent="0.25">
      <c r="A25" s="9" t="str">
        <f t="array" ref="A25">IFERROR(INDEX(Output!A$1:A$2000,MATCH(0,COUNTIF(Prediction!$A$7:A24,Output!A$1:A$2000),0)),"")</f>
        <v/>
      </c>
      <c r="B25" t="str">
        <f>IFERROR(VLOOKUP($A25,Output!$A:$M,2,FALSE),"")</f>
        <v/>
      </c>
      <c r="C25" t="str">
        <f>IFERROR(VLOOKUP(B25,Departments!B:C,2,FALSE),"")</f>
        <v/>
      </c>
      <c r="D25" t="str">
        <f>IFERROR(VLOOKUP($A25,Output!$A:$M,13,FALSE),"")</f>
        <v/>
      </c>
      <c r="E25" s="29">
        <f>IFERROR(VLOOKUP($D25,Schedules!$A:$I,MATCH(Prediction!E$6,Schedules!$A$1:$H$1,0),FALSE),0)</f>
        <v>0</v>
      </c>
      <c r="F25" s="24">
        <f>IF(E25=0,0,SUMIFS(Output!$L:$L,Output!$A:$A,Prediction!$A25,Output!$C:$C,Prediction!E$5))</f>
        <v>0</v>
      </c>
      <c r="G25" s="24">
        <f t="shared" si="10"/>
        <v>0</v>
      </c>
      <c r="H25" s="45">
        <f t="shared" si="17"/>
        <v>0</v>
      </c>
      <c r="I25" s="30">
        <f>SUMIFS(Output!$L:$L,Output!$A:$A,Prediction!$A25,Output!$C:$C,Prediction!E$5)</f>
        <v>0</v>
      </c>
      <c r="J25" s="29">
        <f>IFERROR(VLOOKUP($D25,Schedules!$A:$I,MATCH(Prediction!J$6,Schedules!$A$1:$H$1,0),FALSE),0)</f>
        <v>0</v>
      </c>
      <c r="K25" s="24">
        <f>IF(J25=0,0,SUMIFS(Output!$L:$L,Output!$A:$A,Prediction!$A25,Output!$C:$C,Prediction!J$5))</f>
        <v>0</v>
      </c>
      <c r="L25" s="24">
        <f t="shared" si="11"/>
        <v>0</v>
      </c>
      <c r="M25" s="24">
        <f t="shared" si="0"/>
        <v>0</v>
      </c>
      <c r="N25" s="30">
        <f>SUMIFS(Output!$L:$L,Output!$A:$A,Prediction!$A25,Output!$C:$C,Prediction!J$5)</f>
        <v>0</v>
      </c>
      <c r="O25" s="29">
        <f>IFERROR(VLOOKUP($D25,Schedules!$A:$I,MATCH(Prediction!O$6,Schedules!$A$1:$H$1,0),FALSE),0)</f>
        <v>0</v>
      </c>
      <c r="P25" s="24">
        <f>IF(O25=0,0,SUMIFS(Output!$L:$L,Output!$A:$A,Prediction!$A25,Output!$C:$C,Prediction!O$5))</f>
        <v>0</v>
      </c>
      <c r="Q25" s="24">
        <f t="shared" si="12"/>
        <v>0</v>
      </c>
      <c r="R25" s="24">
        <f t="shared" si="1"/>
        <v>0</v>
      </c>
      <c r="S25" s="30">
        <f>SUMIFS(Output!$L:$L,Output!$A:$A,Prediction!$A25,Output!$C:$C,Prediction!O$5)</f>
        <v>0</v>
      </c>
      <c r="T25" s="29">
        <f>IFERROR(VLOOKUP($D25,Schedules!$A:$I,MATCH(Prediction!T$6,Schedules!$A$1:$H$1,0),FALSE),0)</f>
        <v>0</v>
      </c>
      <c r="U25" s="24">
        <f>IF(T25=0,0,SUMIFS(Output!$L:$L,Output!$A:$A,Prediction!$A25,Output!$C:$C,Prediction!T$5))</f>
        <v>0</v>
      </c>
      <c r="V25" s="24">
        <f t="shared" si="2"/>
        <v>0</v>
      </c>
      <c r="W25" s="24">
        <f t="shared" si="3"/>
        <v>0</v>
      </c>
      <c r="X25" s="30">
        <f>SUMIFS(Output!$L:$L,Output!$A:$A,Prediction!$A25,Output!$C:$C,Prediction!T$5)</f>
        <v>0</v>
      </c>
      <c r="Y25" s="25">
        <f>IFERROR(VLOOKUP($D25,Schedules!$A:$I,MATCH(Prediction!Y$6,Schedules!$A$1:$H$1,0),FALSE),0)</f>
        <v>0</v>
      </c>
      <c r="Z25" s="24">
        <f>IF(Y25=0,0,SUMIFS(Output!$L:$L,Output!$A:$A,Prediction!$A25,Output!$C:$C,Prediction!Y$5))</f>
        <v>0</v>
      </c>
      <c r="AA25" s="24">
        <f t="shared" si="13"/>
        <v>0</v>
      </c>
      <c r="AB25" s="24">
        <f t="shared" si="4"/>
        <v>0</v>
      </c>
      <c r="AC25" s="30">
        <f>SUMIFS(Output!$L:$L,Output!$A:$A,Prediction!$A25,Output!$C:$C,Prediction!Y$5)</f>
        <v>0</v>
      </c>
      <c r="AD25" s="29">
        <f>IFERROR(VLOOKUP($D25,Schedules!$A:$I,MATCH(Prediction!AD$6,Schedules!$A$1:$H$1,0),FALSE),0)</f>
        <v>0</v>
      </c>
      <c r="AE25" s="24">
        <f>IF(AD25=0,0,SUMIFS(Output!$L:$L,Output!$A:$A,Prediction!$A25,Output!$C:$C,Prediction!AD$5))</f>
        <v>0</v>
      </c>
      <c r="AF25" s="24">
        <f t="shared" si="14"/>
        <v>0</v>
      </c>
      <c r="AG25" s="24">
        <f t="shared" si="5"/>
        <v>0</v>
      </c>
      <c r="AH25" s="30">
        <f>SUMIFS(Output!$L:$L,Output!$A:$A,Prediction!$A25,Output!$C:$C,Prediction!AD$5)</f>
        <v>0</v>
      </c>
      <c r="AI25" s="29">
        <f>IFERROR(VLOOKUP($D25,Schedules!$A:$I,MATCH(Prediction!AI$6,Schedules!$A$1:$H$1,0),FALSE),0)</f>
        <v>0</v>
      </c>
      <c r="AJ25" s="24">
        <f>IF(AI25=0,0,SUMIFS(Output!$L:$L,Output!$A:$A,Prediction!$A25,Output!$C:$C,Prediction!AI$5))</f>
        <v>0</v>
      </c>
      <c r="AK25" s="24">
        <f t="shared" si="15"/>
        <v>0</v>
      </c>
      <c r="AL25" s="24">
        <f t="shared" si="6"/>
        <v>0</v>
      </c>
      <c r="AM25" s="30">
        <f>SUMIFS(Output!$L:$L,Output!$A:$A,Prediction!$A25,Output!$C:$C,Prediction!AI$5)</f>
        <v>0</v>
      </c>
      <c r="AN25">
        <f t="shared" si="7"/>
        <v>0</v>
      </c>
      <c r="AO25" s="3">
        <f t="shared" si="8"/>
        <v>0</v>
      </c>
      <c r="AP25" s="44"/>
      <c r="AQ25" s="3">
        <f t="shared" si="16"/>
        <v>0</v>
      </c>
      <c r="AR25" s="3">
        <f t="shared" si="9"/>
        <v>0</v>
      </c>
    </row>
    <row r="26" spans="1:44" x14ac:dyDescent="0.25">
      <c r="A26" s="9" t="str">
        <f t="array" ref="A26">IFERROR(INDEX(Output!A$1:A$2000,MATCH(0,COUNTIF(Prediction!$A$7:A25,Output!A$1:A$2000),0)),"")</f>
        <v/>
      </c>
      <c r="B26" t="str">
        <f>IFERROR(VLOOKUP($A26,Output!$A:$M,2,FALSE),"")</f>
        <v/>
      </c>
      <c r="C26" t="str">
        <f>IFERROR(VLOOKUP(B26,Departments!B:C,2,FALSE),"")</f>
        <v/>
      </c>
      <c r="D26" t="str">
        <f>IFERROR(VLOOKUP($A26,Output!$A:$M,13,FALSE),"")</f>
        <v/>
      </c>
      <c r="E26" s="29">
        <f>IFERROR(VLOOKUP($D26,Schedules!$A:$I,MATCH(Prediction!E$6,Schedules!$A$1:$H$1,0),FALSE),0)</f>
        <v>0</v>
      </c>
      <c r="F26" s="24">
        <f>IF(E26=0,0,SUMIFS(Output!$L:$L,Output!$A:$A,Prediction!$A26,Output!$C:$C,Prediction!E$5))</f>
        <v>0</v>
      </c>
      <c r="G26" s="24">
        <f t="shared" si="10"/>
        <v>0</v>
      </c>
      <c r="H26" s="45">
        <f t="shared" si="17"/>
        <v>0</v>
      </c>
      <c r="I26" s="30">
        <f>SUMIFS(Output!$L:$L,Output!$A:$A,Prediction!$A26,Output!$C:$C,Prediction!E$5)</f>
        <v>0</v>
      </c>
      <c r="J26" s="29">
        <f>IFERROR(VLOOKUP($D26,Schedules!$A:$I,MATCH(Prediction!J$6,Schedules!$A$1:$H$1,0),FALSE),0)</f>
        <v>0</v>
      </c>
      <c r="K26" s="24">
        <f>IF(J26=0,0,SUMIFS(Output!$L:$L,Output!$A:$A,Prediction!$A26,Output!$C:$C,Prediction!J$5))</f>
        <v>0</v>
      </c>
      <c r="L26" s="24">
        <f t="shared" si="11"/>
        <v>0</v>
      </c>
      <c r="M26" s="24">
        <f t="shared" si="0"/>
        <v>0</v>
      </c>
      <c r="N26" s="30">
        <f>SUMIFS(Output!$L:$L,Output!$A:$A,Prediction!$A26,Output!$C:$C,Prediction!J$5)</f>
        <v>0</v>
      </c>
      <c r="O26" s="29">
        <f>IFERROR(VLOOKUP($D26,Schedules!$A:$I,MATCH(Prediction!O$6,Schedules!$A$1:$H$1,0),FALSE),0)</f>
        <v>0</v>
      </c>
      <c r="P26" s="24">
        <f>IF(O26=0,0,SUMIFS(Output!$L:$L,Output!$A:$A,Prediction!$A26,Output!$C:$C,Prediction!O$5))</f>
        <v>0</v>
      </c>
      <c r="Q26" s="24">
        <f t="shared" si="12"/>
        <v>0</v>
      </c>
      <c r="R26" s="24">
        <f t="shared" si="1"/>
        <v>0</v>
      </c>
      <c r="S26" s="30">
        <f>SUMIFS(Output!$L:$L,Output!$A:$A,Prediction!$A26,Output!$C:$C,Prediction!O$5)</f>
        <v>0</v>
      </c>
      <c r="T26" s="29">
        <f>IFERROR(VLOOKUP($D26,Schedules!$A:$I,MATCH(Prediction!T$6,Schedules!$A$1:$H$1,0),FALSE),0)</f>
        <v>0</v>
      </c>
      <c r="U26" s="24">
        <f>IF(T26=0,0,SUMIFS(Output!$L:$L,Output!$A:$A,Prediction!$A26,Output!$C:$C,Prediction!T$5))</f>
        <v>0</v>
      </c>
      <c r="V26" s="24">
        <f t="shared" si="2"/>
        <v>0</v>
      </c>
      <c r="W26" s="24">
        <f t="shared" si="3"/>
        <v>0</v>
      </c>
      <c r="X26" s="30">
        <f>SUMIFS(Output!$L:$L,Output!$A:$A,Prediction!$A26,Output!$C:$C,Prediction!T$5)</f>
        <v>0</v>
      </c>
      <c r="Y26" s="25">
        <f>IFERROR(VLOOKUP($D26,Schedules!$A:$I,MATCH(Prediction!Y$6,Schedules!$A$1:$H$1,0),FALSE),0)</f>
        <v>0</v>
      </c>
      <c r="Z26" s="24">
        <f>IF(Y26=0,0,SUMIFS(Output!$L:$L,Output!$A:$A,Prediction!$A26,Output!$C:$C,Prediction!Y$5))</f>
        <v>0</v>
      </c>
      <c r="AA26" s="24">
        <f t="shared" si="13"/>
        <v>0</v>
      </c>
      <c r="AB26" s="24">
        <f t="shared" si="4"/>
        <v>0</v>
      </c>
      <c r="AC26" s="30">
        <f>SUMIFS(Output!$L:$L,Output!$A:$A,Prediction!$A26,Output!$C:$C,Prediction!Y$5)</f>
        <v>0</v>
      </c>
      <c r="AD26" s="29">
        <f>IFERROR(VLOOKUP($D26,Schedules!$A:$I,MATCH(Prediction!AD$6,Schedules!$A$1:$H$1,0),FALSE),0)</f>
        <v>0</v>
      </c>
      <c r="AE26" s="24">
        <f>IF(AD26=0,0,SUMIFS(Output!$L:$L,Output!$A:$A,Prediction!$A26,Output!$C:$C,Prediction!AD$5))</f>
        <v>0</v>
      </c>
      <c r="AF26" s="24">
        <f t="shared" si="14"/>
        <v>0</v>
      </c>
      <c r="AG26" s="24">
        <f t="shared" si="5"/>
        <v>0</v>
      </c>
      <c r="AH26" s="30">
        <f>SUMIFS(Output!$L:$L,Output!$A:$A,Prediction!$A26,Output!$C:$C,Prediction!AD$5)</f>
        <v>0</v>
      </c>
      <c r="AI26" s="29">
        <f>IFERROR(VLOOKUP($D26,Schedules!$A:$I,MATCH(Prediction!AI$6,Schedules!$A$1:$H$1,0),FALSE),0)</f>
        <v>0</v>
      </c>
      <c r="AJ26" s="24">
        <f>IF(AI26=0,0,SUMIFS(Output!$L:$L,Output!$A:$A,Prediction!$A26,Output!$C:$C,Prediction!AI$5))</f>
        <v>0</v>
      </c>
      <c r="AK26" s="24">
        <f t="shared" si="15"/>
        <v>0</v>
      </c>
      <c r="AL26" s="24">
        <f t="shared" si="6"/>
        <v>0</v>
      </c>
      <c r="AM26" s="30">
        <f>SUMIFS(Output!$L:$L,Output!$A:$A,Prediction!$A26,Output!$C:$C,Prediction!AI$5)</f>
        <v>0</v>
      </c>
      <c r="AN26">
        <f t="shared" si="7"/>
        <v>0</v>
      </c>
      <c r="AO26" s="3">
        <f t="shared" si="8"/>
        <v>0</v>
      </c>
      <c r="AP26" s="44"/>
      <c r="AQ26" s="3">
        <f t="shared" si="16"/>
        <v>0</v>
      </c>
      <c r="AR26" s="3">
        <f t="shared" si="9"/>
        <v>0</v>
      </c>
    </row>
    <row r="27" spans="1:44" x14ac:dyDescent="0.25">
      <c r="A27" s="9" t="str">
        <f t="array" ref="A27">IFERROR(INDEX(Output!A$1:A$2000,MATCH(0,COUNTIF(Prediction!$A$7:A26,Output!A$1:A$2000),0)),"")</f>
        <v/>
      </c>
      <c r="B27" t="str">
        <f>IFERROR(VLOOKUP($A27,Output!$A:$M,2,FALSE),"")</f>
        <v/>
      </c>
      <c r="C27" t="str">
        <f>IFERROR(VLOOKUP(B27,Departments!B:C,2,FALSE),"")</f>
        <v/>
      </c>
      <c r="D27" t="str">
        <f>IFERROR(VLOOKUP($A27,Output!$A:$M,13,FALSE),"")</f>
        <v/>
      </c>
      <c r="E27" s="29">
        <f>IFERROR(VLOOKUP($D27,Schedules!$A:$I,MATCH(Prediction!E$6,Schedules!$A$1:$H$1,0),FALSE),0)</f>
        <v>0</v>
      </c>
      <c r="F27" s="24">
        <f>IF(E27=0,0,SUMIFS(Output!$L:$L,Output!$A:$A,Prediction!$A27,Output!$C:$C,Prediction!E$5))</f>
        <v>0</v>
      </c>
      <c r="G27" s="24">
        <f t="shared" si="10"/>
        <v>0</v>
      </c>
      <c r="H27" s="45">
        <f t="shared" si="17"/>
        <v>0</v>
      </c>
      <c r="I27" s="30">
        <f>SUMIFS(Output!$L:$L,Output!$A:$A,Prediction!$A27,Output!$C:$C,Prediction!E$5)</f>
        <v>0</v>
      </c>
      <c r="J27" s="29">
        <f>IFERROR(VLOOKUP($D27,Schedules!$A:$I,MATCH(Prediction!J$6,Schedules!$A$1:$H$1,0),FALSE),0)</f>
        <v>0</v>
      </c>
      <c r="K27" s="24">
        <f>IF(J27=0,0,SUMIFS(Output!$L:$L,Output!$A:$A,Prediction!$A27,Output!$C:$C,Prediction!J$5))</f>
        <v>0</v>
      </c>
      <c r="L27" s="24">
        <f t="shared" si="11"/>
        <v>0</v>
      </c>
      <c r="M27" s="24">
        <f t="shared" si="0"/>
        <v>0</v>
      </c>
      <c r="N27" s="30">
        <f>SUMIFS(Output!$L:$L,Output!$A:$A,Prediction!$A27,Output!$C:$C,Prediction!J$5)</f>
        <v>0</v>
      </c>
      <c r="O27" s="29">
        <f>IFERROR(VLOOKUP($D27,Schedules!$A:$I,MATCH(Prediction!O$6,Schedules!$A$1:$H$1,0),FALSE),0)</f>
        <v>0</v>
      </c>
      <c r="P27" s="24">
        <f>IF(O27=0,0,SUMIFS(Output!$L:$L,Output!$A:$A,Prediction!$A27,Output!$C:$C,Prediction!O$5))</f>
        <v>0</v>
      </c>
      <c r="Q27" s="24">
        <f t="shared" si="12"/>
        <v>0</v>
      </c>
      <c r="R27" s="24">
        <f t="shared" si="1"/>
        <v>0</v>
      </c>
      <c r="S27" s="30">
        <f>SUMIFS(Output!$L:$L,Output!$A:$A,Prediction!$A27,Output!$C:$C,Prediction!O$5)</f>
        <v>0</v>
      </c>
      <c r="T27" s="29">
        <f>IFERROR(VLOOKUP($D27,Schedules!$A:$I,MATCH(Prediction!T$6,Schedules!$A$1:$H$1,0),FALSE),0)</f>
        <v>0</v>
      </c>
      <c r="U27" s="24">
        <f>IF(T27=0,0,SUMIFS(Output!$L:$L,Output!$A:$A,Prediction!$A27,Output!$C:$C,Prediction!T$5))</f>
        <v>0</v>
      </c>
      <c r="V27" s="24">
        <f t="shared" si="2"/>
        <v>0</v>
      </c>
      <c r="W27" s="24">
        <f t="shared" si="3"/>
        <v>0</v>
      </c>
      <c r="X27" s="30">
        <f>SUMIFS(Output!$L:$L,Output!$A:$A,Prediction!$A27,Output!$C:$C,Prediction!T$5)</f>
        <v>0</v>
      </c>
      <c r="Y27" s="25">
        <f>IFERROR(VLOOKUP($D27,Schedules!$A:$I,MATCH(Prediction!Y$6,Schedules!$A$1:$H$1,0),FALSE),0)</f>
        <v>0</v>
      </c>
      <c r="Z27" s="24">
        <f>IF(Y27=0,0,SUMIFS(Output!$L:$L,Output!$A:$A,Prediction!$A27,Output!$C:$C,Prediction!Y$5))</f>
        <v>0</v>
      </c>
      <c r="AA27" s="24">
        <f t="shared" si="13"/>
        <v>0</v>
      </c>
      <c r="AB27" s="24">
        <f t="shared" si="4"/>
        <v>0</v>
      </c>
      <c r="AC27" s="30">
        <f>SUMIFS(Output!$L:$L,Output!$A:$A,Prediction!$A27,Output!$C:$C,Prediction!Y$5)</f>
        <v>0</v>
      </c>
      <c r="AD27" s="29">
        <f>IFERROR(VLOOKUP($D27,Schedules!$A:$I,MATCH(Prediction!AD$6,Schedules!$A$1:$H$1,0),FALSE),0)</f>
        <v>0</v>
      </c>
      <c r="AE27" s="24">
        <f>IF(AD27=0,0,SUMIFS(Output!$L:$L,Output!$A:$A,Prediction!$A27,Output!$C:$C,Prediction!AD$5))</f>
        <v>0</v>
      </c>
      <c r="AF27" s="24">
        <f t="shared" si="14"/>
        <v>0</v>
      </c>
      <c r="AG27" s="24">
        <f t="shared" si="5"/>
        <v>0</v>
      </c>
      <c r="AH27" s="30">
        <f>SUMIFS(Output!$L:$L,Output!$A:$A,Prediction!$A27,Output!$C:$C,Prediction!AD$5)</f>
        <v>0</v>
      </c>
      <c r="AI27" s="29">
        <f>IFERROR(VLOOKUP($D27,Schedules!$A:$I,MATCH(Prediction!AI$6,Schedules!$A$1:$H$1,0),FALSE),0)</f>
        <v>0</v>
      </c>
      <c r="AJ27" s="24">
        <f>IF(AI27=0,0,SUMIFS(Output!$L:$L,Output!$A:$A,Prediction!$A27,Output!$C:$C,Prediction!AI$5))</f>
        <v>0</v>
      </c>
      <c r="AK27" s="24">
        <f t="shared" si="15"/>
        <v>0</v>
      </c>
      <c r="AL27" s="24">
        <f t="shared" si="6"/>
        <v>0</v>
      </c>
      <c r="AM27" s="30">
        <f>SUMIFS(Output!$L:$L,Output!$A:$A,Prediction!$A27,Output!$C:$C,Prediction!AI$5)</f>
        <v>0</v>
      </c>
      <c r="AN27">
        <f t="shared" si="7"/>
        <v>0</v>
      </c>
      <c r="AO27" s="3">
        <f t="shared" si="8"/>
        <v>0</v>
      </c>
      <c r="AP27" s="44"/>
      <c r="AQ27" s="3">
        <f t="shared" si="16"/>
        <v>0</v>
      </c>
      <c r="AR27" s="3">
        <f t="shared" si="9"/>
        <v>0</v>
      </c>
    </row>
    <row r="28" spans="1:44" x14ac:dyDescent="0.25">
      <c r="A28" s="9" t="str">
        <f t="array" ref="A28">IFERROR(INDEX(Output!A$1:A$2000,MATCH(0,COUNTIF(Prediction!$A$7:A27,Output!A$1:A$2000),0)),"")</f>
        <v/>
      </c>
      <c r="B28" t="str">
        <f>IFERROR(VLOOKUP($A28,Output!$A:$M,2,FALSE),"")</f>
        <v/>
      </c>
      <c r="C28" t="str">
        <f>IFERROR(VLOOKUP(B28,Departments!B:C,2,FALSE),"")</f>
        <v/>
      </c>
      <c r="D28" t="str">
        <f>IFERROR(VLOOKUP($A28,Output!$A:$M,13,FALSE),"")</f>
        <v/>
      </c>
      <c r="E28" s="29">
        <f>IFERROR(VLOOKUP($D28,Schedules!$A:$I,MATCH(Prediction!E$6,Schedules!$A$1:$H$1,0),FALSE),0)</f>
        <v>0</v>
      </c>
      <c r="F28" s="24">
        <f>IF(E28=0,0,SUMIFS(Output!$L:$L,Output!$A:$A,Prediction!$A28,Output!$C:$C,Prediction!E$5))</f>
        <v>0</v>
      </c>
      <c r="G28" s="24">
        <f t="shared" si="10"/>
        <v>0</v>
      </c>
      <c r="H28" s="45">
        <f t="shared" si="17"/>
        <v>0</v>
      </c>
      <c r="I28" s="30">
        <f>SUMIFS(Output!$L:$L,Output!$A:$A,Prediction!$A28,Output!$C:$C,Prediction!E$5)</f>
        <v>0</v>
      </c>
      <c r="J28" s="29">
        <f>IFERROR(VLOOKUP($D28,Schedules!$A:$I,MATCH(Prediction!J$6,Schedules!$A$1:$H$1,0),FALSE),0)</f>
        <v>0</v>
      </c>
      <c r="K28" s="24">
        <f>IF(J28=0,0,SUMIFS(Output!$L:$L,Output!$A:$A,Prediction!$A28,Output!$C:$C,Prediction!J$5))</f>
        <v>0</v>
      </c>
      <c r="L28" s="24">
        <f t="shared" si="11"/>
        <v>0</v>
      </c>
      <c r="M28" s="24">
        <f t="shared" si="0"/>
        <v>0</v>
      </c>
      <c r="N28" s="30">
        <f>SUMIFS(Output!$L:$L,Output!$A:$A,Prediction!$A28,Output!$C:$C,Prediction!J$5)</f>
        <v>0</v>
      </c>
      <c r="O28" s="29">
        <f>IFERROR(VLOOKUP($D28,Schedules!$A:$I,MATCH(Prediction!O$6,Schedules!$A$1:$H$1,0),FALSE),0)</f>
        <v>0</v>
      </c>
      <c r="P28" s="24">
        <f>IF(O28=0,0,SUMIFS(Output!$L:$L,Output!$A:$A,Prediction!$A28,Output!$C:$C,Prediction!O$5))</f>
        <v>0</v>
      </c>
      <c r="Q28" s="24">
        <f t="shared" si="12"/>
        <v>0</v>
      </c>
      <c r="R28" s="24">
        <f t="shared" si="1"/>
        <v>0</v>
      </c>
      <c r="S28" s="30">
        <f>SUMIFS(Output!$L:$L,Output!$A:$A,Prediction!$A28,Output!$C:$C,Prediction!O$5)</f>
        <v>0</v>
      </c>
      <c r="T28" s="29">
        <f>IFERROR(VLOOKUP($D28,Schedules!$A:$I,MATCH(Prediction!T$6,Schedules!$A$1:$H$1,0),FALSE),0)</f>
        <v>0</v>
      </c>
      <c r="U28" s="24">
        <f>IF(T28=0,0,SUMIFS(Output!$L:$L,Output!$A:$A,Prediction!$A28,Output!$C:$C,Prediction!T$5))</f>
        <v>0</v>
      </c>
      <c r="V28" s="24">
        <f t="shared" si="2"/>
        <v>0</v>
      </c>
      <c r="W28" s="24">
        <f t="shared" si="3"/>
        <v>0</v>
      </c>
      <c r="X28" s="30">
        <f>SUMIFS(Output!$L:$L,Output!$A:$A,Prediction!$A28,Output!$C:$C,Prediction!T$5)</f>
        <v>0</v>
      </c>
      <c r="Y28" s="25">
        <f>IFERROR(VLOOKUP($D28,Schedules!$A:$I,MATCH(Prediction!Y$6,Schedules!$A$1:$H$1,0),FALSE),0)</f>
        <v>0</v>
      </c>
      <c r="Z28" s="24">
        <f>IF(Y28=0,0,SUMIFS(Output!$L:$L,Output!$A:$A,Prediction!$A28,Output!$C:$C,Prediction!Y$5))</f>
        <v>0</v>
      </c>
      <c r="AA28" s="24">
        <f t="shared" si="13"/>
        <v>0</v>
      </c>
      <c r="AB28" s="24">
        <f t="shared" si="4"/>
        <v>0</v>
      </c>
      <c r="AC28" s="30">
        <f>SUMIFS(Output!$L:$L,Output!$A:$A,Prediction!$A28,Output!$C:$C,Prediction!Y$5)</f>
        <v>0</v>
      </c>
      <c r="AD28" s="29">
        <f>IFERROR(VLOOKUP($D28,Schedules!$A:$I,MATCH(Prediction!AD$6,Schedules!$A$1:$H$1,0),FALSE),0)</f>
        <v>0</v>
      </c>
      <c r="AE28" s="24">
        <f>IF(AD28=0,0,SUMIFS(Output!$L:$L,Output!$A:$A,Prediction!$A28,Output!$C:$C,Prediction!AD$5))</f>
        <v>0</v>
      </c>
      <c r="AF28" s="24">
        <f t="shared" si="14"/>
        <v>0</v>
      </c>
      <c r="AG28" s="24">
        <f t="shared" si="5"/>
        <v>0</v>
      </c>
      <c r="AH28" s="30">
        <f>SUMIFS(Output!$L:$L,Output!$A:$A,Prediction!$A28,Output!$C:$C,Prediction!AD$5)</f>
        <v>0</v>
      </c>
      <c r="AI28" s="29">
        <f>IFERROR(VLOOKUP($D28,Schedules!$A:$I,MATCH(Prediction!AI$6,Schedules!$A$1:$H$1,0),FALSE),0)</f>
        <v>0</v>
      </c>
      <c r="AJ28" s="24">
        <f>IF(AI28=0,0,SUMIFS(Output!$L:$L,Output!$A:$A,Prediction!$A28,Output!$C:$C,Prediction!AI$5))</f>
        <v>0</v>
      </c>
      <c r="AK28" s="24">
        <f t="shared" si="15"/>
        <v>0</v>
      </c>
      <c r="AL28" s="24">
        <f t="shared" si="6"/>
        <v>0</v>
      </c>
      <c r="AM28" s="30">
        <f>SUMIFS(Output!$L:$L,Output!$A:$A,Prediction!$A28,Output!$C:$C,Prediction!AI$5)</f>
        <v>0</v>
      </c>
      <c r="AN28">
        <f t="shared" si="7"/>
        <v>0</v>
      </c>
      <c r="AO28" s="3">
        <f t="shared" si="8"/>
        <v>0</v>
      </c>
      <c r="AP28" s="44"/>
      <c r="AQ28" s="3">
        <f t="shared" si="16"/>
        <v>0</v>
      </c>
      <c r="AR28" s="3">
        <f t="shared" si="9"/>
        <v>0</v>
      </c>
    </row>
    <row r="29" spans="1:44" x14ac:dyDescent="0.25">
      <c r="A29" s="9" t="str">
        <f t="array" ref="A29">IFERROR(INDEX(Output!A$1:A$2000,MATCH(0,COUNTIF(Prediction!$A$7:A28,Output!A$1:A$2000),0)),"")</f>
        <v/>
      </c>
      <c r="B29" t="str">
        <f>IFERROR(VLOOKUP($A29,Output!$A:$M,2,FALSE),"")</f>
        <v/>
      </c>
      <c r="C29" t="str">
        <f>IFERROR(VLOOKUP(B29,Departments!B:C,2,FALSE),"")</f>
        <v/>
      </c>
      <c r="D29" t="str">
        <f>IFERROR(VLOOKUP($A29,Output!$A:$M,13,FALSE),"")</f>
        <v/>
      </c>
      <c r="E29" s="29">
        <f>IFERROR(VLOOKUP($D29,Schedules!$A:$I,MATCH(Prediction!E$6,Schedules!$A$1:$H$1,0),FALSE),0)</f>
        <v>0</v>
      </c>
      <c r="F29" s="24">
        <f>IF(E29=0,0,SUMIFS(Output!$L:$L,Output!$A:$A,Prediction!$A29,Output!$C:$C,Prediction!E$5))</f>
        <v>0</v>
      </c>
      <c r="G29" s="24">
        <f t="shared" si="10"/>
        <v>0</v>
      </c>
      <c r="H29" s="45">
        <f t="shared" si="17"/>
        <v>0</v>
      </c>
      <c r="I29" s="30">
        <f>SUMIFS(Output!$L:$L,Output!$A:$A,Prediction!$A29,Output!$C:$C,Prediction!E$5)</f>
        <v>0</v>
      </c>
      <c r="J29" s="29">
        <f>IFERROR(VLOOKUP($D29,Schedules!$A:$I,MATCH(Prediction!J$6,Schedules!$A$1:$H$1,0),FALSE),0)</f>
        <v>0</v>
      </c>
      <c r="K29" s="24">
        <f>IF(J29=0,0,SUMIFS(Output!$L:$L,Output!$A:$A,Prediction!$A29,Output!$C:$C,Prediction!J$5))</f>
        <v>0</v>
      </c>
      <c r="L29" s="24">
        <f t="shared" si="11"/>
        <v>0</v>
      </c>
      <c r="M29" s="24">
        <f t="shared" si="0"/>
        <v>0</v>
      </c>
      <c r="N29" s="30">
        <f>SUMIFS(Output!$L:$L,Output!$A:$A,Prediction!$A29,Output!$C:$C,Prediction!J$5)</f>
        <v>0</v>
      </c>
      <c r="O29" s="29">
        <f>IFERROR(VLOOKUP($D29,Schedules!$A:$I,MATCH(Prediction!O$6,Schedules!$A$1:$H$1,0),FALSE),0)</f>
        <v>0</v>
      </c>
      <c r="P29" s="24">
        <f>IF(O29=0,0,SUMIFS(Output!$L:$L,Output!$A:$A,Prediction!$A29,Output!$C:$C,Prediction!O$5))</f>
        <v>0</v>
      </c>
      <c r="Q29" s="24">
        <f t="shared" si="12"/>
        <v>0</v>
      </c>
      <c r="R29" s="24">
        <f t="shared" si="1"/>
        <v>0</v>
      </c>
      <c r="S29" s="30">
        <f>SUMIFS(Output!$L:$L,Output!$A:$A,Prediction!$A29,Output!$C:$C,Prediction!O$5)</f>
        <v>0</v>
      </c>
      <c r="T29" s="29">
        <f>IFERROR(VLOOKUP($D29,Schedules!$A:$I,MATCH(Prediction!T$6,Schedules!$A$1:$H$1,0),FALSE),0)</f>
        <v>0</v>
      </c>
      <c r="U29" s="24">
        <f>IF(T29=0,0,SUMIFS(Output!$L:$L,Output!$A:$A,Prediction!$A29,Output!$C:$C,Prediction!T$5))</f>
        <v>0</v>
      </c>
      <c r="V29" s="24">
        <f t="shared" si="2"/>
        <v>0</v>
      </c>
      <c r="W29" s="24">
        <f t="shared" si="3"/>
        <v>0</v>
      </c>
      <c r="X29" s="30">
        <f>SUMIFS(Output!$L:$L,Output!$A:$A,Prediction!$A29,Output!$C:$C,Prediction!T$5)</f>
        <v>0</v>
      </c>
      <c r="Y29" s="25">
        <f>IFERROR(VLOOKUP($D29,Schedules!$A:$I,MATCH(Prediction!Y$6,Schedules!$A$1:$H$1,0),FALSE),0)</f>
        <v>0</v>
      </c>
      <c r="Z29" s="24">
        <f>IF(Y29=0,0,SUMIFS(Output!$L:$L,Output!$A:$A,Prediction!$A29,Output!$C:$C,Prediction!Y$5))</f>
        <v>0</v>
      </c>
      <c r="AA29" s="24">
        <f t="shared" si="13"/>
        <v>0</v>
      </c>
      <c r="AB29" s="24">
        <f t="shared" si="4"/>
        <v>0</v>
      </c>
      <c r="AC29" s="30">
        <f>SUMIFS(Output!$L:$L,Output!$A:$A,Prediction!$A29,Output!$C:$C,Prediction!Y$5)</f>
        <v>0</v>
      </c>
      <c r="AD29" s="29">
        <f>IFERROR(VLOOKUP($D29,Schedules!$A:$I,MATCH(Prediction!AD$6,Schedules!$A$1:$H$1,0),FALSE),0)</f>
        <v>0</v>
      </c>
      <c r="AE29" s="24">
        <f>IF(AD29=0,0,SUMIFS(Output!$L:$L,Output!$A:$A,Prediction!$A29,Output!$C:$C,Prediction!AD$5))</f>
        <v>0</v>
      </c>
      <c r="AF29" s="24">
        <f t="shared" si="14"/>
        <v>0</v>
      </c>
      <c r="AG29" s="24">
        <f t="shared" si="5"/>
        <v>0</v>
      </c>
      <c r="AH29" s="30">
        <f>SUMIFS(Output!$L:$L,Output!$A:$A,Prediction!$A29,Output!$C:$C,Prediction!AD$5)</f>
        <v>0</v>
      </c>
      <c r="AI29" s="29">
        <f>IFERROR(VLOOKUP($D29,Schedules!$A:$I,MATCH(Prediction!AI$6,Schedules!$A$1:$H$1,0),FALSE),0)</f>
        <v>0</v>
      </c>
      <c r="AJ29" s="24">
        <f>IF(AI29=0,0,SUMIFS(Output!$L:$L,Output!$A:$A,Prediction!$A29,Output!$C:$C,Prediction!AI$5))</f>
        <v>0</v>
      </c>
      <c r="AK29" s="24">
        <f t="shared" si="15"/>
        <v>0</v>
      </c>
      <c r="AL29" s="24">
        <f t="shared" si="6"/>
        <v>0</v>
      </c>
      <c r="AM29" s="30">
        <f>SUMIFS(Output!$L:$L,Output!$A:$A,Prediction!$A29,Output!$C:$C,Prediction!AI$5)</f>
        <v>0</v>
      </c>
      <c r="AN29">
        <f t="shared" si="7"/>
        <v>0</v>
      </c>
      <c r="AO29" s="3">
        <f t="shared" si="8"/>
        <v>0</v>
      </c>
      <c r="AP29" s="44"/>
      <c r="AQ29" s="3">
        <f t="shared" si="16"/>
        <v>0</v>
      </c>
      <c r="AR29" s="3">
        <f t="shared" si="9"/>
        <v>0</v>
      </c>
    </row>
    <row r="30" spans="1:44" x14ac:dyDescent="0.25">
      <c r="A30" s="9" t="str">
        <f t="array" ref="A30">IFERROR(INDEX(Output!A$1:A$2000,MATCH(0,COUNTIF(Prediction!$A$7:A29,Output!A$1:A$2000),0)),"")</f>
        <v/>
      </c>
      <c r="B30" t="str">
        <f>IFERROR(VLOOKUP($A30,Output!$A:$M,2,FALSE),"")</f>
        <v/>
      </c>
      <c r="C30" t="str">
        <f>IFERROR(VLOOKUP(B30,Departments!B:C,2,FALSE),"")</f>
        <v/>
      </c>
      <c r="D30" t="str">
        <f>IFERROR(VLOOKUP($A30,Output!$A:$M,13,FALSE),"")</f>
        <v/>
      </c>
      <c r="E30" s="29">
        <f>IFERROR(VLOOKUP($D30,Schedules!$A:$I,MATCH(Prediction!E$6,Schedules!$A$1:$H$1,0),FALSE),0)</f>
        <v>0</v>
      </c>
      <c r="F30" s="24">
        <f>IF(E30=0,0,SUMIFS(Output!$L:$L,Output!$A:$A,Prediction!$A30,Output!$C:$C,Prediction!E$5))</f>
        <v>0</v>
      </c>
      <c r="G30" s="24">
        <f t="shared" si="10"/>
        <v>0</v>
      </c>
      <c r="H30" s="45">
        <f t="shared" si="17"/>
        <v>0</v>
      </c>
      <c r="I30" s="30">
        <f>SUMIFS(Output!$L:$L,Output!$A:$A,Prediction!$A30,Output!$C:$C,Prediction!E$5)</f>
        <v>0</v>
      </c>
      <c r="J30" s="29">
        <f>IFERROR(VLOOKUP($D30,Schedules!$A:$I,MATCH(Prediction!J$6,Schedules!$A$1:$H$1,0),FALSE),0)</f>
        <v>0</v>
      </c>
      <c r="K30" s="24">
        <f>IF(J30=0,0,SUMIFS(Output!$L:$L,Output!$A:$A,Prediction!$A30,Output!$C:$C,Prediction!J$5))</f>
        <v>0</v>
      </c>
      <c r="L30" s="24">
        <f t="shared" si="11"/>
        <v>0</v>
      </c>
      <c r="M30" s="24">
        <f t="shared" si="0"/>
        <v>0</v>
      </c>
      <c r="N30" s="30">
        <f>SUMIFS(Output!$L:$L,Output!$A:$A,Prediction!$A30,Output!$C:$C,Prediction!J$5)</f>
        <v>0</v>
      </c>
      <c r="O30" s="29">
        <f>IFERROR(VLOOKUP($D30,Schedules!$A:$I,MATCH(Prediction!O$6,Schedules!$A$1:$H$1,0),FALSE),0)</f>
        <v>0</v>
      </c>
      <c r="P30" s="24">
        <f>IF(O30=0,0,SUMIFS(Output!$L:$L,Output!$A:$A,Prediction!$A30,Output!$C:$C,Prediction!O$5))</f>
        <v>0</v>
      </c>
      <c r="Q30" s="24">
        <f t="shared" si="12"/>
        <v>0</v>
      </c>
      <c r="R30" s="24">
        <f t="shared" si="1"/>
        <v>0</v>
      </c>
      <c r="S30" s="30">
        <f>SUMIFS(Output!$L:$L,Output!$A:$A,Prediction!$A30,Output!$C:$C,Prediction!O$5)</f>
        <v>0</v>
      </c>
      <c r="T30" s="29">
        <f>IFERROR(VLOOKUP($D30,Schedules!$A:$I,MATCH(Prediction!T$6,Schedules!$A$1:$H$1,0),FALSE),0)</f>
        <v>0</v>
      </c>
      <c r="U30" s="24">
        <f>IF(T30=0,0,SUMIFS(Output!$L:$L,Output!$A:$A,Prediction!$A30,Output!$C:$C,Prediction!T$5))</f>
        <v>0</v>
      </c>
      <c r="V30" s="24">
        <f t="shared" si="2"/>
        <v>0</v>
      </c>
      <c r="W30" s="24">
        <f t="shared" si="3"/>
        <v>0</v>
      </c>
      <c r="X30" s="30">
        <f>SUMIFS(Output!$L:$L,Output!$A:$A,Prediction!$A30,Output!$C:$C,Prediction!T$5)</f>
        <v>0</v>
      </c>
      <c r="Y30" s="25">
        <f>IFERROR(VLOOKUP($D30,Schedules!$A:$I,MATCH(Prediction!Y$6,Schedules!$A$1:$H$1,0),FALSE),0)</f>
        <v>0</v>
      </c>
      <c r="Z30" s="24">
        <f>IF(Y30=0,0,SUMIFS(Output!$L:$L,Output!$A:$A,Prediction!$A30,Output!$C:$C,Prediction!Y$5))</f>
        <v>0</v>
      </c>
      <c r="AA30" s="24">
        <f t="shared" si="13"/>
        <v>0</v>
      </c>
      <c r="AB30" s="24">
        <f t="shared" si="4"/>
        <v>0</v>
      </c>
      <c r="AC30" s="30">
        <f>SUMIFS(Output!$L:$L,Output!$A:$A,Prediction!$A30,Output!$C:$C,Prediction!Y$5)</f>
        <v>0</v>
      </c>
      <c r="AD30" s="29">
        <f>IFERROR(VLOOKUP($D30,Schedules!$A:$I,MATCH(Prediction!AD$6,Schedules!$A$1:$H$1,0),FALSE),0)</f>
        <v>0</v>
      </c>
      <c r="AE30" s="24">
        <f>IF(AD30=0,0,SUMIFS(Output!$L:$L,Output!$A:$A,Prediction!$A30,Output!$C:$C,Prediction!AD$5))</f>
        <v>0</v>
      </c>
      <c r="AF30" s="24">
        <f t="shared" si="14"/>
        <v>0</v>
      </c>
      <c r="AG30" s="24">
        <f t="shared" si="5"/>
        <v>0</v>
      </c>
      <c r="AH30" s="30">
        <f>SUMIFS(Output!$L:$L,Output!$A:$A,Prediction!$A30,Output!$C:$C,Prediction!AD$5)</f>
        <v>0</v>
      </c>
      <c r="AI30" s="29">
        <f>IFERROR(VLOOKUP($D30,Schedules!$A:$I,MATCH(Prediction!AI$6,Schedules!$A$1:$H$1,0),FALSE),0)</f>
        <v>0</v>
      </c>
      <c r="AJ30" s="24">
        <f>IF(AI30=0,0,SUMIFS(Output!$L:$L,Output!$A:$A,Prediction!$A30,Output!$C:$C,Prediction!AI$5))</f>
        <v>0</v>
      </c>
      <c r="AK30" s="24">
        <f t="shared" si="15"/>
        <v>0</v>
      </c>
      <c r="AL30" s="24">
        <f t="shared" si="6"/>
        <v>0</v>
      </c>
      <c r="AM30" s="30">
        <f>SUMIFS(Output!$L:$L,Output!$A:$A,Prediction!$A30,Output!$C:$C,Prediction!AI$5)</f>
        <v>0</v>
      </c>
      <c r="AN30">
        <f t="shared" si="7"/>
        <v>0</v>
      </c>
      <c r="AO30" s="3">
        <f t="shared" si="8"/>
        <v>0</v>
      </c>
      <c r="AP30" s="44"/>
      <c r="AQ30" s="3">
        <f t="shared" si="16"/>
        <v>0</v>
      </c>
      <c r="AR30" s="3">
        <f t="shared" si="9"/>
        <v>0</v>
      </c>
    </row>
    <row r="31" spans="1:44" x14ac:dyDescent="0.25">
      <c r="A31" s="9" t="str">
        <f t="array" ref="A31">IFERROR(INDEX(Output!A$1:A$2000,MATCH(0,COUNTIF(Prediction!$A$7:A30,Output!A$1:A$2000),0)),"")</f>
        <v/>
      </c>
      <c r="B31" t="str">
        <f>IFERROR(VLOOKUP($A31,Output!$A:$M,2,FALSE),"")</f>
        <v/>
      </c>
      <c r="C31" t="str">
        <f>IFERROR(VLOOKUP(B31,Departments!B:C,2,FALSE),"")</f>
        <v/>
      </c>
      <c r="D31" t="str">
        <f>IFERROR(VLOOKUP($A31,Output!$A:$M,13,FALSE),"")</f>
        <v/>
      </c>
      <c r="E31" s="29">
        <f>IFERROR(VLOOKUP($D31,Schedules!$A:$I,MATCH(Prediction!E$6,Schedules!$A$1:$H$1,0),FALSE),0)</f>
        <v>0</v>
      </c>
      <c r="F31" s="24">
        <f>IF(E31=0,0,SUMIFS(Output!$L:$L,Output!$A:$A,Prediction!$A31,Output!$C:$C,Prediction!E$5))</f>
        <v>0</v>
      </c>
      <c r="G31" s="24">
        <f t="shared" si="10"/>
        <v>0</v>
      </c>
      <c r="H31" s="45">
        <f t="shared" si="17"/>
        <v>0</v>
      </c>
      <c r="I31" s="30">
        <f>SUMIFS(Output!$L:$L,Output!$A:$A,Prediction!$A31,Output!$C:$C,Prediction!E$5)</f>
        <v>0</v>
      </c>
      <c r="J31" s="29">
        <f>IFERROR(VLOOKUP($D31,Schedules!$A:$I,MATCH(Prediction!J$6,Schedules!$A$1:$H$1,0),FALSE),0)</f>
        <v>0</v>
      </c>
      <c r="K31" s="24">
        <f>IF(J31=0,0,SUMIFS(Output!$L:$L,Output!$A:$A,Prediction!$A31,Output!$C:$C,Prediction!J$5))</f>
        <v>0</v>
      </c>
      <c r="L31" s="24">
        <f t="shared" si="11"/>
        <v>0</v>
      </c>
      <c r="M31" s="24">
        <f t="shared" si="0"/>
        <v>0</v>
      </c>
      <c r="N31" s="30">
        <f>SUMIFS(Output!$L:$L,Output!$A:$A,Prediction!$A31,Output!$C:$C,Prediction!J$5)</f>
        <v>0</v>
      </c>
      <c r="O31" s="29">
        <f>IFERROR(VLOOKUP($D31,Schedules!$A:$I,MATCH(Prediction!O$6,Schedules!$A$1:$H$1,0),FALSE),0)</f>
        <v>0</v>
      </c>
      <c r="P31" s="24">
        <f>IF(O31=0,0,SUMIFS(Output!$L:$L,Output!$A:$A,Prediction!$A31,Output!$C:$C,Prediction!O$5))</f>
        <v>0</v>
      </c>
      <c r="Q31" s="24">
        <f t="shared" si="12"/>
        <v>0</v>
      </c>
      <c r="R31" s="24">
        <f t="shared" si="1"/>
        <v>0</v>
      </c>
      <c r="S31" s="30">
        <f>SUMIFS(Output!$L:$L,Output!$A:$A,Prediction!$A31,Output!$C:$C,Prediction!O$5)</f>
        <v>0</v>
      </c>
      <c r="T31" s="29">
        <f>IFERROR(VLOOKUP($D31,Schedules!$A:$I,MATCH(Prediction!T$6,Schedules!$A$1:$H$1,0),FALSE),0)</f>
        <v>0</v>
      </c>
      <c r="U31" s="24">
        <f>IF(T31=0,0,SUMIFS(Output!$L:$L,Output!$A:$A,Prediction!$A31,Output!$C:$C,Prediction!T$5))</f>
        <v>0</v>
      </c>
      <c r="V31" s="24">
        <f t="shared" si="2"/>
        <v>0</v>
      </c>
      <c r="W31" s="24">
        <f t="shared" si="3"/>
        <v>0</v>
      </c>
      <c r="X31" s="30">
        <f>SUMIFS(Output!$L:$L,Output!$A:$A,Prediction!$A31,Output!$C:$C,Prediction!T$5)</f>
        <v>0</v>
      </c>
      <c r="Y31" s="25">
        <f>IFERROR(VLOOKUP($D31,Schedules!$A:$I,MATCH(Prediction!Y$6,Schedules!$A$1:$H$1,0),FALSE),0)</f>
        <v>0</v>
      </c>
      <c r="Z31" s="24">
        <f>IF(Y31=0,0,SUMIFS(Output!$L:$L,Output!$A:$A,Prediction!$A31,Output!$C:$C,Prediction!Y$5))</f>
        <v>0</v>
      </c>
      <c r="AA31" s="24">
        <f t="shared" si="13"/>
        <v>0</v>
      </c>
      <c r="AB31" s="24">
        <f t="shared" si="4"/>
        <v>0</v>
      </c>
      <c r="AC31" s="30">
        <f>SUMIFS(Output!$L:$L,Output!$A:$A,Prediction!$A31,Output!$C:$C,Prediction!Y$5)</f>
        <v>0</v>
      </c>
      <c r="AD31" s="29">
        <f>IFERROR(VLOOKUP($D31,Schedules!$A:$I,MATCH(Prediction!AD$6,Schedules!$A$1:$H$1,0),FALSE),0)</f>
        <v>0</v>
      </c>
      <c r="AE31" s="24">
        <f>IF(AD31=0,0,SUMIFS(Output!$L:$L,Output!$A:$A,Prediction!$A31,Output!$C:$C,Prediction!AD$5))</f>
        <v>0</v>
      </c>
      <c r="AF31" s="24">
        <f t="shared" si="14"/>
        <v>0</v>
      </c>
      <c r="AG31" s="24">
        <f t="shared" si="5"/>
        <v>0</v>
      </c>
      <c r="AH31" s="30">
        <f>SUMIFS(Output!$L:$L,Output!$A:$A,Prediction!$A31,Output!$C:$C,Prediction!AD$5)</f>
        <v>0</v>
      </c>
      <c r="AI31" s="29">
        <f>IFERROR(VLOOKUP($D31,Schedules!$A:$I,MATCH(Prediction!AI$6,Schedules!$A$1:$H$1,0),FALSE),0)</f>
        <v>0</v>
      </c>
      <c r="AJ31" s="24">
        <f>IF(AI31=0,0,SUMIFS(Output!$L:$L,Output!$A:$A,Prediction!$A31,Output!$C:$C,Prediction!AI$5))</f>
        <v>0</v>
      </c>
      <c r="AK31" s="24">
        <f t="shared" si="15"/>
        <v>0</v>
      </c>
      <c r="AL31" s="24">
        <f t="shared" si="6"/>
        <v>0</v>
      </c>
      <c r="AM31" s="30">
        <f>SUMIFS(Output!$L:$L,Output!$A:$A,Prediction!$A31,Output!$C:$C,Prediction!AI$5)</f>
        <v>0</v>
      </c>
      <c r="AN31">
        <f t="shared" si="7"/>
        <v>0</v>
      </c>
      <c r="AO31" s="3">
        <f t="shared" si="8"/>
        <v>0</v>
      </c>
      <c r="AP31" s="44"/>
      <c r="AQ31" s="3">
        <f t="shared" si="16"/>
        <v>0</v>
      </c>
      <c r="AR31" s="3">
        <f t="shared" si="9"/>
        <v>0</v>
      </c>
    </row>
    <row r="32" spans="1:44" x14ac:dyDescent="0.25">
      <c r="A32" s="9" t="str">
        <f t="array" ref="A32">IFERROR(INDEX(Output!A$1:A$2000,MATCH(0,COUNTIF(Prediction!$A$7:A31,Output!A$1:A$2000),0)),"")</f>
        <v/>
      </c>
      <c r="B32" t="str">
        <f>IFERROR(VLOOKUP($A32,Output!$A:$M,2,FALSE),"")</f>
        <v/>
      </c>
      <c r="C32" t="str">
        <f>IFERROR(VLOOKUP(B32,Departments!B:C,2,FALSE),"")</f>
        <v/>
      </c>
      <c r="D32" t="str">
        <f>IFERROR(VLOOKUP($A32,Output!$A:$M,13,FALSE),"")</f>
        <v/>
      </c>
      <c r="E32" s="29">
        <f>IFERROR(VLOOKUP($D32,Schedules!$A:$I,MATCH(Prediction!E$6,Schedules!$A$1:$H$1,0),FALSE),0)</f>
        <v>0</v>
      </c>
      <c r="F32" s="24">
        <f>IF(E32=0,0,SUMIFS(Output!$L:$L,Output!$A:$A,Prediction!$A32,Output!$C:$C,Prediction!E$5))</f>
        <v>0</v>
      </c>
      <c r="G32" s="24">
        <f t="shared" si="10"/>
        <v>0</v>
      </c>
      <c r="H32" s="45">
        <f t="shared" si="17"/>
        <v>0</v>
      </c>
      <c r="I32" s="30">
        <f>SUMIFS(Output!$L:$L,Output!$A:$A,Prediction!$A32,Output!$C:$C,Prediction!E$5)</f>
        <v>0</v>
      </c>
      <c r="J32" s="29">
        <f>IFERROR(VLOOKUP($D32,Schedules!$A:$I,MATCH(Prediction!J$6,Schedules!$A$1:$H$1,0),FALSE),0)</f>
        <v>0</v>
      </c>
      <c r="K32" s="24">
        <f>IF(J32=0,0,SUMIFS(Output!$L:$L,Output!$A:$A,Prediction!$A32,Output!$C:$C,Prediction!J$5))</f>
        <v>0</v>
      </c>
      <c r="L32" s="24">
        <f t="shared" si="11"/>
        <v>0</v>
      </c>
      <c r="M32" s="24">
        <f t="shared" si="0"/>
        <v>0</v>
      </c>
      <c r="N32" s="30">
        <f>SUMIFS(Output!$L:$L,Output!$A:$A,Prediction!$A32,Output!$C:$C,Prediction!J$5)</f>
        <v>0</v>
      </c>
      <c r="O32" s="29">
        <f>IFERROR(VLOOKUP($D32,Schedules!$A:$I,MATCH(Prediction!O$6,Schedules!$A$1:$H$1,0),FALSE),0)</f>
        <v>0</v>
      </c>
      <c r="P32" s="24">
        <f>IF(O32=0,0,SUMIFS(Output!$L:$L,Output!$A:$A,Prediction!$A32,Output!$C:$C,Prediction!O$5))</f>
        <v>0</v>
      </c>
      <c r="Q32" s="24">
        <f t="shared" si="12"/>
        <v>0</v>
      </c>
      <c r="R32" s="24">
        <f t="shared" si="1"/>
        <v>0</v>
      </c>
      <c r="S32" s="30">
        <f>SUMIFS(Output!$L:$L,Output!$A:$A,Prediction!$A32,Output!$C:$C,Prediction!O$5)</f>
        <v>0</v>
      </c>
      <c r="T32" s="29">
        <f>IFERROR(VLOOKUP($D32,Schedules!$A:$I,MATCH(Prediction!T$6,Schedules!$A$1:$H$1,0),FALSE),0)</f>
        <v>0</v>
      </c>
      <c r="U32" s="24">
        <f>IF(T32=0,0,SUMIFS(Output!$L:$L,Output!$A:$A,Prediction!$A32,Output!$C:$C,Prediction!T$5))</f>
        <v>0</v>
      </c>
      <c r="V32" s="24">
        <f t="shared" si="2"/>
        <v>0</v>
      </c>
      <c r="W32" s="24">
        <f t="shared" si="3"/>
        <v>0</v>
      </c>
      <c r="X32" s="30">
        <f>SUMIFS(Output!$L:$L,Output!$A:$A,Prediction!$A32,Output!$C:$C,Prediction!T$5)</f>
        <v>0</v>
      </c>
      <c r="Y32" s="25">
        <f>IFERROR(VLOOKUP($D32,Schedules!$A:$I,MATCH(Prediction!Y$6,Schedules!$A$1:$H$1,0),FALSE),0)</f>
        <v>0</v>
      </c>
      <c r="Z32" s="24">
        <f>IF(Y32=0,0,SUMIFS(Output!$L:$L,Output!$A:$A,Prediction!$A32,Output!$C:$C,Prediction!Y$5))</f>
        <v>0</v>
      </c>
      <c r="AA32" s="24">
        <f t="shared" si="13"/>
        <v>0</v>
      </c>
      <c r="AB32" s="24">
        <f t="shared" si="4"/>
        <v>0</v>
      </c>
      <c r="AC32" s="30">
        <f>SUMIFS(Output!$L:$L,Output!$A:$A,Prediction!$A32,Output!$C:$C,Prediction!Y$5)</f>
        <v>0</v>
      </c>
      <c r="AD32" s="29">
        <f>IFERROR(VLOOKUP($D32,Schedules!$A:$I,MATCH(Prediction!AD$6,Schedules!$A$1:$H$1,0),FALSE),0)</f>
        <v>0</v>
      </c>
      <c r="AE32" s="24">
        <f>IF(AD32=0,0,SUMIFS(Output!$L:$L,Output!$A:$A,Prediction!$A32,Output!$C:$C,Prediction!AD$5))</f>
        <v>0</v>
      </c>
      <c r="AF32" s="24">
        <f t="shared" si="14"/>
        <v>0</v>
      </c>
      <c r="AG32" s="24">
        <f t="shared" si="5"/>
        <v>0</v>
      </c>
      <c r="AH32" s="30">
        <f>SUMIFS(Output!$L:$L,Output!$A:$A,Prediction!$A32,Output!$C:$C,Prediction!AD$5)</f>
        <v>0</v>
      </c>
      <c r="AI32" s="29">
        <f>IFERROR(VLOOKUP($D32,Schedules!$A:$I,MATCH(Prediction!AI$6,Schedules!$A$1:$H$1,0),FALSE),0)</f>
        <v>0</v>
      </c>
      <c r="AJ32" s="24">
        <f>IF(AI32=0,0,SUMIFS(Output!$L:$L,Output!$A:$A,Prediction!$A32,Output!$C:$C,Prediction!AI$5))</f>
        <v>0</v>
      </c>
      <c r="AK32" s="24">
        <f t="shared" si="15"/>
        <v>0</v>
      </c>
      <c r="AL32" s="24">
        <f t="shared" si="6"/>
        <v>0</v>
      </c>
      <c r="AM32" s="30">
        <f>SUMIFS(Output!$L:$L,Output!$A:$A,Prediction!$A32,Output!$C:$C,Prediction!AI$5)</f>
        <v>0</v>
      </c>
      <c r="AN32">
        <f t="shared" si="7"/>
        <v>0</v>
      </c>
      <c r="AO32" s="3">
        <f t="shared" si="8"/>
        <v>0</v>
      </c>
      <c r="AP32" s="44"/>
      <c r="AQ32" s="3">
        <f t="shared" si="16"/>
        <v>0</v>
      </c>
      <c r="AR32" s="3">
        <f t="shared" si="9"/>
        <v>0</v>
      </c>
    </row>
    <row r="33" spans="1:44" x14ac:dyDescent="0.25">
      <c r="A33" s="9" t="str">
        <f t="array" ref="A33">IFERROR(INDEX(Output!A$1:A$2000,MATCH(0,COUNTIF(Prediction!$A$7:A32,Output!A$1:A$2000),0)),"")</f>
        <v/>
      </c>
      <c r="B33" t="str">
        <f>IFERROR(VLOOKUP($A33,Output!$A:$M,2,FALSE),"")</f>
        <v/>
      </c>
      <c r="C33" t="str">
        <f>IFERROR(VLOOKUP(B33,Departments!B:C,2,FALSE),"")</f>
        <v/>
      </c>
      <c r="D33" t="str">
        <f>IFERROR(VLOOKUP($A33,Output!$A:$M,13,FALSE),"")</f>
        <v/>
      </c>
      <c r="E33" s="29">
        <f>IFERROR(VLOOKUP($D33,Schedules!$A:$I,MATCH(Prediction!E$6,Schedules!$A$1:$H$1,0),FALSE),0)</f>
        <v>0</v>
      </c>
      <c r="F33" s="24">
        <f>IF(E33=0,0,SUMIFS(Output!$L:$L,Output!$A:$A,Prediction!$A33,Output!$C:$C,Prediction!E$5))</f>
        <v>0</v>
      </c>
      <c r="G33" s="24">
        <f t="shared" si="10"/>
        <v>0</v>
      </c>
      <c r="H33" s="45">
        <f t="shared" si="17"/>
        <v>0</v>
      </c>
      <c r="I33" s="30">
        <f>SUMIFS(Output!$L:$L,Output!$A:$A,Prediction!$A33,Output!$C:$C,Prediction!E$5)</f>
        <v>0</v>
      </c>
      <c r="J33" s="29">
        <f>IFERROR(VLOOKUP($D33,Schedules!$A:$I,MATCH(Prediction!J$6,Schedules!$A$1:$H$1,0),FALSE),0)</f>
        <v>0</v>
      </c>
      <c r="K33" s="24">
        <f>IF(J33=0,0,SUMIFS(Output!$L:$L,Output!$A:$A,Prediction!$A33,Output!$C:$C,Prediction!J$5))</f>
        <v>0</v>
      </c>
      <c r="L33" s="24">
        <f t="shared" si="11"/>
        <v>0</v>
      </c>
      <c r="M33" s="24">
        <f t="shared" si="0"/>
        <v>0</v>
      </c>
      <c r="N33" s="30">
        <f>SUMIFS(Output!$L:$L,Output!$A:$A,Prediction!$A33,Output!$C:$C,Prediction!J$5)</f>
        <v>0</v>
      </c>
      <c r="O33" s="29">
        <f>IFERROR(VLOOKUP($D33,Schedules!$A:$I,MATCH(Prediction!O$6,Schedules!$A$1:$H$1,0),FALSE),0)</f>
        <v>0</v>
      </c>
      <c r="P33" s="24">
        <f>IF(O33=0,0,SUMIFS(Output!$L:$L,Output!$A:$A,Prediction!$A33,Output!$C:$C,Prediction!O$5))</f>
        <v>0</v>
      </c>
      <c r="Q33" s="24">
        <f t="shared" si="12"/>
        <v>0</v>
      </c>
      <c r="R33" s="24">
        <f t="shared" si="1"/>
        <v>0</v>
      </c>
      <c r="S33" s="30">
        <f>SUMIFS(Output!$L:$L,Output!$A:$A,Prediction!$A33,Output!$C:$C,Prediction!O$5)</f>
        <v>0</v>
      </c>
      <c r="T33" s="29">
        <f>IFERROR(VLOOKUP($D33,Schedules!$A:$I,MATCH(Prediction!T$6,Schedules!$A$1:$H$1,0),FALSE),0)</f>
        <v>0</v>
      </c>
      <c r="U33" s="24">
        <f>IF(T33=0,0,SUMIFS(Output!$L:$L,Output!$A:$A,Prediction!$A33,Output!$C:$C,Prediction!T$5))</f>
        <v>0</v>
      </c>
      <c r="V33" s="24">
        <f t="shared" si="2"/>
        <v>0</v>
      </c>
      <c r="W33" s="24">
        <f t="shared" si="3"/>
        <v>0</v>
      </c>
      <c r="X33" s="30">
        <f>SUMIFS(Output!$L:$L,Output!$A:$A,Prediction!$A33,Output!$C:$C,Prediction!T$5)</f>
        <v>0</v>
      </c>
      <c r="Y33" s="25">
        <f>IFERROR(VLOOKUP($D33,Schedules!$A:$I,MATCH(Prediction!Y$6,Schedules!$A$1:$H$1,0),FALSE),0)</f>
        <v>0</v>
      </c>
      <c r="Z33" s="24">
        <f>IF(Y33=0,0,SUMIFS(Output!$L:$L,Output!$A:$A,Prediction!$A33,Output!$C:$C,Prediction!Y$5))</f>
        <v>0</v>
      </c>
      <c r="AA33" s="24">
        <f t="shared" si="13"/>
        <v>0</v>
      </c>
      <c r="AB33" s="24">
        <f t="shared" si="4"/>
        <v>0</v>
      </c>
      <c r="AC33" s="30">
        <f>SUMIFS(Output!$L:$L,Output!$A:$A,Prediction!$A33,Output!$C:$C,Prediction!Y$5)</f>
        <v>0</v>
      </c>
      <c r="AD33" s="29">
        <f>IFERROR(VLOOKUP($D33,Schedules!$A:$I,MATCH(Prediction!AD$6,Schedules!$A$1:$H$1,0),FALSE),0)</f>
        <v>0</v>
      </c>
      <c r="AE33" s="24">
        <f>IF(AD33=0,0,SUMIFS(Output!$L:$L,Output!$A:$A,Prediction!$A33,Output!$C:$C,Prediction!AD$5))</f>
        <v>0</v>
      </c>
      <c r="AF33" s="24">
        <f t="shared" si="14"/>
        <v>0</v>
      </c>
      <c r="AG33" s="24">
        <f t="shared" si="5"/>
        <v>0</v>
      </c>
      <c r="AH33" s="30">
        <f>SUMIFS(Output!$L:$L,Output!$A:$A,Prediction!$A33,Output!$C:$C,Prediction!AD$5)</f>
        <v>0</v>
      </c>
      <c r="AI33" s="29">
        <f>IFERROR(VLOOKUP($D33,Schedules!$A:$I,MATCH(Prediction!AI$6,Schedules!$A$1:$H$1,0),FALSE),0)</f>
        <v>0</v>
      </c>
      <c r="AJ33" s="24">
        <f>IF(AI33=0,0,SUMIFS(Output!$L:$L,Output!$A:$A,Prediction!$A33,Output!$C:$C,Prediction!AI$5))</f>
        <v>0</v>
      </c>
      <c r="AK33" s="24">
        <f t="shared" si="15"/>
        <v>0</v>
      </c>
      <c r="AL33" s="24">
        <f t="shared" si="6"/>
        <v>0</v>
      </c>
      <c r="AM33" s="30">
        <f>SUMIFS(Output!$L:$L,Output!$A:$A,Prediction!$A33,Output!$C:$C,Prediction!AI$5)</f>
        <v>0</v>
      </c>
      <c r="AN33">
        <f t="shared" si="7"/>
        <v>0</v>
      </c>
      <c r="AO33" s="3">
        <f t="shared" si="8"/>
        <v>0</v>
      </c>
      <c r="AP33" s="44"/>
      <c r="AQ33" s="3">
        <f t="shared" si="16"/>
        <v>0</v>
      </c>
      <c r="AR33" s="3">
        <f t="shared" si="9"/>
        <v>0</v>
      </c>
    </row>
    <row r="34" spans="1:44" x14ac:dyDescent="0.25">
      <c r="A34" s="9" t="str">
        <f t="array" ref="A34">IFERROR(INDEX(Output!A$1:A$2000,MATCH(0,COUNTIF(Prediction!$A$7:A33,Output!A$1:A$2000),0)),"")</f>
        <v/>
      </c>
      <c r="B34" t="str">
        <f>IFERROR(VLOOKUP($A34,Output!$A:$M,2,FALSE),"")</f>
        <v/>
      </c>
      <c r="C34" t="str">
        <f>IFERROR(VLOOKUP(B34,Departments!B:C,2,FALSE),"")</f>
        <v/>
      </c>
      <c r="D34" t="str">
        <f>IFERROR(VLOOKUP($A34,Output!$A:$M,13,FALSE),"")</f>
        <v/>
      </c>
      <c r="E34" s="29">
        <f>IFERROR(VLOOKUP($D34,Schedules!$A:$I,MATCH(Prediction!E$6,Schedules!$A$1:$H$1,0),FALSE),0)</f>
        <v>0</v>
      </c>
      <c r="F34" s="24">
        <f>IF(E34=0,0,SUMIFS(Output!$L:$L,Output!$A:$A,Prediction!$A34,Output!$C:$C,Prediction!E$5))</f>
        <v>0</v>
      </c>
      <c r="G34" s="24">
        <f t="shared" si="10"/>
        <v>0</v>
      </c>
      <c r="H34" s="45">
        <f t="shared" si="17"/>
        <v>0</v>
      </c>
      <c r="I34" s="30">
        <f>SUMIFS(Output!$L:$L,Output!$A:$A,Prediction!$A34,Output!$C:$C,Prediction!E$5)</f>
        <v>0</v>
      </c>
      <c r="J34" s="29">
        <f>IFERROR(VLOOKUP($D34,Schedules!$A:$I,MATCH(Prediction!J$6,Schedules!$A$1:$H$1,0),FALSE),0)</f>
        <v>0</v>
      </c>
      <c r="K34" s="24">
        <f>IF(J34=0,0,SUMIFS(Output!$L:$L,Output!$A:$A,Prediction!$A34,Output!$C:$C,Prediction!J$5))</f>
        <v>0</v>
      </c>
      <c r="L34" s="24">
        <f t="shared" si="11"/>
        <v>0</v>
      </c>
      <c r="M34" s="24">
        <f t="shared" si="0"/>
        <v>0</v>
      </c>
      <c r="N34" s="30">
        <f>SUMIFS(Output!$L:$L,Output!$A:$A,Prediction!$A34,Output!$C:$C,Prediction!J$5)</f>
        <v>0</v>
      </c>
      <c r="O34" s="29">
        <f>IFERROR(VLOOKUP($D34,Schedules!$A:$I,MATCH(Prediction!O$6,Schedules!$A$1:$H$1,0),FALSE),0)</f>
        <v>0</v>
      </c>
      <c r="P34" s="24">
        <f>IF(O34=0,0,SUMIFS(Output!$L:$L,Output!$A:$A,Prediction!$A34,Output!$C:$C,Prediction!O$5))</f>
        <v>0</v>
      </c>
      <c r="Q34" s="24">
        <f t="shared" si="12"/>
        <v>0</v>
      </c>
      <c r="R34" s="24">
        <f t="shared" si="1"/>
        <v>0</v>
      </c>
      <c r="S34" s="30">
        <f>SUMIFS(Output!$L:$L,Output!$A:$A,Prediction!$A34,Output!$C:$C,Prediction!O$5)</f>
        <v>0</v>
      </c>
      <c r="T34" s="29">
        <f>IFERROR(VLOOKUP($D34,Schedules!$A:$I,MATCH(Prediction!T$6,Schedules!$A$1:$H$1,0),FALSE),0)</f>
        <v>0</v>
      </c>
      <c r="U34" s="24">
        <f>IF(T34=0,0,SUMIFS(Output!$L:$L,Output!$A:$A,Prediction!$A34,Output!$C:$C,Prediction!T$5))</f>
        <v>0</v>
      </c>
      <c r="V34" s="24">
        <f t="shared" si="2"/>
        <v>0</v>
      </c>
      <c r="W34" s="24">
        <f t="shared" si="3"/>
        <v>0</v>
      </c>
      <c r="X34" s="30">
        <f>SUMIFS(Output!$L:$L,Output!$A:$A,Prediction!$A34,Output!$C:$C,Prediction!T$5)</f>
        <v>0</v>
      </c>
      <c r="Y34" s="25">
        <f>IFERROR(VLOOKUP($D34,Schedules!$A:$I,MATCH(Prediction!Y$6,Schedules!$A$1:$H$1,0),FALSE),0)</f>
        <v>0</v>
      </c>
      <c r="Z34" s="24">
        <f>IF(Y34=0,0,SUMIFS(Output!$L:$L,Output!$A:$A,Prediction!$A34,Output!$C:$C,Prediction!Y$5))</f>
        <v>0</v>
      </c>
      <c r="AA34" s="24">
        <f t="shared" si="13"/>
        <v>0</v>
      </c>
      <c r="AB34" s="24">
        <f t="shared" si="4"/>
        <v>0</v>
      </c>
      <c r="AC34" s="30">
        <f>SUMIFS(Output!$L:$L,Output!$A:$A,Prediction!$A34,Output!$C:$C,Prediction!Y$5)</f>
        <v>0</v>
      </c>
      <c r="AD34" s="29">
        <f>IFERROR(VLOOKUP($D34,Schedules!$A:$I,MATCH(Prediction!AD$6,Schedules!$A$1:$H$1,0),FALSE),0)</f>
        <v>0</v>
      </c>
      <c r="AE34" s="24">
        <f>IF(AD34=0,0,SUMIFS(Output!$L:$L,Output!$A:$A,Prediction!$A34,Output!$C:$C,Prediction!AD$5))</f>
        <v>0</v>
      </c>
      <c r="AF34" s="24">
        <f t="shared" si="14"/>
        <v>0</v>
      </c>
      <c r="AG34" s="24">
        <f t="shared" si="5"/>
        <v>0</v>
      </c>
      <c r="AH34" s="30">
        <f>SUMIFS(Output!$L:$L,Output!$A:$A,Prediction!$A34,Output!$C:$C,Prediction!AD$5)</f>
        <v>0</v>
      </c>
      <c r="AI34" s="29">
        <f>IFERROR(VLOOKUP($D34,Schedules!$A:$I,MATCH(Prediction!AI$6,Schedules!$A$1:$H$1,0),FALSE),0)</f>
        <v>0</v>
      </c>
      <c r="AJ34" s="24">
        <f>IF(AI34=0,0,SUMIFS(Output!$L:$L,Output!$A:$A,Prediction!$A34,Output!$C:$C,Prediction!AI$5))</f>
        <v>0</v>
      </c>
      <c r="AK34" s="24">
        <f t="shared" si="15"/>
        <v>0</v>
      </c>
      <c r="AL34" s="24">
        <f t="shared" si="6"/>
        <v>0</v>
      </c>
      <c r="AM34" s="30">
        <f>SUMIFS(Output!$L:$L,Output!$A:$A,Prediction!$A34,Output!$C:$C,Prediction!AI$5)</f>
        <v>0</v>
      </c>
      <c r="AN34">
        <f t="shared" si="7"/>
        <v>0</v>
      </c>
      <c r="AO34" s="3">
        <f t="shared" si="8"/>
        <v>0</v>
      </c>
      <c r="AP34" s="44"/>
      <c r="AQ34" s="3">
        <f t="shared" si="16"/>
        <v>0</v>
      </c>
      <c r="AR34" s="3">
        <f t="shared" si="9"/>
        <v>0</v>
      </c>
    </row>
    <row r="35" spans="1:44" x14ac:dyDescent="0.25">
      <c r="A35" s="9" t="str">
        <f t="array" ref="A35">IFERROR(INDEX(Output!A$1:A$2000,MATCH(0,COUNTIF(Prediction!$A$7:A34,Output!A$1:A$2000),0)),"")</f>
        <v/>
      </c>
      <c r="B35" t="str">
        <f>IFERROR(VLOOKUP($A35,Output!$A:$M,2,FALSE),"")</f>
        <v/>
      </c>
      <c r="C35" t="str">
        <f>IFERROR(VLOOKUP(B35,Departments!B:C,2,FALSE),"")</f>
        <v/>
      </c>
      <c r="D35" t="str">
        <f>IFERROR(VLOOKUP($A35,Output!$A:$M,13,FALSE),"")</f>
        <v/>
      </c>
      <c r="E35" s="29">
        <f>IFERROR(VLOOKUP($D35,Schedules!$A:$I,MATCH(Prediction!E$6,Schedules!$A$1:$H$1,0),FALSE),0)</f>
        <v>0</v>
      </c>
      <c r="F35" s="24">
        <f>IF(E35=0,0,SUMIFS(Output!$L:$L,Output!$A:$A,Prediction!$A35,Output!$C:$C,Prediction!E$5))</f>
        <v>0</v>
      </c>
      <c r="G35" s="24">
        <f t="shared" si="10"/>
        <v>0</v>
      </c>
      <c r="H35" s="45">
        <f t="shared" si="17"/>
        <v>0</v>
      </c>
      <c r="I35" s="30">
        <f>SUMIFS(Output!$L:$L,Output!$A:$A,Prediction!$A35,Output!$C:$C,Prediction!E$5)</f>
        <v>0</v>
      </c>
      <c r="J35" s="29">
        <f>IFERROR(VLOOKUP($D35,Schedules!$A:$I,MATCH(Prediction!J$6,Schedules!$A$1:$H$1,0),FALSE),0)</f>
        <v>0</v>
      </c>
      <c r="K35" s="24">
        <f>IF(J35=0,0,SUMIFS(Output!$L:$L,Output!$A:$A,Prediction!$A35,Output!$C:$C,Prediction!J$5))</f>
        <v>0</v>
      </c>
      <c r="L35" s="24">
        <f t="shared" si="11"/>
        <v>0</v>
      </c>
      <c r="M35" s="24">
        <f t="shared" si="0"/>
        <v>0</v>
      </c>
      <c r="N35" s="30">
        <f>SUMIFS(Output!$L:$L,Output!$A:$A,Prediction!$A35,Output!$C:$C,Prediction!J$5)</f>
        <v>0</v>
      </c>
      <c r="O35" s="29">
        <f>IFERROR(VLOOKUP($D35,Schedules!$A:$I,MATCH(Prediction!O$6,Schedules!$A$1:$H$1,0),FALSE),0)</f>
        <v>0</v>
      </c>
      <c r="P35" s="24">
        <f>IF(O35=0,0,SUMIFS(Output!$L:$L,Output!$A:$A,Prediction!$A35,Output!$C:$C,Prediction!O$5))</f>
        <v>0</v>
      </c>
      <c r="Q35" s="24">
        <f t="shared" si="12"/>
        <v>0</v>
      </c>
      <c r="R35" s="24">
        <f t="shared" si="1"/>
        <v>0</v>
      </c>
      <c r="S35" s="30">
        <f>SUMIFS(Output!$L:$L,Output!$A:$A,Prediction!$A35,Output!$C:$C,Prediction!O$5)</f>
        <v>0</v>
      </c>
      <c r="T35" s="29">
        <f>IFERROR(VLOOKUP($D35,Schedules!$A:$I,MATCH(Prediction!T$6,Schedules!$A$1:$H$1,0),FALSE),0)</f>
        <v>0</v>
      </c>
      <c r="U35" s="24">
        <f>IF(T35=0,0,SUMIFS(Output!$L:$L,Output!$A:$A,Prediction!$A35,Output!$C:$C,Prediction!T$5))</f>
        <v>0</v>
      </c>
      <c r="V35" s="24">
        <f t="shared" si="2"/>
        <v>0</v>
      </c>
      <c r="W35" s="24">
        <f t="shared" si="3"/>
        <v>0</v>
      </c>
      <c r="X35" s="30">
        <f>SUMIFS(Output!$L:$L,Output!$A:$A,Prediction!$A35,Output!$C:$C,Prediction!T$5)</f>
        <v>0</v>
      </c>
      <c r="Y35" s="25">
        <f>IFERROR(VLOOKUP($D35,Schedules!$A:$I,MATCH(Prediction!Y$6,Schedules!$A$1:$H$1,0),FALSE),0)</f>
        <v>0</v>
      </c>
      <c r="Z35" s="24">
        <f>IF(Y35=0,0,SUMIFS(Output!$L:$L,Output!$A:$A,Prediction!$A35,Output!$C:$C,Prediction!Y$5))</f>
        <v>0</v>
      </c>
      <c r="AA35" s="24">
        <f t="shared" si="13"/>
        <v>0</v>
      </c>
      <c r="AB35" s="24">
        <f t="shared" si="4"/>
        <v>0</v>
      </c>
      <c r="AC35" s="30">
        <f>SUMIFS(Output!$L:$L,Output!$A:$A,Prediction!$A35,Output!$C:$C,Prediction!Y$5)</f>
        <v>0</v>
      </c>
      <c r="AD35" s="29">
        <f>IFERROR(VLOOKUP($D35,Schedules!$A:$I,MATCH(Prediction!AD$6,Schedules!$A$1:$H$1,0),FALSE),0)</f>
        <v>0</v>
      </c>
      <c r="AE35" s="24">
        <f>IF(AD35=0,0,SUMIFS(Output!$L:$L,Output!$A:$A,Prediction!$A35,Output!$C:$C,Prediction!AD$5))</f>
        <v>0</v>
      </c>
      <c r="AF35" s="24">
        <f t="shared" si="14"/>
        <v>0</v>
      </c>
      <c r="AG35" s="24">
        <f t="shared" si="5"/>
        <v>0</v>
      </c>
      <c r="AH35" s="30">
        <f>SUMIFS(Output!$L:$L,Output!$A:$A,Prediction!$A35,Output!$C:$C,Prediction!AD$5)</f>
        <v>0</v>
      </c>
      <c r="AI35" s="29">
        <f>IFERROR(VLOOKUP($D35,Schedules!$A:$I,MATCH(Prediction!AI$6,Schedules!$A$1:$H$1,0),FALSE),0)</f>
        <v>0</v>
      </c>
      <c r="AJ35" s="24">
        <f>IF(AI35=0,0,SUMIFS(Output!$L:$L,Output!$A:$A,Prediction!$A35,Output!$C:$C,Prediction!AI$5))</f>
        <v>0</v>
      </c>
      <c r="AK35" s="24">
        <f t="shared" si="15"/>
        <v>0</v>
      </c>
      <c r="AL35" s="24">
        <f t="shared" si="6"/>
        <v>0</v>
      </c>
      <c r="AM35" s="30">
        <f>SUMIFS(Output!$L:$L,Output!$A:$A,Prediction!$A35,Output!$C:$C,Prediction!AI$5)</f>
        <v>0</v>
      </c>
      <c r="AN35">
        <f t="shared" si="7"/>
        <v>0</v>
      </c>
      <c r="AO35" s="3">
        <f t="shared" si="8"/>
        <v>0</v>
      </c>
      <c r="AP35" s="44"/>
      <c r="AQ35" s="3">
        <f t="shared" si="16"/>
        <v>0</v>
      </c>
      <c r="AR35" s="3">
        <f t="shared" si="9"/>
        <v>0</v>
      </c>
    </row>
    <row r="36" spans="1:44" x14ac:dyDescent="0.25">
      <c r="A36" s="9" t="str">
        <f t="array" ref="A36">IFERROR(INDEX(Output!A$1:A$2000,MATCH(0,COUNTIF(Prediction!$A$7:A35,Output!A$1:A$2000),0)),"")</f>
        <v/>
      </c>
      <c r="B36" t="str">
        <f>IFERROR(VLOOKUP($A36,Output!$A:$M,2,FALSE),"")</f>
        <v/>
      </c>
      <c r="C36" t="str">
        <f>IFERROR(VLOOKUP(B36,Departments!B:C,2,FALSE),"")</f>
        <v/>
      </c>
      <c r="D36" t="str">
        <f>IFERROR(VLOOKUP($A36,Output!$A:$M,13,FALSE),"")</f>
        <v/>
      </c>
      <c r="E36" s="29">
        <f>IFERROR(VLOOKUP($D36,Schedules!$A:$I,MATCH(Prediction!E$6,Schedules!$A$1:$H$1,0),FALSE),0)</f>
        <v>0</v>
      </c>
      <c r="F36" s="24">
        <f>IF(E36=0,0,SUMIFS(Output!$L:$L,Output!$A:$A,Prediction!$A36,Output!$C:$C,Prediction!E$5))</f>
        <v>0</v>
      </c>
      <c r="G36" s="24">
        <f t="shared" si="10"/>
        <v>0</v>
      </c>
      <c r="H36" s="45">
        <f t="shared" si="17"/>
        <v>0</v>
      </c>
      <c r="I36" s="30">
        <f>SUMIFS(Output!$L:$L,Output!$A:$A,Prediction!$A36,Output!$C:$C,Prediction!E$5)</f>
        <v>0</v>
      </c>
      <c r="J36" s="29">
        <f>IFERROR(VLOOKUP($D36,Schedules!$A:$I,MATCH(Prediction!J$6,Schedules!$A$1:$H$1,0),FALSE),0)</f>
        <v>0</v>
      </c>
      <c r="K36" s="24">
        <f>IF(J36=0,0,SUMIFS(Output!$L:$L,Output!$A:$A,Prediction!$A36,Output!$C:$C,Prediction!J$5))</f>
        <v>0</v>
      </c>
      <c r="L36" s="24">
        <f t="shared" si="11"/>
        <v>0</v>
      </c>
      <c r="M36" s="24">
        <f t="shared" si="0"/>
        <v>0</v>
      </c>
      <c r="N36" s="30">
        <f>SUMIFS(Output!$L:$L,Output!$A:$A,Prediction!$A36,Output!$C:$C,Prediction!J$5)</f>
        <v>0</v>
      </c>
      <c r="O36" s="29">
        <f>IFERROR(VLOOKUP($D36,Schedules!$A:$I,MATCH(Prediction!O$6,Schedules!$A$1:$H$1,0),FALSE),0)</f>
        <v>0</v>
      </c>
      <c r="P36" s="24">
        <f>IF(O36=0,0,SUMIFS(Output!$L:$L,Output!$A:$A,Prediction!$A36,Output!$C:$C,Prediction!O$5))</f>
        <v>0</v>
      </c>
      <c r="Q36" s="24">
        <f t="shared" si="12"/>
        <v>0</v>
      </c>
      <c r="R36" s="24">
        <f t="shared" si="1"/>
        <v>0</v>
      </c>
      <c r="S36" s="30">
        <f>SUMIFS(Output!$L:$L,Output!$A:$A,Prediction!$A36,Output!$C:$C,Prediction!O$5)</f>
        <v>0</v>
      </c>
      <c r="T36" s="29">
        <f>IFERROR(VLOOKUP($D36,Schedules!$A:$I,MATCH(Prediction!T$6,Schedules!$A$1:$H$1,0),FALSE),0)</f>
        <v>0</v>
      </c>
      <c r="U36" s="24">
        <f>IF(T36=0,0,SUMIFS(Output!$L:$L,Output!$A:$A,Prediction!$A36,Output!$C:$C,Prediction!T$5))</f>
        <v>0</v>
      </c>
      <c r="V36" s="24">
        <f t="shared" si="2"/>
        <v>0</v>
      </c>
      <c r="W36" s="24">
        <f t="shared" si="3"/>
        <v>0</v>
      </c>
      <c r="X36" s="30">
        <f>SUMIFS(Output!$L:$L,Output!$A:$A,Prediction!$A36,Output!$C:$C,Prediction!T$5)</f>
        <v>0</v>
      </c>
      <c r="Y36" s="25">
        <f>IFERROR(VLOOKUP($D36,Schedules!$A:$I,MATCH(Prediction!Y$6,Schedules!$A$1:$H$1,0),FALSE),0)</f>
        <v>0</v>
      </c>
      <c r="Z36" s="24">
        <f>IF(Y36=0,0,SUMIFS(Output!$L:$L,Output!$A:$A,Prediction!$A36,Output!$C:$C,Prediction!Y$5))</f>
        <v>0</v>
      </c>
      <c r="AA36" s="24">
        <f t="shared" si="13"/>
        <v>0</v>
      </c>
      <c r="AB36" s="24">
        <f t="shared" si="4"/>
        <v>0</v>
      </c>
      <c r="AC36" s="30">
        <f>SUMIFS(Output!$L:$L,Output!$A:$A,Prediction!$A36,Output!$C:$C,Prediction!Y$5)</f>
        <v>0</v>
      </c>
      <c r="AD36" s="29">
        <f>IFERROR(VLOOKUP($D36,Schedules!$A:$I,MATCH(Prediction!AD$6,Schedules!$A$1:$H$1,0),FALSE),0)</f>
        <v>0</v>
      </c>
      <c r="AE36" s="24">
        <f>IF(AD36=0,0,SUMIFS(Output!$L:$L,Output!$A:$A,Prediction!$A36,Output!$C:$C,Prediction!AD$5))</f>
        <v>0</v>
      </c>
      <c r="AF36" s="24">
        <f t="shared" si="14"/>
        <v>0</v>
      </c>
      <c r="AG36" s="24">
        <f t="shared" si="5"/>
        <v>0</v>
      </c>
      <c r="AH36" s="30">
        <f>SUMIFS(Output!$L:$L,Output!$A:$A,Prediction!$A36,Output!$C:$C,Prediction!AD$5)</f>
        <v>0</v>
      </c>
      <c r="AI36" s="29">
        <f>IFERROR(VLOOKUP($D36,Schedules!$A:$I,MATCH(Prediction!AI$6,Schedules!$A$1:$H$1,0),FALSE),0)</f>
        <v>0</v>
      </c>
      <c r="AJ36" s="24">
        <f>IF(AI36=0,0,SUMIFS(Output!$L:$L,Output!$A:$A,Prediction!$A36,Output!$C:$C,Prediction!AI$5))</f>
        <v>0</v>
      </c>
      <c r="AK36" s="24">
        <f t="shared" si="15"/>
        <v>0</v>
      </c>
      <c r="AL36" s="24">
        <f t="shared" si="6"/>
        <v>0</v>
      </c>
      <c r="AM36" s="30">
        <f>SUMIFS(Output!$L:$L,Output!$A:$A,Prediction!$A36,Output!$C:$C,Prediction!AI$5)</f>
        <v>0</v>
      </c>
      <c r="AN36">
        <f t="shared" si="7"/>
        <v>0</v>
      </c>
      <c r="AO36" s="3">
        <f t="shared" si="8"/>
        <v>0</v>
      </c>
      <c r="AP36" s="44"/>
      <c r="AQ36" s="3">
        <f t="shared" si="16"/>
        <v>0</v>
      </c>
      <c r="AR36" s="3">
        <f t="shared" si="9"/>
        <v>0</v>
      </c>
    </row>
    <row r="37" spans="1:44" x14ac:dyDescent="0.25">
      <c r="A37" s="9" t="str">
        <f t="array" ref="A37">IFERROR(INDEX(Output!A$1:A$2000,MATCH(0,COUNTIF(Prediction!$A$7:A36,Output!A$1:A$2000),0)),"")</f>
        <v/>
      </c>
      <c r="B37" t="str">
        <f>IFERROR(VLOOKUP($A37,Output!$A:$M,2,FALSE),"")</f>
        <v/>
      </c>
      <c r="C37" t="str">
        <f>IFERROR(VLOOKUP(B37,Departments!B:C,2,FALSE),"")</f>
        <v/>
      </c>
      <c r="D37" t="str">
        <f>IFERROR(VLOOKUP($A37,Output!$A:$M,13,FALSE),"")</f>
        <v/>
      </c>
      <c r="E37" s="29">
        <f>IFERROR(VLOOKUP($D37,Schedules!$A:$I,MATCH(Prediction!E$6,Schedules!$A$1:$H$1,0),FALSE),0)</f>
        <v>0</v>
      </c>
      <c r="F37" s="24">
        <f>IF(E37=0,0,SUMIFS(Output!$L:$L,Output!$A:$A,Prediction!$A37,Output!$C:$C,Prediction!E$5))</f>
        <v>0</v>
      </c>
      <c r="G37" s="24">
        <f t="shared" si="10"/>
        <v>0</v>
      </c>
      <c r="H37" s="45">
        <f t="shared" si="17"/>
        <v>0</v>
      </c>
      <c r="I37" s="30">
        <f>SUMIFS(Output!$L:$L,Output!$A:$A,Prediction!$A37,Output!$C:$C,Prediction!E$5)</f>
        <v>0</v>
      </c>
      <c r="J37" s="29">
        <f>IFERROR(VLOOKUP($D37,Schedules!$A:$I,MATCH(Prediction!J$6,Schedules!$A$1:$H$1,0),FALSE),0)</f>
        <v>0</v>
      </c>
      <c r="K37" s="24">
        <f>IF(J37=0,0,SUMIFS(Output!$L:$L,Output!$A:$A,Prediction!$A37,Output!$C:$C,Prediction!J$5))</f>
        <v>0</v>
      </c>
      <c r="L37" s="24">
        <f t="shared" si="11"/>
        <v>0</v>
      </c>
      <c r="M37" s="24">
        <f t="shared" si="0"/>
        <v>0</v>
      </c>
      <c r="N37" s="30">
        <f>SUMIFS(Output!$L:$L,Output!$A:$A,Prediction!$A37,Output!$C:$C,Prediction!J$5)</f>
        <v>0</v>
      </c>
      <c r="O37" s="29">
        <f>IFERROR(VLOOKUP($D37,Schedules!$A:$I,MATCH(Prediction!O$6,Schedules!$A$1:$H$1,0),FALSE),0)</f>
        <v>0</v>
      </c>
      <c r="P37" s="24">
        <f>IF(O37=0,0,SUMIFS(Output!$L:$L,Output!$A:$A,Prediction!$A37,Output!$C:$C,Prediction!O$5))</f>
        <v>0</v>
      </c>
      <c r="Q37" s="24">
        <f t="shared" si="12"/>
        <v>0</v>
      </c>
      <c r="R37" s="24">
        <f t="shared" si="1"/>
        <v>0</v>
      </c>
      <c r="S37" s="30">
        <f>SUMIFS(Output!$L:$L,Output!$A:$A,Prediction!$A37,Output!$C:$C,Prediction!O$5)</f>
        <v>0</v>
      </c>
      <c r="T37" s="29">
        <f>IFERROR(VLOOKUP($D37,Schedules!$A:$I,MATCH(Prediction!T$6,Schedules!$A$1:$H$1,0),FALSE),0)</f>
        <v>0</v>
      </c>
      <c r="U37" s="24">
        <f>IF(T37=0,0,SUMIFS(Output!$L:$L,Output!$A:$A,Prediction!$A37,Output!$C:$C,Prediction!T$5))</f>
        <v>0</v>
      </c>
      <c r="V37" s="24">
        <f t="shared" si="2"/>
        <v>0</v>
      </c>
      <c r="W37" s="24">
        <f t="shared" si="3"/>
        <v>0</v>
      </c>
      <c r="X37" s="30">
        <f>SUMIFS(Output!$L:$L,Output!$A:$A,Prediction!$A37,Output!$C:$C,Prediction!T$5)</f>
        <v>0</v>
      </c>
      <c r="Y37" s="25">
        <f>IFERROR(VLOOKUP($D37,Schedules!$A:$I,MATCH(Prediction!Y$6,Schedules!$A$1:$H$1,0),FALSE),0)</f>
        <v>0</v>
      </c>
      <c r="Z37" s="24">
        <f>IF(Y37=0,0,SUMIFS(Output!$L:$L,Output!$A:$A,Prediction!$A37,Output!$C:$C,Prediction!Y$5))</f>
        <v>0</v>
      </c>
      <c r="AA37" s="24">
        <f t="shared" si="13"/>
        <v>0</v>
      </c>
      <c r="AB37" s="24">
        <f t="shared" si="4"/>
        <v>0</v>
      </c>
      <c r="AC37" s="30">
        <f>SUMIFS(Output!$L:$L,Output!$A:$A,Prediction!$A37,Output!$C:$C,Prediction!Y$5)</f>
        <v>0</v>
      </c>
      <c r="AD37" s="29">
        <f>IFERROR(VLOOKUP($D37,Schedules!$A:$I,MATCH(Prediction!AD$6,Schedules!$A$1:$H$1,0),FALSE),0)</f>
        <v>0</v>
      </c>
      <c r="AE37" s="24">
        <f>IF(AD37=0,0,SUMIFS(Output!$L:$L,Output!$A:$A,Prediction!$A37,Output!$C:$C,Prediction!AD$5))</f>
        <v>0</v>
      </c>
      <c r="AF37" s="24">
        <f t="shared" si="14"/>
        <v>0</v>
      </c>
      <c r="AG37" s="24">
        <f t="shared" si="5"/>
        <v>0</v>
      </c>
      <c r="AH37" s="30">
        <f>SUMIFS(Output!$L:$L,Output!$A:$A,Prediction!$A37,Output!$C:$C,Prediction!AD$5)</f>
        <v>0</v>
      </c>
      <c r="AI37" s="29">
        <f>IFERROR(VLOOKUP($D37,Schedules!$A:$I,MATCH(Prediction!AI$6,Schedules!$A$1:$H$1,0),FALSE),0)</f>
        <v>0</v>
      </c>
      <c r="AJ37" s="24">
        <f>IF(AI37=0,0,SUMIFS(Output!$L:$L,Output!$A:$A,Prediction!$A37,Output!$C:$C,Prediction!AI$5))</f>
        <v>0</v>
      </c>
      <c r="AK37" s="24">
        <f t="shared" si="15"/>
        <v>0</v>
      </c>
      <c r="AL37" s="24">
        <f t="shared" si="6"/>
        <v>0</v>
      </c>
      <c r="AM37" s="30">
        <f>SUMIFS(Output!$L:$L,Output!$A:$A,Prediction!$A37,Output!$C:$C,Prediction!AI$5)</f>
        <v>0</v>
      </c>
      <c r="AN37">
        <f t="shared" si="7"/>
        <v>0</v>
      </c>
      <c r="AO37" s="3">
        <f t="shared" si="8"/>
        <v>0</v>
      </c>
      <c r="AP37" s="44"/>
      <c r="AQ37" s="3">
        <f t="shared" si="16"/>
        <v>0</v>
      </c>
      <c r="AR37" s="3">
        <f t="shared" si="9"/>
        <v>0</v>
      </c>
    </row>
    <row r="38" spans="1:44" x14ac:dyDescent="0.25">
      <c r="A38" s="9" t="str">
        <f t="array" ref="A38">IFERROR(INDEX(Output!A$1:A$2000,MATCH(0,COUNTIF(Prediction!$A$7:A37,Output!A$1:A$2000),0)),"")</f>
        <v/>
      </c>
      <c r="B38" t="str">
        <f>IFERROR(VLOOKUP($A38,Output!$A:$M,2,FALSE),"")</f>
        <v/>
      </c>
      <c r="C38" t="str">
        <f>IFERROR(VLOOKUP(B38,Departments!B:C,2,FALSE),"")</f>
        <v/>
      </c>
      <c r="D38" t="str">
        <f>IFERROR(VLOOKUP($A38,Output!$A:$M,13,FALSE),"")</f>
        <v/>
      </c>
      <c r="E38" s="29">
        <f>IFERROR(VLOOKUP($D38,Schedules!$A:$I,MATCH(Prediction!E$6,Schedules!$A$1:$H$1,0),FALSE),0)</f>
        <v>0</v>
      </c>
      <c r="F38" s="24">
        <f>IF(E38=0,0,SUMIFS(Output!$L:$L,Output!$A:$A,Prediction!$A38,Output!$C:$C,Prediction!E$5))</f>
        <v>0</v>
      </c>
      <c r="G38" s="24">
        <f t="shared" si="10"/>
        <v>0</v>
      </c>
      <c r="H38" s="45">
        <f t="shared" si="17"/>
        <v>0</v>
      </c>
      <c r="I38" s="30">
        <f>SUMIFS(Output!$L:$L,Output!$A:$A,Prediction!$A38,Output!$C:$C,Prediction!E$5)</f>
        <v>0</v>
      </c>
      <c r="J38" s="29">
        <f>IFERROR(VLOOKUP($D38,Schedules!$A:$I,MATCH(Prediction!J$6,Schedules!$A$1:$H$1,0),FALSE),0)</f>
        <v>0</v>
      </c>
      <c r="K38" s="24">
        <f>IF(J38=0,0,SUMIFS(Output!$L:$L,Output!$A:$A,Prediction!$A38,Output!$C:$C,Prediction!J$5))</f>
        <v>0</v>
      </c>
      <c r="L38" s="24">
        <f t="shared" si="11"/>
        <v>0</v>
      </c>
      <c r="M38" s="24">
        <f t="shared" si="0"/>
        <v>0</v>
      </c>
      <c r="N38" s="30">
        <f>SUMIFS(Output!$L:$L,Output!$A:$A,Prediction!$A38,Output!$C:$C,Prediction!J$5)</f>
        <v>0</v>
      </c>
      <c r="O38" s="29">
        <f>IFERROR(VLOOKUP($D38,Schedules!$A:$I,MATCH(Prediction!O$6,Schedules!$A$1:$H$1,0),FALSE),0)</f>
        <v>0</v>
      </c>
      <c r="P38" s="24">
        <f>IF(O38=0,0,SUMIFS(Output!$L:$L,Output!$A:$A,Prediction!$A38,Output!$C:$C,Prediction!O$5))</f>
        <v>0</v>
      </c>
      <c r="Q38" s="24">
        <f t="shared" si="12"/>
        <v>0</v>
      </c>
      <c r="R38" s="24">
        <f t="shared" si="1"/>
        <v>0</v>
      </c>
      <c r="S38" s="30">
        <f>SUMIFS(Output!$L:$L,Output!$A:$A,Prediction!$A38,Output!$C:$C,Prediction!O$5)</f>
        <v>0</v>
      </c>
      <c r="T38" s="29">
        <f>IFERROR(VLOOKUP($D38,Schedules!$A:$I,MATCH(Prediction!T$6,Schedules!$A$1:$H$1,0),FALSE),0)</f>
        <v>0</v>
      </c>
      <c r="U38" s="24">
        <f>IF(T38=0,0,SUMIFS(Output!$L:$L,Output!$A:$A,Prediction!$A38,Output!$C:$C,Prediction!T$5))</f>
        <v>0</v>
      </c>
      <c r="V38" s="24">
        <f t="shared" si="2"/>
        <v>0</v>
      </c>
      <c r="W38" s="24">
        <f t="shared" si="3"/>
        <v>0</v>
      </c>
      <c r="X38" s="30">
        <f>SUMIFS(Output!$L:$L,Output!$A:$A,Prediction!$A38,Output!$C:$C,Prediction!T$5)</f>
        <v>0</v>
      </c>
      <c r="Y38" s="25">
        <f>IFERROR(VLOOKUP($D38,Schedules!$A:$I,MATCH(Prediction!Y$6,Schedules!$A$1:$H$1,0),FALSE),0)</f>
        <v>0</v>
      </c>
      <c r="Z38" s="24">
        <f>IF(Y38=0,0,SUMIFS(Output!$L:$L,Output!$A:$A,Prediction!$A38,Output!$C:$C,Prediction!Y$5))</f>
        <v>0</v>
      </c>
      <c r="AA38" s="24">
        <f t="shared" si="13"/>
        <v>0</v>
      </c>
      <c r="AB38" s="24">
        <f t="shared" si="4"/>
        <v>0</v>
      </c>
      <c r="AC38" s="30">
        <f>SUMIFS(Output!$L:$L,Output!$A:$A,Prediction!$A38,Output!$C:$C,Prediction!Y$5)</f>
        <v>0</v>
      </c>
      <c r="AD38" s="29">
        <f>IFERROR(VLOOKUP($D38,Schedules!$A:$I,MATCH(Prediction!AD$6,Schedules!$A$1:$H$1,0),FALSE),0)</f>
        <v>0</v>
      </c>
      <c r="AE38" s="24">
        <f>IF(AD38=0,0,SUMIFS(Output!$L:$L,Output!$A:$A,Prediction!$A38,Output!$C:$C,Prediction!AD$5))</f>
        <v>0</v>
      </c>
      <c r="AF38" s="24">
        <f t="shared" si="14"/>
        <v>0</v>
      </c>
      <c r="AG38" s="24">
        <f t="shared" si="5"/>
        <v>0</v>
      </c>
      <c r="AH38" s="30">
        <f>SUMIFS(Output!$L:$L,Output!$A:$A,Prediction!$A38,Output!$C:$C,Prediction!AD$5)</f>
        <v>0</v>
      </c>
      <c r="AI38" s="29">
        <f>IFERROR(VLOOKUP($D38,Schedules!$A:$I,MATCH(Prediction!AI$6,Schedules!$A$1:$H$1,0),FALSE),0)</f>
        <v>0</v>
      </c>
      <c r="AJ38" s="24">
        <f>IF(AI38=0,0,SUMIFS(Output!$L:$L,Output!$A:$A,Prediction!$A38,Output!$C:$C,Prediction!AI$5))</f>
        <v>0</v>
      </c>
      <c r="AK38" s="24">
        <f t="shared" si="15"/>
        <v>0</v>
      </c>
      <c r="AL38" s="24">
        <f t="shared" si="6"/>
        <v>0</v>
      </c>
      <c r="AM38" s="30">
        <f>SUMIFS(Output!$L:$L,Output!$A:$A,Prediction!$A38,Output!$C:$C,Prediction!AI$5)</f>
        <v>0</v>
      </c>
      <c r="AN38">
        <f t="shared" si="7"/>
        <v>0</v>
      </c>
      <c r="AO38" s="3">
        <f t="shared" si="8"/>
        <v>0</v>
      </c>
      <c r="AP38" s="44"/>
      <c r="AQ38" s="3">
        <f t="shared" si="16"/>
        <v>0</v>
      </c>
      <c r="AR38" s="3">
        <f t="shared" si="9"/>
        <v>0</v>
      </c>
    </row>
    <row r="39" spans="1:44" x14ac:dyDescent="0.25">
      <c r="A39" s="9" t="str">
        <f t="array" ref="A39">IFERROR(INDEX(Output!A$1:A$2000,MATCH(0,COUNTIF(Prediction!$A$7:A38,Output!A$1:A$2000),0)),"")</f>
        <v/>
      </c>
      <c r="B39" t="str">
        <f>IFERROR(VLOOKUP($A39,Output!$A:$M,2,FALSE),"")</f>
        <v/>
      </c>
      <c r="C39" t="str">
        <f>IFERROR(VLOOKUP(B39,Departments!B:C,2,FALSE),"")</f>
        <v/>
      </c>
      <c r="D39" t="str">
        <f>IFERROR(VLOOKUP($A39,Output!$A:$M,13,FALSE),"")</f>
        <v/>
      </c>
      <c r="E39" s="29">
        <f>IFERROR(VLOOKUP($D39,Schedules!$A:$I,MATCH(Prediction!E$6,Schedules!$A$1:$H$1,0),FALSE),0)</f>
        <v>0</v>
      </c>
      <c r="F39" s="24">
        <f>IF(E39=0,0,SUMIFS(Output!$L:$L,Output!$A:$A,Prediction!$A39,Output!$C:$C,Prediction!E$5))</f>
        <v>0</v>
      </c>
      <c r="G39" s="24">
        <f t="shared" si="10"/>
        <v>0</v>
      </c>
      <c r="H39" s="45">
        <f t="shared" si="17"/>
        <v>0</v>
      </c>
      <c r="I39" s="30">
        <f>SUMIFS(Output!$L:$L,Output!$A:$A,Prediction!$A39,Output!$C:$C,Prediction!E$5)</f>
        <v>0</v>
      </c>
      <c r="J39" s="29">
        <f>IFERROR(VLOOKUP($D39,Schedules!$A:$I,MATCH(Prediction!J$6,Schedules!$A$1:$H$1,0),FALSE),0)</f>
        <v>0</v>
      </c>
      <c r="K39" s="24">
        <f>IF(J39=0,0,SUMIFS(Output!$L:$L,Output!$A:$A,Prediction!$A39,Output!$C:$C,Prediction!J$5))</f>
        <v>0</v>
      </c>
      <c r="L39" s="24">
        <f t="shared" si="11"/>
        <v>0</v>
      </c>
      <c r="M39" s="24">
        <f t="shared" si="0"/>
        <v>0</v>
      </c>
      <c r="N39" s="30">
        <f>SUMIFS(Output!$L:$L,Output!$A:$A,Prediction!$A39,Output!$C:$C,Prediction!J$5)</f>
        <v>0</v>
      </c>
      <c r="O39" s="29">
        <f>IFERROR(VLOOKUP($D39,Schedules!$A:$I,MATCH(Prediction!O$6,Schedules!$A$1:$H$1,0),FALSE),0)</f>
        <v>0</v>
      </c>
      <c r="P39" s="24">
        <f>IF(O39=0,0,SUMIFS(Output!$L:$L,Output!$A:$A,Prediction!$A39,Output!$C:$C,Prediction!O$5))</f>
        <v>0</v>
      </c>
      <c r="Q39" s="24">
        <f t="shared" si="12"/>
        <v>0</v>
      </c>
      <c r="R39" s="24">
        <f t="shared" si="1"/>
        <v>0</v>
      </c>
      <c r="S39" s="30">
        <f>SUMIFS(Output!$L:$L,Output!$A:$A,Prediction!$A39,Output!$C:$C,Prediction!O$5)</f>
        <v>0</v>
      </c>
      <c r="T39" s="29">
        <f>IFERROR(VLOOKUP($D39,Schedules!$A:$I,MATCH(Prediction!T$6,Schedules!$A$1:$H$1,0),FALSE),0)</f>
        <v>0</v>
      </c>
      <c r="U39" s="24">
        <f>IF(T39=0,0,SUMIFS(Output!$L:$L,Output!$A:$A,Prediction!$A39,Output!$C:$C,Prediction!T$5))</f>
        <v>0</v>
      </c>
      <c r="V39" s="24">
        <f t="shared" si="2"/>
        <v>0</v>
      </c>
      <c r="W39" s="24">
        <f t="shared" si="3"/>
        <v>0</v>
      </c>
      <c r="X39" s="30">
        <f>SUMIFS(Output!$L:$L,Output!$A:$A,Prediction!$A39,Output!$C:$C,Prediction!T$5)</f>
        <v>0</v>
      </c>
      <c r="Y39" s="25">
        <f>IFERROR(VLOOKUP($D39,Schedules!$A:$I,MATCH(Prediction!Y$6,Schedules!$A$1:$H$1,0),FALSE),0)</f>
        <v>0</v>
      </c>
      <c r="Z39" s="24">
        <f>IF(Y39=0,0,SUMIFS(Output!$L:$L,Output!$A:$A,Prediction!$A39,Output!$C:$C,Prediction!Y$5))</f>
        <v>0</v>
      </c>
      <c r="AA39" s="24">
        <f t="shared" si="13"/>
        <v>0</v>
      </c>
      <c r="AB39" s="24">
        <f t="shared" si="4"/>
        <v>0</v>
      </c>
      <c r="AC39" s="30">
        <f>SUMIFS(Output!$L:$L,Output!$A:$A,Prediction!$A39,Output!$C:$C,Prediction!Y$5)</f>
        <v>0</v>
      </c>
      <c r="AD39" s="29">
        <f>IFERROR(VLOOKUP($D39,Schedules!$A:$I,MATCH(Prediction!AD$6,Schedules!$A$1:$H$1,0),FALSE),0)</f>
        <v>0</v>
      </c>
      <c r="AE39" s="24">
        <f>IF(AD39=0,0,SUMIFS(Output!$L:$L,Output!$A:$A,Prediction!$A39,Output!$C:$C,Prediction!AD$5))</f>
        <v>0</v>
      </c>
      <c r="AF39" s="24">
        <f t="shared" si="14"/>
        <v>0</v>
      </c>
      <c r="AG39" s="24">
        <f t="shared" si="5"/>
        <v>0</v>
      </c>
      <c r="AH39" s="30">
        <f>SUMIFS(Output!$L:$L,Output!$A:$A,Prediction!$A39,Output!$C:$C,Prediction!AD$5)</f>
        <v>0</v>
      </c>
      <c r="AI39" s="29">
        <f>IFERROR(VLOOKUP($D39,Schedules!$A:$I,MATCH(Prediction!AI$6,Schedules!$A$1:$H$1,0),FALSE),0)</f>
        <v>0</v>
      </c>
      <c r="AJ39" s="24">
        <f>IF(AI39=0,0,SUMIFS(Output!$L:$L,Output!$A:$A,Prediction!$A39,Output!$C:$C,Prediction!AI$5))</f>
        <v>0</v>
      </c>
      <c r="AK39" s="24">
        <f t="shared" si="15"/>
        <v>0</v>
      </c>
      <c r="AL39" s="24">
        <f t="shared" si="6"/>
        <v>0</v>
      </c>
      <c r="AM39" s="30">
        <f>SUMIFS(Output!$L:$L,Output!$A:$A,Prediction!$A39,Output!$C:$C,Prediction!AI$5)</f>
        <v>0</v>
      </c>
      <c r="AN39">
        <f t="shared" si="7"/>
        <v>0</v>
      </c>
      <c r="AO39" s="3">
        <f t="shared" si="8"/>
        <v>0</v>
      </c>
      <c r="AP39" s="44"/>
      <c r="AQ39" s="3">
        <f t="shared" si="16"/>
        <v>0</v>
      </c>
      <c r="AR39" s="3">
        <f t="shared" si="9"/>
        <v>0</v>
      </c>
    </row>
    <row r="40" spans="1:44" x14ac:dyDescent="0.25">
      <c r="A40" s="9" t="str">
        <f t="array" ref="A40">IFERROR(INDEX(Output!A$1:A$2000,MATCH(0,COUNTIF(Prediction!$A$7:A39,Output!A$1:A$2000),0)),"")</f>
        <v/>
      </c>
      <c r="B40" t="str">
        <f>IFERROR(VLOOKUP($A40,Output!$A:$M,2,FALSE),"")</f>
        <v/>
      </c>
      <c r="C40" t="str">
        <f>IFERROR(VLOOKUP(B40,Departments!B:C,2,FALSE),"")</f>
        <v/>
      </c>
      <c r="D40" t="str">
        <f>IFERROR(VLOOKUP($A40,Output!$A:$M,13,FALSE),"")</f>
        <v/>
      </c>
      <c r="E40" s="29">
        <f>IFERROR(VLOOKUP($D40,Schedules!$A:$I,MATCH(Prediction!E$6,Schedules!$A$1:$H$1,0),FALSE),0)</f>
        <v>0</v>
      </c>
      <c r="F40" s="24">
        <f>IF(E40=0,0,SUMIFS(Output!$L:$L,Output!$A:$A,Prediction!$A40,Output!$C:$C,Prediction!E$5))</f>
        <v>0</v>
      </c>
      <c r="G40" s="24">
        <f t="shared" si="10"/>
        <v>0</v>
      </c>
      <c r="H40" s="45">
        <f t="shared" si="17"/>
        <v>0</v>
      </c>
      <c r="I40" s="30">
        <f>SUMIFS(Output!$L:$L,Output!$A:$A,Prediction!$A40,Output!$C:$C,Prediction!E$5)</f>
        <v>0</v>
      </c>
      <c r="J40" s="29">
        <f>IFERROR(VLOOKUP($D40,Schedules!$A:$I,MATCH(Prediction!J$6,Schedules!$A$1:$H$1,0),FALSE),0)</f>
        <v>0</v>
      </c>
      <c r="K40" s="24">
        <f>IF(J40=0,0,SUMIFS(Output!$L:$L,Output!$A:$A,Prediction!$A40,Output!$C:$C,Prediction!J$5))</f>
        <v>0</v>
      </c>
      <c r="L40" s="24">
        <f t="shared" si="11"/>
        <v>0</v>
      </c>
      <c r="M40" s="24">
        <f t="shared" ref="M40:M71" si="18">IF(AND($J$5&gt;$B$3,J40&gt;0),J40,0)</f>
        <v>0</v>
      </c>
      <c r="N40" s="30">
        <f>SUMIFS(Output!$L:$L,Output!$A:$A,Prediction!$A40,Output!$C:$C,Prediction!J$5)</f>
        <v>0</v>
      </c>
      <c r="O40" s="29">
        <f>IFERROR(VLOOKUP($D40,Schedules!$A:$I,MATCH(Prediction!O$6,Schedules!$A$1:$H$1,0),FALSE),0)</f>
        <v>0</v>
      </c>
      <c r="P40" s="24">
        <f>IF(O40=0,0,SUMIFS(Output!$L:$L,Output!$A:$A,Prediction!$A40,Output!$C:$C,Prediction!O$5))</f>
        <v>0</v>
      </c>
      <c r="Q40" s="24">
        <f t="shared" si="12"/>
        <v>0</v>
      </c>
      <c r="R40" s="24">
        <f t="shared" ref="R40:R71" si="19">IF(AND($O$5&gt;$B$3,O40&gt;0),O40,0)</f>
        <v>0</v>
      </c>
      <c r="S40" s="30">
        <f>SUMIFS(Output!$L:$L,Output!$A:$A,Prediction!$A40,Output!$C:$C,Prediction!O$5)</f>
        <v>0</v>
      </c>
      <c r="T40" s="29">
        <f>IFERROR(VLOOKUP($D40,Schedules!$A:$I,MATCH(Prediction!T$6,Schedules!$A$1:$H$1,0),FALSE),0)</f>
        <v>0</v>
      </c>
      <c r="U40" s="24">
        <f>IF(T40=0,0,SUMIFS(Output!$L:$L,Output!$A:$A,Prediction!$A40,Output!$C:$C,Prediction!T$5))</f>
        <v>0</v>
      </c>
      <c r="V40" s="24">
        <f t="shared" ref="V40:V71" si="20">IF(X40&gt;T40, X40-T40, 0)</f>
        <v>0</v>
      </c>
      <c r="W40" s="24">
        <f t="shared" ref="W40:W71" si="21">IF(AND($T$5&gt;$B$3,T40&gt;0),T40,0)</f>
        <v>0</v>
      </c>
      <c r="X40" s="30">
        <f>SUMIFS(Output!$L:$L,Output!$A:$A,Prediction!$A40,Output!$C:$C,Prediction!T$5)</f>
        <v>0</v>
      </c>
      <c r="Y40" s="25">
        <f>IFERROR(VLOOKUP($D40,Schedules!$A:$I,MATCH(Prediction!Y$6,Schedules!$A$1:$H$1,0),FALSE),0)</f>
        <v>0</v>
      </c>
      <c r="Z40" s="24">
        <f>IF(Y40=0,0,SUMIFS(Output!$L:$L,Output!$A:$A,Prediction!$A40,Output!$C:$C,Prediction!Y$5))</f>
        <v>0</v>
      </c>
      <c r="AA40" s="24">
        <f t="shared" si="13"/>
        <v>0</v>
      </c>
      <c r="AB40" s="24">
        <f t="shared" ref="AB40:AB71" si="22">IF(AND($Y$5&gt;$B$3,Y40&gt;0),Y40,0)</f>
        <v>0</v>
      </c>
      <c r="AC40" s="30">
        <f>SUMIFS(Output!$L:$L,Output!$A:$A,Prediction!$A40,Output!$C:$C,Prediction!Y$5)</f>
        <v>0</v>
      </c>
      <c r="AD40" s="29">
        <f>IFERROR(VLOOKUP($D40,Schedules!$A:$I,MATCH(Prediction!AD$6,Schedules!$A$1:$H$1,0),FALSE),0)</f>
        <v>0</v>
      </c>
      <c r="AE40" s="24">
        <f>IF(AD40=0,0,SUMIFS(Output!$L:$L,Output!$A:$A,Prediction!$A40,Output!$C:$C,Prediction!AD$5))</f>
        <v>0</v>
      </c>
      <c r="AF40" s="24">
        <f t="shared" si="14"/>
        <v>0</v>
      </c>
      <c r="AG40" s="24">
        <f t="shared" ref="AG40:AG71" si="23">IF(AND($AD$5&gt;$B$3,AD40&gt;0),AD40,0)</f>
        <v>0</v>
      </c>
      <c r="AH40" s="30">
        <f>SUMIFS(Output!$L:$L,Output!$A:$A,Prediction!$A40,Output!$C:$C,Prediction!AD$5)</f>
        <v>0</v>
      </c>
      <c r="AI40" s="29">
        <f>IFERROR(VLOOKUP($D40,Schedules!$A:$I,MATCH(Prediction!AI$6,Schedules!$A$1:$H$1,0),FALSE),0)</f>
        <v>0</v>
      </c>
      <c r="AJ40" s="24">
        <f>IF(AI40=0,0,SUMIFS(Output!$L:$L,Output!$A:$A,Prediction!$A40,Output!$C:$C,Prediction!AI$5))</f>
        <v>0</v>
      </c>
      <c r="AK40" s="24">
        <f t="shared" si="15"/>
        <v>0</v>
      </c>
      <c r="AL40" s="24">
        <f t="shared" ref="AL40:AL71" si="24">IF(AND($AI$5&gt;$B$3,AI40&gt;0),AI40,0)</f>
        <v>0</v>
      </c>
      <c r="AM40" s="30">
        <f>SUMIFS(Output!$L:$L,Output!$A:$A,Prediction!$A40,Output!$C:$C,Prediction!AI$5)</f>
        <v>0</v>
      </c>
      <c r="AN40">
        <f t="shared" ref="AN40:AN71" si="25">IFERROR(E40+J40+O40+T40+Y40+AD40+AI40,"")</f>
        <v>0</v>
      </c>
      <c r="AO40" s="3">
        <f t="shared" ref="AO40:AO71" si="26">SUM(I40,N40,S40,X40,AC40,AH40,AM40)</f>
        <v>0</v>
      </c>
      <c r="AP40" s="44"/>
      <c r="AQ40" s="3">
        <f t="shared" si="16"/>
        <v>0</v>
      </c>
      <c r="AR40" s="3">
        <f t="shared" ref="AR40:AR71" si="27">IF(AQ40-AN40&lt;0,0,AQ40-AN40)</f>
        <v>0</v>
      </c>
    </row>
    <row r="41" spans="1:44" x14ac:dyDescent="0.25">
      <c r="A41" s="9" t="str">
        <f t="array" ref="A41">IFERROR(INDEX(Output!A$1:A$2000,MATCH(0,COUNTIF(Prediction!$A$7:A40,Output!A$1:A$2000),0)),"")</f>
        <v/>
      </c>
      <c r="B41" t="str">
        <f>IFERROR(VLOOKUP($A41,Output!$A:$M,2,FALSE),"")</f>
        <v/>
      </c>
      <c r="C41" t="str">
        <f>IFERROR(VLOOKUP(B41,Departments!B:C,2,FALSE),"")</f>
        <v/>
      </c>
      <c r="D41" t="str">
        <f>IFERROR(VLOOKUP($A41,Output!$A:$M,13,FALSE),"")</f>
        <v/>
      </c>
      <c r="E41" s="29">
        <f>IFERROR(VLOOKUP($D41,Schedules!$A:$I,MATCH(Prediction!E$6,Schedules!$A$1:$H$1,0),FALSE),0)</f>
        <v>0</v>
      </c>
      <c r="F41" s="24">
        <f>IF(E41=0,0,SUMIFS(Output!$L:$L,Output!$A:$A,Prediction!$A41,Output!$C:$C,Prediction!E$5))</f>
        <v>0</v>
      </c>
      <c r="G41" s="24">
        <f t="shared" si="10"/>
        <v>0</v>
      </c>
      <c r="H41" s="45">
        <f t="shared" si="17"/>
        <v>0</v>
      </c>
      <c r="I41" s="30">
        <f>SUMIFS(Output!$L:$L,Output!$A:$A,Prediction!$A41,Output!$C:$C,Prediction!E$5)</f>
        <v>0</v>
      </c>
      <c r="J41" s="29">
        <f>IFERROR(VLOOKUP($D41,Schedules!$A:$I,MATCH(Prediction!J$6,Schedules!$A$1:$H$1,0),FALSE),0)</f>
        <v>0</v>
      </c>
      <c r="K41" s="24">
        <f>IF(J41=0,0,SUMIFS(Output!$L:$L,Output!$A:$A,Prediction!$A41,Output!$C:$C,Prediction!J$5))</f>
        <v>0</v>
      </c>
      <c r="L41" s="24">
        <f t="shared" si="11"/>
        <v>0</v>
      </c>
      <c r="M41" s="24">
        <f t="shared" si="18"/>
        <v>0</v>
      </c>
      <c r="N41" s="30">
        <f>SUMIFS(Output!$L:$L,Output!$A:$A,Prediction!$A41,Output!$C:$C,Prediction!J$5)</f>
        <v>0</v>
      </c>
      <c r="O41" s="29">
        <f>IFERROR(VLOOKUP($D41,Schedules!$A:$I,MATCH(Prediction!O$6,Schedules!$A$1:$H$1,0),FALSE),0)</f>
        <v>0</v>
      </c>
      <c r="P41" s="24">
        <f>IF(O41=0,0,SUMIFS(Output!$L:$L,Output!$A:$A,Prediction!$A41,Output!$C:$C,Prediction!O$5))</f>
        <v>0</v>
      </c>
      <c r="Q41" s="24">
        <f t="shared" si="12"/>
        <v>0</v>
      </c>
      <c r="R41" s="24">
        <f t="shared" si="19"/>
        <v>0</v>
      </c>
      <c r="S41" s="30">
        <f>SUMIFS(Output!$L:$L,Output!$A:$A,Prediction!$A41,Output!$C:$C,Prediction!O$5)</f>
        <v>0</v>
      </c>
      <c r="T41" s="29">
        <f>IFERROR(VLOOKUP($D41,Schedules!$A:$I,MATCH(Prediction!T$6,Schedules!$A$1:$H$1,0),FALSE),0)</f>
        <v>0</v>
      </c>
      <c r="U41" s="24">
        <f>IF(T41=0,0,SUMIFS(Output!$L:$L,Output!$A:$A,Prediction!$A41,Output!$C:$C,Prediction!T$5))</f>
        <v>0</v>
      </c>
      <c r="V41" s="24">
        <f t="shared" si="20"/>
        <v>0</v>
      </c>
      <c r="W41" s="24">
        <f t="shared" si="21"/>
        <v>0</v>
      </c>
      <c r="X41" s="30">
        <f>SUMIFS(Output!$L:$L,Output!$A:$A,Prediction!$A41,Output!$C:$C,Prediction!T$5)</f>
        <v>0</v>
      </c>
      <c r="Y41" s="25">
        <f>IFERROR(VLOOKUP($D41,Schedules!$A:$I,MATCH(Prediction!Y$6,Schedules!$A$1:$H$1,0),FALSE),0)</f>
        <v>0</v>
      </c>
      <c r="Z41" s="24">
        <f>IF(Y41=0,0,SUMIFS(Output!$L:$L,Output!$A:$A,Prediction!$A41,Output!$C:$C,Prediction!Y$5))</f>
        <v>0</v>
      </c>
      <c r="AA41" s="24">
        <f t="shared" si="13"/>
        <v>0</v>
      </c>
      <c r="AB41" s="24">
        <f t="shared" si="22"/>
        <v>0</v>
      </c>
      <c r="AC41" s="30">
        <f>SUMIFS(Output!$L:$L,Output!$A:$A,Prediction!$A41,Output!$C:$C,Prediction!Y$5)</f>
        <v>0</v>
      </c>
      <c r="AD41" s="29">
        <f>IFERROR(VLOOKUP($D41,Schedules!$A:$I,MATCH(Prediction!AD$6,Schedules!$A$1:$H$1,0),FALSE),0)</f>
        <v>0</v>
      </c>
      <c r="AE41" s="24">
        <f>IF(AD41=0,0,SUMIFS(Output!$L:$L,Output!$A:$A,Prediction!$A41,Output!$C:$C,Prediction!AD$5))</f>
        <v>0</v>
      </c>
      <c r="AF41" s="24">
        <f t="shared" si="14"/>
        <v>0</v>
      </c>
      <c r="AG41" s="24">
        <f t="shared" si="23"/>
        <v>0</v>
      </c>
      <c r="AH41" s="30">
        <f>SUMIFS(Output!$L:$L,Output!$A:$A,Prediction!$A41,Output!$C:$C,Prediction!AD$5)</f>
        <v>0</v>
      </c>
      <c r="AI41" s="29">
        <f>IFERROR(VLOOKUP($D41,Schedules!$A:$I,MATCH(Prediction!AI$6,Schedules!$A$1:$H$1,0),FALSE),0)</f>
        <v>0</v>
      </c>
      <c r="AJ41" s="24">
        <f>IF(AI41=0,0,SUMIFS(Output!$L:$L,Output!$A:$A,Prediction!$A41,Output!$C:$C,Prediction!AI$5))</f>
        <v>0</v>
      </c>
      <c r="AK41" s="24">
        <f t="shared" si="15"/>
        <v>0</v>
      </c>
      <c r="AL41" s="24">
        <f t="shared" si="24"/>
        <v>0</v>
      </c>
      <c r="AM41" s="30">
        <f>SUMIFS(Output!$L:$L,Output!$A:$A,Prediction!$A41,Output!$C:$C,Prediction!AI$5)</f>
        <v>0</v>
      </c>
      <c r="AN41">
        <f t="shared" si="25"/>
        <v>0</v>
      </c>
      <c r="AO41" s="3">
        <f t="shared" si="26"/>
        <v>0</v>
      </c>
      <c r="AP41" s="44"/>
      <c r="AQ41" s="3">
        <f t="shared" si="16"/>
        <v>0</v>
      </c>
      <c r="AR41" s="3">
        <f t="shared" si="27"/>
        <v>0</v>
      </c>
    </row>
    <row r="42" spans="1:44" x14ac:dyDescent="0.25">
      <c r="A42" s="9" t="str">
        <f t="array" ref="A42">IFERROR(INDEX(Output!A$1:A$2000,MATCH(0,COUNTIF(Prediction!$A$7:A41,Output!A$1:A$2000),0)),"")</f>
        <v/>
      </c>
      <c r="B42" t="str">
        <f>IFERROR(VLOOKUP($A42,Output!$A:$M,2,FALSE),"")</f>
        <v/>
      </c>
      <c r="C42" t="str">
        <f>IFERROR(VLOOKUP(B42,Departments!B:C,2,FALSE),"")</f>
        <v/>
      </c>
      <c r="D42" t="str">
        <f>IFERROR(VLOOKUP($A42,Output!$A:$M,13,FALSE),"")</f>
        <v/>
      </c>
      <c r="E42" s="29">
        <f>IFERROR(VLOOKUP($D42,Schedules!$A:$I,MATCH(Prediction!E$6,Schedules!$A$1:$H$1,0),FALSE),0)</f>
        <v>0</v>
      </c>
      <c r="F42" s="24">
        <f>IF(E42=0,0,SUMIFS(Output!$L:$L,Output!$A:$A,Prediction!$A42,Output!$C:$C,Prediction!E$5))</f>
        <v>0</v>
      </c>
      <c r="G42" s="24">
        <f t="shared" si="10"/>
        <v>0</v>
      </c>
      <c r="H42" s="45">
        <f t="shared" si="17"/>
        <v>0</v>
      </c>
      <c r="I42" s="30">
        <f>SUMIFS(Output!$L:$L,Output!$A:$A,Prediction!$A42,Output!$C:$C,Prediction!E$5)</f>
        <v>0</v>
      </c>
      <c r="J42" s="29">
        <f>IFERROR(VLOOKUP($D42,Schedules!$A:$I,MATCH(Prediction!J$6,Schedules!$A$1:$H$1,0),FALSE),0)</f>
        <v>0</v>
      </c>
      <c r="K42" s="24">
        <f>IF(J42=0,0,SUMIFS(Output!$L:$L,Output!$A:$A,Prediction!$A42,Output!$C:$C,Prediction!J$5))</f>
        <v>0</v>
      </c>
      <c r="L42" s="24">
        <f t="shared" si="11"/>
        <v>0</v>
      </c>
      <c r="M42" s="24">
        <f t="shared" si="18"/>
        <v>0</v>
      </c>
      <c r="N42" s="30">
        <f>SUMIFS(Output!$L:$L,Output!$A:$A,Prediction!$A42,Output!$C:$C,Prediction!J$5)</f>
        <v>0</v>
      </c>
      <c r="O42" s="29">
        <f>IFERROR(VLOOKUP($D42,Schedules!$A:$I,MATCH(Prediction!O$6,Schedules!$A$1:$H$1,0),FALSE),0)</f>
        <v>0</v>
      </c>
      <c r="P42" s="24">
        <f>IF(O42=0,0,SUMIFS(Output!$L:$L,Output!$A:$A,Prediction!$A42,Output!$C:$C,Prediction!O$5))</f>
        <v>0</v>
      </c>
      <c r="Q42" s="24">
        <f t="shared" si="12"/>
        <v>0</v>
      </c>
      <c r="R42" s="24">
        <f t="shared" si="19"/>
        <v>0</v>
      </c>
      <c r="S42" s="30">
        <f>SUMIFS(Output!$L:$L,Output!$A:$A,Prediction!$A42,Output!$C:$C,Prediction!O$5)</f>
        <v>0</v>
      </c>
      <c r="T42" s="29">
        <f>IFERROR(VLOOKUP($D42,Schedules!$A:$I,MATCH(Prediction!T$6,Schedules!$A$1:$H$1,0),FALSE),0)</f>
        <v>0</v>
      </c>
      <c r="U42" s="24">
        <f>IF(T42=0,0,SUMIFS(Output!$L:$L,Output!$A:$A,Prediction!$A42,Output!$C:$C,Prediction!T$5))</f>
        <v>0</v>
      </c>
      <c r="V42" s="24">
        <f t="shared" si="20"/>
        <v>0</v>
      </c>
      <c r="W42" s="24">
        <f t="shared" si="21"/>
        <v>0</v>
      </c>
      <c r="X42" s="30">
        <f>SUMIFS(Output!$L:$L,Output!$A:$A,Prediction!$A42,Output!$C:$C,Prediction!T$5)</f>
        <v>0</v>
      </c>
      <c r="Y42" s="25">
        <f>IFERROR(VLOOKUP($D42,Schedules!$A:$I,MATCH(Prediction!Y$6,Schedules!$A$1:$H$1,0),FALSE),0)</f>
        <v>0</v>
      </c>
      <c r="Z42" s="24">
        <f>IF(Y42=0,0,SUMIFS(Output!$L:$L,Output!$A:$A,Prediction!$A42,Output!$C:$C,Prediction!Y$5))</f>
        <v>0</v>
      </c>
      <c r="AA42" s="24">
        <f t="shared" si="13"/>
        <v>0</v>
      </c>
      <c r="AB42" s="24">
        <f t="shared" si="22"/>
        <v>0</v>
      </c>
      <c r="AC42" s="30">
        <f>SUMIFS(Output!$L:$L,Output!$A:$A,Prediction!$A42,Output!$C:$C,Prediction!Y$5)</f>
        <v>0</v>
      </c>
      <c r="AD42" s="29">
        <f>IFERROR(VLOOKUP($D42,Schedules!$A:$I,MATCH(Prediction!AD$6,Schedules!$A$1:$H$1,0),FALSE),0)</f>
        <v>0</v>
      </c>
      <c r="AE42" s="24">
        <f>IF(AD42=0,0,SUMIFS(Output!$L:$L,Output!$A:$A,Prediction!$A42,Output!$C:$C,Prediction!AD$5))</f>
        <v>0</v>
      </c>
      <c r="AF42" s="24">
        <f t="shared" si="14"/>
        <v>0</v>
      </c>
      <c r="AG42" s="24">
        <f t="shared" si="23"/>
        <v>0</v>
      </c>
      <c r="AH42" s="30">
        <f>SUMIFS(Output!$L:$L,Output!$A:$A,Prediction!$A42,Output!$C:$C,Prediction!AD$5)</f>
        <v>0</v>
      </c>
      <c r="AI42" s="29">
        <f>IFERROR(VLOOKUP($D42,Schedules!$A:$I,MATCH(Prediction!AI$6,Schedules!$A$1:$H$1,0),FALSE),0)</f>
        <v>0</v>
      </c>
      <c r="AJ42" s="24">
        <f>IF(AI42=0,0,SUMIFS(Output!$L:$L,Output!$A:$A,Prediction!$A42,Output!$C:$C,Prediction!AI$5))</f>
        <v>0</v>
      </c>
      <c r="AK42" s="24">
        <f t="shared" si="15"/>
        <v>0</v>
      </c>
      <c r="AL42" s="24">
        <f t="shared" si="24"/>
        <v>0</v>
      </c>
      <c r="AM42" s="30">
        <f>SUMIFS(Output!$L:$L,Output!$A:$A,Prediction!$A42,Output!$C:$C,Prediction!AI$5)</f>
        <v>0</v>
      </c>
      <c r="AN42">
        <f t="shared" si="25"/>
        <v>0</v>
      </c>
      <c r="AO42" s="3">
        <f t="shared" si="26"/>
        <v>0</v>
      </c>
      <c r="AP42" s="44"/>
      <c r="AQ42" s="3">
        <f t="shared" si="16"/>
        <v>0</v>
      </c>
      <c r="AR42" s="3">
        <f t="shared" si="27"/>
        <v>0</v>
      </c>
    </row>
    <row r="43" spans="1:44" x14ac:dyDescent="0.25">
      <c r="A43" s="9" t="str">
        <f t="array" ref="A43">IFERROR(INDEX(Output!A$1:A$2000,MATCH(0,COUNTIF(Prediction!$A$7:A42,Output!A$1:A$2000),0)),"")</f>
        <v/>
      </c>
      <c r="B43" t="str">
        <f>IFERROR(VLOOKUP($A43,Output!$A:$M,2,FALSE),"")</f>
        <v/>
      </c>
      <c r="C43" t="str">
        <f>IFERROR(VLOOKUP(B43,Departments!B:C,2,FALSE),"")</f>
        <v/>
      </c>
      <c r="D43" t="str">
        <f>IFERROR(VLOOKUP($A43,Output!$A:$M,13,FALSE),"")</f>
        <v/>
      </c>
      <c r="E43" s="29">
        <f>IFERROR(VLOOKUP($D43,Schedules!$A:$I,MATCH(Prediction!E$6,Schedules!$A$1:$H$1,0),FALSE),0)</f>
        <v>0</v>
      </c>
      <c r="F43" s="24">
        <f>IF(E43=0,0,SUMIFS(Output!$L:$L,Output!$A:$A,Prediction!$A43,Output!$C:$C,Prediction!E$5))</f>
        <v>0</v>
      </c>
      <c r="G43" s="24">
        <f t="shared" si="10"/>
        <v>0</v>
      </c>
      <c r="H43" s="45">
        <f t="shared" si="17"/>
        <v>0</v>
      </c>
      <c r="I43" s="30">
        <f>SUMIFS(Output!$L:$L,Output!$A:$A,Prediction!$A43,Output!$C:$C,Prediction!E$5)</f>
        <v>0</v>
      </c>
      <c r="J43" s="29">
        <f>IFERROR(VLOOKUP($D43,Schedules!$A:$I,MATCH(Prediction!J$6,Schedules!$A$1:$H$1,0),FALSE),0)</f>
        <v>0</v>
      </c>
      <c r="K43" s="24">
        <f>IF(J43=0,0,SUMIFS(Output!$L:$L,Output!$A:$A,Prediction!$A43,Output!$C:$C,Prediction!J$5))</f>
        <v>0</v>
      </c>
      <c r="L43" s="24">
        <f t="shared" si="11"/>
        <v>0</v>
      </c>
      <c r="M43" s="24">
        <f t="shared" si="18"/>
        <v>0</v>
      </c>
      <c r="N43" s="30">
        <f>SUMIFS(Output!$L:$L,Output!$A:$A,Prediction!$A43,Output!$C:$C,Prediction!J$5)</f>
        <v>0</v>
      </c>
      <c r="O43" s="29">
        <f>IFERROR(VLOOKUP($D43,Schedules!$A:$I,MATCH(Prediction!O$6,Schedules!$A$1:$H$1,0),FALSE),0)</f>
        <v>0</v>
      </c>
      <c r="P43" s="24">
        <f>IF(O43=0,0,SUMIFS(Output!$L:$L,Output!$A:$A,Prediction!$A43,Output!$C:$C,Prediction!O$5))</f>
        <v>0</v>
      </c>
      <c r="Q43" s="24">
        <f t="shared" si="12"/>
        <v>0</v>
      </c>
      <c r="R43" s="24">
        <f t="shared" si="19"/>
        <v>0</v>
      </c>
      <c r="S43" s="30">
        <f>SUMIFS(Output!$L:$L,Output!$A:$A,Prediction!$A43,Output!$C:$C,Prediction!O$5)</f>
        <v>0</v>
      </c>
      <c r="T43" s="29">
        <f>IFERROR(VLOOKUP($D43,Schedules!$A:$I,MATCH(Prediction!T$6,Schedules!$A$1:$H$1,0),FALSE),0)</f>
        <v>0</v>
      </c>
      <c r="U43" s="24">
        <f>IF(T43=0,0,SUMIFS(Output!$L:$L,Output!$A:$A,Prediction!$A43,Output!$C:$C,Prediction!T$5))</f>
        <v>0</v>
      </c>
      <c r="V43" s="24">
        <f t="shared" si="20"/>
        <v>0</v>
      </c>
      <c r="W43" s="24">
        <f t="shared" si="21"/>
        <v>0</v>
      </c>
      <c r="X43" s="30">
        <f>SUMIFS(Output!$L:$L,Output!$A:$A,Prediction!$A43,Output!$C:$C,Prediction!T$5)</f>
        <v>0</v>
      </c>
      <c r="Y43" s="25">
        <f>IFERROR(VLOOKUP($D43,Schedules!$A:$I,MATCH(Prediction!Y$6,Schedules!$A$1:$H$1,0),FALSE),0)</f>
        <v>0</v>
      </c>
      <c r="Z43" s="24">
        <f>IF(Y43=0,0,SUMIFS(Output!$L:$L,Output!$A:$A,Prediction!$A43,Output!$C:$C,Prediction!Y$5))</f>
        <v>0</v>
      </c>
      <c r="AA43" s="24">
        <f t="shared" si="13"/>
        <v>0</v>
      </c>
      <c r="AB43" s="24">
        <f t="shared" si="22"/>
        <v>0</v>
      </c>
      <c r="AC43" s="30">
        <f>SUMIFS(Output!$L:$L,Output!$A:$A,Prediction!$A43,Output!$C:$C,Prediction!Y$5)</f>
        <v>0</v>
      </c>
      <c r="AD43" s="29">
        <f>IFERROR(VLOOKUP($D43,Schedules!$A:$I,MATCH(Prediction!AD$6,Schedules!$A$1:$H$1,0),FALSE),0)</f>
        <v>0</v>
      </c>
      <c r="AE43" s="24">
        <f>IF(AD43=0,0,SUMIFS(Output!$L:$L,Output!$A:$A,Prediction!$A43,Output!$C:$C,Prediction!AD$5))</f>
        <v>0</v>
      </c>
      <c r="AF43" s="24">
        <f t="shared" si="14"/>
        <v>0</v>
      </c>
      <c r="AG43" s="24">
        <f t="shared" si="23"/>
        <v>0</v>
      </c>
      <c r="AH43" s="30">
        <f>SUMIFS(Output!$L:$L,Output!$A:$A,Prediction!$A43,Output!$C:$C,Prediction!AD$5)</f>
        <v>0</v>
      </c>
      <c r="AI43" s="29">
        <f>IFERROR(VLOOKUP($D43,Schedules!$A:$I,MATCH(Prediction!AI$6,Schedules!$A$1:$H$1,0),FALSE),0)</f>
        <v>0</v>
      </c>
      <c r="AJ43" s="24">
        <f>IF(AI43=0,0,SUMIFS(Output!$L:$L,Output!$A:$A,Prediction!$A43,Output!$C:$C,Prediction!AI$5))</f>
        <v>0</v>
      </c>
      <c r="AK43" s="24">
        <f t="shared" si="15"/>
        <v>0</v>
      </c>
      <c r="AL43" s="24">
        <f t="shared" si="24"/>
        <v>0</v>
      </c>
      <c r="AM43" s="30">
        <f>SUMIFS(Output!$L:$L,Output!$A:$A,Prediction!$A43,Output!$C:$C,Prediction!AI$5)</f>
        <v>0</v>
      </c>
      <c r="AN43">
        <f t="shared" si="25"/>
        <v>0</v>
      </c>
      <c r="AO43" s="3">
        <f t="shared" si="26"/>
        <v>0</v>
      </c>
      <c r="AP43" s="44"/>
      <c r="AQ43" s="3">
        <f t="shared" si="16"/>
        <v>0</v>
      </c>
      <c r="AR43" s="3">
        <f t="shared" si="27"/>
        <v>0</v>
      </c>
    </row>
    <row r="44" spans="1:44" x14ac:dyDescent="0.25">
      <c r="A44" s="9" t="str">
        <f t="array" ref="A44">IFERROR(INDEX(Output!A$1:A$2000,MATCH(0,COUNTIF(Prediction!$A$7:A43,Output!A$1:A$2000),0)),"")</f>
        <v/>
      </c>
      <c r="B44" t="str">
        <f>IFERROR(VLOOKUP($A44,Output!$A:$M,2,FALSE),"")</f>
        <v/>
      </c>
      <c r="C44" t="str">
        <f>IFERROR(VLOOKUP(B44,Departments!B:C,2,FALSE),"")</f>
        <v/>
      </c>
      <c r="D44" t="str">
        <f>IFERROR(VLOOKUP($A44,Output!$A:$M,13,FALSE),"")</f>
        <v/>
      </c>
      <c r="E44" s="29">
        <f>IFERROR(VLOOKUP($D44,Schedules!$A:$I,MATCH(Prediction!E$6,Schedules!$A$1:$H$1,0),FALSE),0)</f>
        <v>0</v>
      </c>
      <c r="F44" s="24">
        <f>IF(E44=0,0,SUMIFS(Output!$L:$L,Output!$A:$A,Prediction!$A44,Output!$C:$C,Prediction!E$5))</f>
        <v>0</v>
      </c>
      <c r="G44" s="24">
        <f t="shared" si="10"/>
        <v>0</v>
      </c>
      <c r="H44" s="45">
        <f t="shared" si="17"/>
        <v>0</v>
      </c>
      <c r="I44" s="30">
        <f>SUMIFS(Output!$L:$L,Output!$A:$A,Prediction!$A44,Output!$C:$C,Prediction!E$5)</f>
        <v>0</v>
      </c>
      <c r="J44" s="29">
        <f>IFERROR(VLOOKUP($D44,Schedules!$A:$I,MATCH(Prediction!J$6,Schedules!$A$1:$H$1,0),FALSE),0)</f>
        <v>0</v>
      </c>
      <c r="K44" s="24">
        <f>IF(J44=0,0,SUMIFS(Output!$L:$L,Output!$A:$A,Prediction!$A44,Output!$C:$C,Prediction!J$5))</f>
        <v>0</v>
      </c>
      <c r="L44" s="24">
        <f t="shared" si="11"/>
        <v>0</v>
      </c>
      <c r="M44" s="24">
        <f t="shared" si="18"/>
        <v>0</v>
      </c>
      <c r="N44" s="30">
        <f>SUMIFS(Output!$L:$L,Output!$A:$A,Prediction!$A44,Output!$C:$C,Prediction!J$5)</f>
        <v>0</v>
      </c>
      <c r="O44" s="29">
        <f>IFERROR(VLOOKUP($D44,Schedules!$A:$I,MATCH(Prediction!O$6,Schedules!$A$1:$H$1,0),FALSE),0)</f>
        <v>0</v>
      </c>
      <c r="P44" s="24">
        <f>IF(O44=0,0,SUMIFS(Output!$L:$L,Output!$A:$A,Prediction!$A44,Output!$C:$C,Prediction!O$5))</f>
        <v>0</v>
      </c>
      <c r="Q44" s="24">
        <f t="shared" si="12"/>
        <v>0</v>
      </c>
      <c r="R44" s="24">
        <f t="shared" si="19"/>
        <v>0</v>
      </c>
      <c r="S44" s="30">
        <f>SUMIFS(Output!$L:$L,Output!$A:$A,Prediction!$A44,Output!$C:$C,Prediction!O$5)</f>
        <v>0</v>
      </c>
      <c r="T44" s="29">
        <f>IFERROR(VLOOKUP($D44,Schedules!$A:$I,MATCH(Prediction!T$6,Schedules!$A$1:$H$1,0),FALSE),0)</f>
        <v>0</v>
      </c>
      <c r="U44" s="24">
        <f>IF(T44=0,0,SUMIFS(Output!$L:$L,Output!$A:$A,Prediction!$A44,Output!$C:$C,Prediction!T$5))</f>
        <v>0</v>
      </c>
      <c r="V44" s="24">
        <f t="shared" si="20"/>
        <v>0</v>
      </c>
      <c r="W44" s="24">
        <f t="shared" si="21"/>
        <v>0</v>
      </c>
      <c r="X44" s="30">
        <f>SUMIFS(Output!$L:$L,Output!$A:$A,Prediction!$A44,Output!$C:$C,Prediction!T$5)</f>
        <v>0</v>
      </c>
      <c r="Y44" s="25">
        <f>IFERROR(VLOOKUP($D44,Schedules!$A:$I,MATCH(Prediction!Y$6,Schedules!$A$1:$H$1,0),FALSE),0)</f>
        <v>0</v>
      </c>
      <c r="Z44" s="24">
        <f>IF(Y44=0,0,SUMIFS(Output!$L:$L,Output!$A:$A,Prediction!$A44,Output!$C:$C,Prediction!Y$5))</f>
        <v>0</v>
      </c>
      <c r="AA44" s="24">
        <f t="shared" si="13"/>
        <v>0</v>
      </c>
      <c r="AB44" s="24">
        <f t="shared" si="22"/>
        <v>0</v>
      </c>
      <c r="AC44" s="30">
        <f>SUMIFS(Output!$L:$L,Output!$A:$A,Prediction!$A44,Output!$C:$C,Prediction!Y$5)</f>
        <v>0</v>
      </c>
      <c r="AD44" s="29">
        <f>IFERROR(VLOOKUP($D44,Schedules!$A:$I,MATCH(Prediction!AD$6,Schedules!$A$1:$H$1,0),FALSE),0)</f>
        <v>0</v>
      </c>
      <c r="AE44" s="24">
        <f>IF(AD44=0,0,SUMIFS(Output!$L:$L,Output!$A:$A,Prediction!$A44,Output!$C:$C,Prediction!AD$5))</f>
        <v>0</v>
      </c>
      <c r="AF44" s="24">
        <f t="shared" si="14"/>
        <v>0</v>
      </c>
      <c r="AG44" s="24">
        <f t="shared" si="23"/>
        <v>0</v>
      </c>
      <c r="AH44" s="30">
        <f>SUMIFS(Output!$L:$L,Output!$A:$A,Prediction!$A44,Output!$C:$C,Prediction!AD$5)</f>
        <v>0</v>
      </c>
      <c r="AI44" s="29">
        <f>IFERROR(VLOOKUP($D44,Schedules!$A:$I,MATCH(Prediction!AI$6,Schedules!$A$1:$H$1,0),FALSE),0)</f>
        <v>0</v>
      </c>
      <c r="AJ44" s="24">
        <f>IF(AI44=0,0,SUMIFS(Output!$L:$L,Output!$A:$A,Prediction!$A44,Output!$C:$C,Prediction!AI$5))</f>
        <v>0</v>
      </c>
      <c r="AK44" s="24">
        <f t="shared" si="15"/>
        <v>0</v>
      </c>
      <c r="AL44" s="24">
        <f t="shared" si="24"/>
        <v>0</v>
      </c>
      <c r="AM44" s="30">
        <f>SUMIFS(Output!$L:$L,Output!$A:$A,Prediction!$A44,Output!$C:$C,Prediction!AI$5)</f>
        <v>0</v>
      </c>
      <c r="AN44">
        <f t="shared" si="25"/>
        <v>0</v>
      </c>
      <c r="AO44" s="3">
        <f t="shared" si="26"/>
        <v>0</v>
      </c>
      <c r="AP44" s="44"/>
      <c r="AQ44" s="3">
        <f t="shared" si="16"/>
        <v>0</v>
      </c>
      <c r="AR44" s="3">
        <f t="shared" si="27"/>
        <v>0</v>
      </c>
    </row>
    <row r="45" spans="1:44" x14ac:dyDescent="0.25">
      <c r="A45" s="9" t="str">
        <f t="array" ref="A45">IFERROR(INDEX(Output!A$1:A$2000,MATCH(0,COUNTIF(Prediction!$A$7:A44,Output!A$1:A$2000),0)),"")</f>
        <v/>
      </c>
      <c r="B45" t="str">
        <f>IFERROR(VLOOKUP($A45,Output!$A:$M,2,FALSE),"")</f>
        <v/>
      </c>
      <c r="C45" t="str">
        <f>IFERROR(VLOOKUP(B45,Departments!B:C,2,FALSE),"")</f>
        <v/>
      </c>
      <c r="D45" t="str">
        <f>IFERROR(VLOOKUP($A45,Output!$A:$M,13,FALSE),"")</f>
        <v/>
      </c>
      <c r="E45" s="29">
        <f>IFERROR(VLOOKUP($D45,Schedules!$A:$I,MATCH(Prediction!E$6,Schedules!$A$1:$H$1,0),FALSE),0)</f>
        <v>0</v>
      </c>
      <c r="F45" s="24">
        <f>IF(E45=0,0,SUMIFS(Output!$L:$L,Output!$A:$A,Prediction!$A45,Output!$C:$C,Prediction!E$5))</f>
        <v>0</v>
      </c>
      <c r="G45" s="24">
        <f t="shared" si="10"/>
        <v>0</v>
      </c>
      <c r="H45" s="45">
        <f t="shared" si="17"/>
        <v>0</v>
      </c>
      <c r="I45" s="30">
        <f>SUMIFS(Output!$L:$L,Output!$A:$A,Prediction!$A45,Output!$C:$C,Prediction!E$5)</f>
        <v>0</v>
      </c>
      <c r="J45" s="29">
        <f>IFERROR(VLOOKUP($D45,Schedules!$A:$I,MATCH(Prediction!J$6,Schedules!$A$1:$H$1,0),FALSE),0)</f>
        <v>0</v>
      </c>
      <c r="K45" s="24">
        <f>IF(J45=0,0,SUMIFS(Output!$L:$L,Output!$A:$A,Prediction!$A45,Output!$C:$C,Prediction!J$5))</f>
        <v>0</v>
      </c>
      <c r="L45" s="24">
        <f t="shared" si="11"/>
        <v>0</v>
      </c>
      <c r="M45" s="24">
        <f t="shared" si="18"/>
        <v>0</v>
      </c>
      <c r="N45" s="30">
        <f>SUMIFS(Output!$L:$L,Output!$A:$A,Prediction!$A45,Output!$C:$C,Prediction!J$5)</f>
        <v>0</v>
      </c>
      <c r="O45" s="29">
        <f>IFERROR(VLOOKUP($D45,Schedules!$A:$I,MATCH(Prediction!O$6,Schedules!$A$1:$H$1,0),FALSE),0)</f>
        <v>0</v>
      </c>
      <c r="P45" s="24">
        <f>IF(O45=0,0,SUMIFS(Output!$L:$L,Output!$A:$A,Prediction!$A45,Output!$C:$C,Prediction!O$5))</f>
        <v>0</v>
      </c>
      <c r="Q45" s="24">
        <f t="shared" si="12"/>
        <v>0</v>
      </c>
      <c r="R45" s="24">
        <f t="shared" si="19"/>
        <v>0</v>
      </c>
      <c r="S45" s="30">
        <f>SUMIFS(Output!$L:$L,Output!$A:$A,Prediction!$A45,Output!$C:$C,Prediction!O$5)</f>
        <v>0</v>
      </c>
      <c r="T45" s="29">
        <f>IFERROR(VLOOKUP($D45,Schedules!$A:$I,MATCH(Prediction!T$6,Schedules!$A$1:$H$1,0),FALSE),0)</f>
        <v>0</v>
      </c>
      <c r="U45" s="24">
        <f>IF(T45=0,0,SUMIFS(Output!$L:$L,Output!$A:$A,Prediction!$A45,Output!$C:$C,Prediction!T$5))</f>
        <v>0</v>
      </c>
      <c r="V45" s="24">
        <f t="shared" si="20"/>
        <v>0</v>
      </c>
      <c r="W45" s="24">
        <f t="shared" si="21"/>
        <v>0</v>
      </c>
      <c r="X45" s="30">
        <f>SUMIFS(Output!$L:$L,Output!$A:$A,Prediction!$A45,Output!$C:$C,Prediction!T$5)</f>
        <v>0</v>
      </c>
      <c r="Y45" s="25">
        <f>IFERROR(VLOOKUP($D45,Schedules!$A:$I,MATCH(Prediction!Y$6,Schedules!$A$1:$H$1,0),FALSE),0)</f>
        <v>0</v>
      </c>
      <c r="Z45" s="24">
        <f>IF(Y45=0,0,SUMIFS(Output!$L:$L,Output!$A:$A,Prediction!$A45,Output!$C:$C,Prediction!Y$5))</f>
        <v>0</v>
      </c>
      <c r="AA45" s="24">
        <f t="shared" si="13"/>
        <v>0</v>
      </c>
      <c r="AB45" s="24">
        <f t="shared" si="22"/>
        <v>0</v>
      </c>
      <c r="AC45" s="30">
        <f>SUMIFS(Output!$L:$L,Output!$A:$A,Prediction!$A45,Output!$C:$C,Prediction!Y$5)</f>
        <v>0</v>
      </c>
      <c r="AD45" s="29">
        <f>IFERROR(VLOOKUP($D45,Schedules!$A:$I,MATCH(Prediction!AD$6,Schedules!$A$1:$H$1,0),FALSE),0)</f>
        <v>0</v>
      </c>
      <c r="AE45" s="24">
        <f>IF(AD45=0,0,SUMIFS(Output!$L:$L,Output!$A:$A,Prediction!$A45,Output!$C:$C,Prediction!AD$5))</f>
        <v>0</v>
      </c>
      <c r="AF45" s="24">
        <f t="shared" si="14"/>
        <v>0</v>
      </c>
      <c r="AG45" s="24">
        <f t="shared" si="23"/>
        <v>0</v>
      </c>
      <c r="AH45" s="30">
        <f>SUMIFS(Output!$L:$L,Output!$A:$A,Prediction!$A45,Output!$C:$C,Prediction!AD$5)</f>
        <v>0</v>
      </c>
      <c r="AI45" s="29">
        <f>IFERROR(VLOOKUP($D45,Schedules!$A:$I,MATCH(Prediction!AI$6,Schedules!$A$1:$H$1,0),FALSE),0)</f>
        <v>0</v>
      </c>
      <c r="AJ45" s="24">
        <f>IF(AI45=0,0,SUMIFS(Output!$L:$L,Output!$A:$A,Prediction!$A45,Output!$C:$C,Prediction!AI$5))</f>
        <v>0</v>
      </c>
      <c r="AK45" s="24">
        <f t="shared" si="15"/>
        <v>0</v>
      </c>
      <c r="AL45" s="24">
        <f t="shared" si="24"/>
        <v>0</v>
      </c>
      <c r="AM45" s="30">
        <f>SUMIFS(Output!$L:$L,Output!$A:$A,Prediction!$A45,Output!$C:$C,Prediction!AI$5)</f>
        <v>0</v>
      </c>
      <c r="AN45">
        <f t="shared" si="25"/>
        <v>0</v>
      </c>
      <c r="AO45" s="3">
        <f t="shared" si="26"/>
        <v>0</v>
      </c>
      <c r="AP45" s="44"/>
      <c r="AQ45" s="3">
        <f t="shared" si="16"/>
        <v>0</v>
      </c>
      <c r="AR45" s="3">
        <f t="shared" si="27"/>
        <v>0</v>
      </c>
    </row>
    <row r="46" spans="1:44" x14ac:dyDescent="0.25">
      <c r="A46" s="9" t="str">
        <f t="array" ref="A46">IFERROR(INDEX(Output!A$1:A$2000,MATCH(0,COUNTIF(Prediction!$A$7:A45,Output!A$1:A$2000),0)),"")</f>
        <v/>
      </c>
      <c r="B46" t="str">
        <f>IFERROR(VLOOKUP($A46,Output!$A:$M,2,FALSE),"")</f>
        <v/>
      </c>
      <c r="C46" t="str">
        <f>IFERROR(VLOOKUP(B46,Departments!B:C,2,FALSE),"")</f>
        <v/>
      </c>
      <c r="D46" t="str">
        <f>IFERROR(VLOOKUP($A46,Output!$A:$M,13,FALSE),"")</f>
        <v/>
      </c>
      <c r="E46" s="29">
        <f>IFERROR(VLOOKUP($D46,Schedules!$A:$I,MATCH(Prediction!E$6,Schedules!$A$1:$H$1,0),FALSE),0)</f>
        <v>0</v>
      </c>
      <c r="F46" s="24">
        <f>IF(E46=0,0,SUMIFS(Output!$L:$L,Output!$A:$A,Prediction!$A46,Output!$C:$C,Prediction!E$5))</f>
        <v>0</v>
      </c>
      <c r="G46" s="24">
        <f t="shared" si="10"/>
        <v>0</v>
      </c>
      <c r="H46" s="45">
        <f t="shared" si="17"/>
        <v>0</v>
      </c>
      <c r="I46" s="30">
        <f>SUMIFS(Output!$L:$L,Output!$A:$A,Prediction!$A46,Output!$C:$C,Prediction!E$5)</f>
        <v>0</v>
      </c>
      <c r="J46" s="29">
        <f>IFERROR(VLOOKUP($D46,Schedules!$A:$I,MATCH(Prediction!J$6,Schedules!$A$1:$H$1,0),FALSE),0)</f>
        <v>0</v>
      </c>
      <c r="K46" s="24">
        <f>IF(J46=0,0,SUMIFS(Output!$L:$L,Output!$A:$A,Prediction!$A46,Output!$C:$C,Prediction!J$5))</f>
        <v>0</v>
      </c>
      <c r="L46" s="24">
        <f t="shared" si="11"/>
        <v>0</v>
      </c>
      <c r="M46" s="24">
        <f t="shared" si="18"/>
        <v>0</v>
      </c>
      <c r="N46" s="30">
        <f>SUMIFS(Output!$L:$L,Output!$A:$A,Prediction!$A46,Output!$C:$C,Prediction!J$5)</f>
        <v>0</v>
      </c>
      <c r="O46" s="29">
        <f>IFERROR(VLOOKUP($D46,Schedules!$A:$I,MATCH(Prediction!O$6,Schedules!$A$1:$H$1,0),FALSE),0)</f>
        <v>0</v>
      </c>
      <c r="P46" s="24">
        <f>IF(O46=0,0,SUMIFS(Output!$L:$L,Output!$A:$A,Prediction!$A46,Output!$C:$C,Prediction!O$5))</f>
        <v>0</v>
      </c>
      <c r="Q46" s="24">
        <f t="shared" si="12"/>
        <v>0</v>
      </c>
      <c r="R46" s="24">
        <f t="shared" si="19"/>
        <v>0</v>
      </c>
      <c r="S46" s="30">
        <f>SUMIFS(Output!$L:$L,Output!$A:$A,Prediction!$A46,Output!$C:$C,Prediction!O$5)</f>
        <v>0</v>
      </c>
      <c r="T46" s="29">
        <f>IFERROR(VLOOKUP($D46,Schedules!$A:$I,MATCH(Prediction!T$6,Schedules!$A$1:$H$1,0),FALSE),0)</f>
        <v>0</v>
      </c>
      <c r="U46" s="24">
        <f>IF(T46=0,0,SUMIFS(Output!$L:$L,Output!$A:$A,Prediction!$A46,Output!$C:$C,Prediction!T$5))</f>
        <v>0</v>
      </c>
      <c r="V46" s="24">
        <f t="shared" si="20"/>
        <v>0</v>
      </c>
      <c r="W46" s="24">
        <f t="shared" si="21"/>
        <v>0</v>
      </c>
      <c r="X46" s="30">
        <f>SUMIFS(Output!$L:$L,Output!$A:$A,Prediction!$A46,Output!$C:$C,Prediction!T$5)</f>
        <v>0</v>
      </c>
      <c r="Y46" s="25">
        <f>IFERROR(VLOOKUP($D46,Schedules!$A:$I,MATCH(Prediction!Y$6,Schedules!$A$1:$H$1,0),FALSE),0)</f>
        <v>0</v>
      </c>
      <c r="Z46" s="24">
        <f>IF(Y46=0,0,SUMIFS(Output!$L:$L,Output!$A:$A,Prediction!$A46,Output!$C:$C,Prediction!Y$5))</f>
        <v>0</v>
      </c>
      <c r="AA46" s="24">
        <f t="shared" si="13"/>
        <v>0</v>
      </c>
      <c r="AB46" s="24">
        <f t="shared" si="22"/>
        <v>0</v>
      </c>
      <c r="AC46" s="30">
        <f>SUMIFS(Output!$L:$L,Output!$A:$A,Prediction!$A46,Output!$C:$C,Prediction!Y$5)</f>
        <v>0</v>
      </c>
      <c r="AD46" s="29">
        <f>IFERROR(VLOOKUP($D46,Schedules!$A:$I,MATCH(Prediction!AD$6,Schedules!$A$1:$H$1,0),FALSE),0)</f>
        <v>0</v>
      </c>
      <c r="AE46" s="24">
        <f>IF(AD46=0,0,SUMIFS(Output!$L:$L,Output!$A:$A,Prediction!$A46,Output!$C:$C,Prediction!AD$5))</f>
        <v>0</v>
      </c>
      <c r="AF46" s="24">
        <f t="shared" si="14"/>
        <v>0</v>
      </c>
      <c r="AG46" s="24">
        <f t="shared" si="23"/>
        <v>0</v>
      </c>
      <c r="AH46" s="30">
        <f>SUMIFS(Output!$L:$L,Output!$A:$A,Prediction!$A46,Output!$C:$C,Prediction!AD$5)</f>
        <v>0</v>
      </c>
      <c r="AI46" s="29">
        <f>IFERROR(VLOOKUP($D46,Schedules!$A:$I,MATCH(Prediction!AI$6,Schedules!$A$1:$H$1,0),FALSE),0)</f>
        <v>0</v>
      </c>
      <c r="AJ46" s="24">
        <f>IF(AI46=0,0,SUMIFS(Output!$L:$L,Output!$A:$A,Prediction!$A46,Output!$C:$C,Prediction!AI$5))</f>
        <v>0</v>
      </c>
      <c r="AK46" s="24">
        <f t="shared" si="15"/>
        <v>0</v>
      </c>
      <c r="AL46" s="24">
        <f t="shared" si="24"/>
        <v>0</v>
      </c>
      <c r="AM46" s="30">
        <f>SUMIFS(Output!$L:$L,Output!$A:$A,Prediction!$A46,Output!$C:$C,Prediction!AI$5)</f>
        <v>0</v>
      </c>
      <c r="AN46">
        <f t="shared" si="25"/>
        <v>0</v>
      </c>
      <c r="AO46" s="3">
        <f t="shared" si="26"/>
        <v>0</v>
      </c>
      <c r="AP46" s="44"/>
      <c r="AQ46" s="3">
        <f t="shared" si="16"/>
        <v>0</v>
      </c>
      <c r="AR46" s="3">
        <f t="shared" si="27"/>
        <v>0</v>
      </c>
    </row>
    <row r="47" spans="1:44" x14ac:dyDescent="0.25">
      <c r="A47" s="9" t="str">
        <f t="array" ref="A47">IFERROR(INDEX(Output!A$1:A$2000,MATCH(0,COUNTIF(Prediction!$A$7:A46,Output!A$1:A$2000),0)),"")</f>
        <v/>
      </c>
      <c r="B47" t="str">
        <f>IFERROR(VLOOKUP($A47,Output!$A:$M,2,FALSE),"")</f>
        <v/>
      </c>
      <c r="C47" t="str">
        <f>IFERROR(VLOOKUP(B47,Departments!B:C,2,FALSE),"")</f>
        <v/>
      </c>
      <c r="D47" t="str">
        <f>IFERROR(VLOOKUP($A47,Output!$A:$M,13,FALSE),"")</f>
        <v/>
      </c>
      <c r="E47" s="29">
        <f>IFERROR(VLOOKUP($D47,Schedules!$A:$I,MATCH(Prediction!E$6,Schedules!$A$1:$H$1,0),FALSE),0)</f>
        <v>0</v>
      </c>
      <c r="F47" s="24">
        <f>IF(E47=0,0,SUMIFS(Output!$L:$L,Output!$A:$A,Prediction!$A47,Output!$C:$C,Prediction!E$5))</f>
        <v>0</v>
      </c>
      <c r="G47" s="24">
        <f t="shared" si="10"/>
        <v>0</v>
      </c>
      <c r="H47" s="45">
        <f t="shared" si="17"/>
        <v>0</v>
      </c>
      <c r="I47" s="30">
        <f>SUMIFS(Output!$L:$L,Output!$A:$A,Prediction!$A47,Output!$C:$C,Prediction!E$5)</f>
        <v>0</v>
      </c>
      <c r="J47" s="29">
        <f>IFERROR(VLOOKUP($D47,Schedules!$A:$I,MATCH(Prediction!J$6,Schedules!$A$1:$H$1,0),FALSE),0)</f>
        <v>0</v>
      </c>
      <c r="K47" s="24">
        <f>IF(J47=0,0,SUMIFS(Output!$L:$L,Output!$A:$A,Prediction!$A47,Output!$C:$C,Prediction!J$5))</f>
        <v>0</v>
      </c>
      <c r="L47" s="24">
        <f t="shared" si="11"/>
        <v>0</v>
      </c>
      <c r="M47" s="24">
        <f t="shared" si="18"/>
        <v>0</v>
      </c>
      <c r="N47" s="30">
        <f>SUMIFS(Output!$L:$L,Output!$A:$A,Prediction!$A47,Output!$C:$C,Prediction!J$5)</f>
        <v>0</v>
      </c>
      <c r="O47" s="29">
        <f>IFERROR(VLOOKUP($D47,Schedules!$A:$I,MATCH(Prediction!O$6,Schedules!$A$1:$H$1,0),FALSE),0)</f>
        <v>0</v>
      </c>
      <c r="P47" s="24">
        <f>IF(O47=0,0,SUMIFS(Output!$L:$L,Output!$A:$A,Prediction!$A47,Output!$C:$C,Prediction!O$5))</f>
        <v>0</v>
      </c>
      <c r="Q47" s="24">
        <f t="shared" si="12"/>
        <v>0</v>
      </c>
      <c r="R47" s="24">
        <f t="shared" si="19"/>
        <v>0</v>
      </c>
      <c r="S47" s="30">
        <f>SUMIFS(Output!$L:$L,Output!$A:$A,Prediction!$A47,Output!$C:$C,Prediction!O$5)</f>
        <v>0</v>
      </c>
      <c r="T47" s="29">
        <f>IFERROR(VLOOKUP($D47,Schedules!$A:$I,MATCH(Prediction!T$6,Schedules!$A$1:$H$1,0),FALSE),0)</f>
        <v>0</v>
      </c>
      <c r="U47" s="24">
        <f>IF(T47=0,0,SUMIFS(Output!$L:$L,Output!$A:$A,Prediction!$A47,Output!$C:$C,Prediction!T$5))</f>
        <v>0</v>
      </c>
      <c r="V47" s="24">
        <f t="shared" si="20"/>
        <v>0</v>
      </c>
      <c r="W47" s="24">
        <f t="shared" si="21"/>
        <v>0</v>
      </c>
      <c r="X47" s="30">
        <f>SUMIFS(Output!$L:$L,Output!$A:$A,Prediction!$A47,Output!$C:$C,Prediction!T$5)</f>
        <v>0</v>
      </c>
      <c r="Y47" s="25">
        <f>IFERROR(VLOOKUP($D47,Schedules!$A:$I,MATCH(Prediction!Y$6,Schedules!$A$1:$H$1,0),FALSE),0)</f>
        <v>0</v>
      </c>
      <c r="Z47" s="24">
        <f>IF(Y47=0,0,SUMIFS(Output!$L:$L,Output!$A:$A,Prediction!$A47,Output!$C:$C,Prediction!Y$5))</f>
        <v>0</v>
      </c>
      <c r="AA47" s="24">
        <f t="shared" si="13"/>
        <v>0</v>
      </c>
      <c r="AB47" s="24">
        <f t="shared" si="22"/>
        <v>0</v>
      </c>
      <c r="AC47" s="30">
        <f>SUMIFS(Output!$L:$L,Output!$A:$A,Prediction!$A47,Output!$C:$C,Prediction!Y$5)</f>
        <v>0</v>
      </c>
      <c r="AD47" s="29">
        <f>IFERROR(VLOOKUP($D47,Schedules!$A:$I,MATCH(Prediction!AD$6,Schedules!$A$1:$H$1,0),FALSE),0)</f>
        <v>0</v>
      </c>
      <c r="AE47" s="24">
        <f>IF(AD47=0,0,SUMIFS(Output!$L:$L,Output!$A:$A,Prediction!$A47,Output!$C:$C,Prediction!AD$5))</f>
        <v>0</v>
      </c>
      <c r="AF47" s="24">
        <f t="shared" si="14"/>
        <v>0</v>
      </c>
      <c r="AG47" s="24">
        <f t="shared" si="23"/>
        <v>0</v>
      </c>
      <c r="AH47" s="30">
        <f>SUMIFS(Output!$L:$L,Output!$A:$A,Prediction!$A47,Output!$C:$C,Prediction!AD$5)</f>
        <v>0</v>
      </c>
      <c r="AI47" s="29">
        <f>IFERROR(VLOOKUP($D47,Schedules!$A:$I,MATCH(Prediction!AI$6,Schedules!$A$1:$H$1,0),FALSE),0)</f>
        <v>0</v>
      </c>
      <c r="AJ47" s="24">
        <f>IF(AI47=0,0,SUMIFS(Output!$L:$L,Output!$A:$A,Prediction!$A47,Output!$C:$C,Prediction!AI$5))</f>
        <v>0</v>
      </c>
      <c r="AK47" s="24">
        <f t="shared" si="15"/>
        <v>0</v>
      </c>
      <c r="AL47" s="24">
        <f t="shared" si="24"/>
        <v>0</v>
      </c>
      <c r="AM47" s="30">
        <f>SUMIFS(Output!$L:$L,Output!$A:$A,Prediction!$A47,Output!$C:$C,Prediction!AI$5)</f>
        <v>0</v>
      </c>
      <c r="AN47">
        <f t="shared" si="25"/>
        <v>0</v>
      </c>
      <c r="AO47" s="3">
        <f t="shared" si="26"/>
        <v>0</v>
      </c>
      <c r="AP47" s="44"/>
      <c r="AQ47" s="3">
        <f t="shared" si="16"/>
        <v>0</v>
      </c>
      <c r="AR47" s="3">
        <f t="shared" si="27"/>
        <v>0</v>
      </c>
    </row>
    <row r="48" spans="1:44" x14ac:dyDescent="0.25">
      <c r="A48" s="9" t="str">
        <f t="array" ref="A48">IFERROR(INDEX(Output!A$1:A$2000,MATCH(0,COUNTIF(Prediction!$A$7:A47,Output!A$1:A$2000),0)),"")</f>
        <v/>
      </c>
      <c r="B48" t="str">
        <f>IFERROR(VLOOKUP($A48,Output!$A:$M,2,FALSE),"")</f>
        <v/>
      </c>
      <c r="C48" t="str">
        <f>IFERROR(VLOOKUP(B48,Departments!B:C,2,FALSE),"")</f>
        <v/>
      </c>
      <c r="D48" t="str">
        <f>IFERROR(VLOOKUP($A48,Output!$A:$M,13,FALSE),"")</f>
        <v/>
      </c>
      <c r="E48" s="29">
        <f>IFERROR(VLOOKUP($D48,Schedules!$A:$I,MATCH(Prediction!E$6,Schedules!$A$1:$H$1,0),FALSE),0)</f>
        <v>0</v>
      </c>
      <c r="F48" s="24">
        <f>IF(E48=0,0,SUMIFS(Output!$L:$L,Output!$A:$A,Prediction!$A48,Output!$C:$C,Prediction!E$5))</f>
        <v>0</v>
      </c>
      <c r="G48" s="24">
        <f t="shared" si="10"/>
        <v>0</v>
      </c>
      <c r="H48" s="45">
        <f t="shared" si="17"/>
        <v>0</v>
      </c>
      <c r="I48" s="30">
        <f>SUMIFS(Output!$L:$L,Output!$A:$A,Prediction!$A48,Output!$C:$C,Prediction!E$5)</f>
        <v>0</v>
      </c>
      <c r="J48" s="29">
        <f>IFERROR(VLOOKUP($D48,Schedules!$A:$I,MATCH(Prediction!J$6,Schedules!$A$1:$H$1,0),FALSE),0)</f>
        <v>0</v>
      </c>
      <c r="K48" s="24">
        <f>IF(J48=0,0,SUMIFS(Output!$L:$L,Output!$A:$A,Prediction!$A48,Output!$C:$C,Prediction!J$5))</f>
        <v>0</v>
      </c>
      <c r="L48" s="24">
        <f t="shared" si="11"/>
        <v>0</v>
      </c>
      <c r="M48" s="24">
        <f t="shared" si="18"/>
        <v>0</v>
      </c>
      <c r="N48" s="30">
        <f>SUMIFS(Output!$L:$L,Output!$A:$A,Prediction!$A48,Output!$C:$C,Prediction!J$5)</f>
        <v>0</v>
      </c>
      <c r="O48" s="29">
        <f>IFERROR(VLOOKUP($D48,Schedules!$A:$I,MATCH(Prediction!O$6,Schedules!$A$1:$H$1,0),FALSE),0)</f>
        <v>0</v>
      </c>
      <c r="P48" s="24">
        <f>IF(O48=0,0,SUMIFS(Output!$L:$L,Output!$A:$A,Prediction!$A48,Output!$C:$C,Prediction!O$5))</f>
        <v>0</v>
      </c>
      <c r="Q48" s="24">
        <f t="shared" si="12"/>
        <v>0</v>
      </c>
      <c r="R48" s="24">
        <f t="shared" si="19"/>
        <v>0</v>
      </c>
      <c r="S48" s="30">
        <f>SUMIFS(Output!$L:$L,Output!$A:$A,Prediction!$A48,Output!$C:$C,Prediction!O$5)</f>
        <v>0</v>
      </c>
      <c r="T48" s="29">
        <f>IFERROR(VLOOKUP($D48,Schedules!$A:$I,MATCH(Prediction!T$6,Schedules!$A$1:$H$1,0),FALSE),0)</f>
        <v>0</v>
      </c>
      <c r="U48" s="24">
        <f>IF(T48=0,0,SUMIFS(Output!$L:$L,Output!$A:$A,Prediction!$A48,Output!$C:$C,Prediction!T$5))</f>
        <v>0</v>
      </c>
      <c r="V48" s="24">
        <f t="shared" si="20"/>
        <v>0</v>
      </c>
      <c r="W48" s="24">
        <f t="shared" si="21"/>
        <v>0</v>
      </c>
      <c r="X48" s="30">
        <f>SUMIFS(Output!$L:$L,Output!$A:$A,Prediction!$A48,Output!$C:$C,Prediction!T$5)</f>
        <v>0</v>
      </c>
      <c r="Y48" s="25">
        <f>IFERROR(VLOOKUP($D48,Schedules!$A:$I,MATCH(Prediction!Y$6,Schedules!$A$1:$H$1,0),FALSE),0)</f>
        <v>0</v>
      </c>
      <c r="Z48" s="24">
        <f>IF(Y48=0,0,SUMIFS(Output!$L:$L,Output!$A:$A,Prediction!$A48,Output!$C:$C,Prediction!Y$5))</f>
        <v>0</v>
      </c>
      <c r="AA48" s="24">
        <f t="shared" si="13"/>
        <v>0</v>
      </c>
      <c r="AB48" s="24">
        <f t="shared" si="22"/>
        <v>0</v>
      </c>
      <c r="AC48" s="30">
        <f>SUMIFS(Output!$L:$L,Output!$A:$A,Prediction!$A48,Output!$C:$C,Prediction!Y$5)</f>
        <v>0</v>
      </c>
      <c r="AD48" s="29">
        <f>IFERROR(VLOOKUP($D48,Schedules!$A:$I,MATCH(Prediction!AD$6,Schedules!$A$1:$H$1,0),FALSE),0)</f>
        <v>0</v>
      </c>
      <c r="AE48" s="24">
        <f>IF(AD48=0,0,SUMIFS(Output!$L:$L,Output!$A:$A,Prediction!$A48,Output!$C:$C,Prediction!AD$5))</f>
        <v>0</v>
      </c>
      <c r="AF48" s="24">
        <f t="shared" si="14"/>
        <v>0</v>
      </c>
      <c r="AG48" s="24">
        <f t="shared" si="23"/>
        <v>0</v>
      </c>
      <c r="AH48" s="30">
        <f>SUMIFS(Output!$L:$L,Output!$A:$A,Prediction!$A48,Output!$C:$C,Prediction!AD$5)</f>
        <v>0</v>
      </c>
      <c r="AI48" s="29">
        <f>IFERROR(VLOOKUP($D48,Schedules!$A:$I,MATCH(Prediction!AI$6,Schedules!$A$1:$H$1,0),FALSE),0)</f>
        <v>0</v>
      </c>
      <c r="AJ48" s="24">
        <f>IF(AI48=0,0,SUMIFS(Output!$L:$L,Output!$A:$A,Prediction!$A48,Output!$C:$C,Prediction!AI$5))</f>
        <v>0</v>
      </c>
      <c r="AK48" s="24">
        <f t="shared" si="15"/>
        <v>0</v>
      </c>
      <c r="AL48" s="24">
        <f t="shared" si="24"/>
        <v>0</v>
      </c>
      <c r="AM48" s="30">
        <f>SUMIFS(Output!$L:$L,Output!$A:$A,Prediction!$A48,Output!$C:$C,Prediction!AI$5)</f>
        <v>0</v>
      </c>
      <c r="AN48">
        <f t="shared" si="25"/>
        <v>0</v>
      </c>
      <c r="AO48" s="3">
        <f t="shared" si="26"/>
        <v>0</v>
      </c>
      <c r="AP48" s="44"/>
      <c r="AQ48" s="3">
        <f t="shared" si="16"/>
        <v>0</v>
      </c>
      <c r="AR48" s="3">
        <f t="shared" si="27"/>
        <v>0</v>
      </c>
    </row>
    <row r="49" spans="1:44" x14ac:dyDescent="0.25">
      <c r="A49" s="9" t="str">
        <f t="array" ref="A49">IFERROR(INDEX(Output!A$1:A$2000,MATCH(0,COUNTIF(Prediction!$A$7:A48,Output!A$1:A$2000),0)),"")</f>
        <v/>
      </c>
      <c r="B49" t="str">
        <f>IFERROR(VLOOKUP($A49,Output!$A:$M,2,FALSE),"")</f>
        <v/>
      </c>
      <c r="C49" t="str">
        <f>IFERROR(VLOOKUP(B49,Departments!B:C,2,FALSE),"")</f>
        <v/>
      </c>
      <c r="D49" t="str">
        <f>IFERROR(VLOOKUP($A49,Output!$A:$M,13,FALSE),"")</f>
        <v/>
      </c>
      <c r="E49" s="29">
        <f>IFERROR(VLOOKUP($D49,Schedules!$A:$I,MATCH(Prediction!E$6,Schedules!$A$1:$H$1,0),FALSE),0)</f>
        <v>0</v>
      </c>
      <c r="F49" s="24">
        <f>IF(E49=0,0,SUMIFS(Output!$L:$L,Output!$A:$A,Prediction!$A49,Output!$C:$C,Prediction!E$5))</f>
        <v>0</v>
      </c>
      <c r="G49" s="24">
        <f t="shared" si="10"/>
        <v>0</v>
      </c>
      <c r="H49" s="45">
        <f t="shared" si="17"/>
        <v>0</v>
      </c>
      <c r="I49" s="30">
        <f>SUMIFS(Output!$L:$L,Output!$A:$A,Prediction!$A49,Output!$C:$C,Prediction!E$5)</f>
        <v>0</v>
      </c>
      <c r="J49" s="29">
        <f>IFERROR(VLOOKUP($D49,Schedules!$A:$I,MATCH(Prediction!J$6,Schedules!$A$1:$H$1,0),FALSE),0)</f>
        <v>0</v>
      </c>
      <c r="K49" s="24">
        <f>IF(J49=0,0,SUMIFS(Output!$L:$L,Output!$A:$A,Prediction!$A49,Output!$C:$C,Prediction!J$5))</f>
        <v>0</v>
      </c>
      <c r="L49" s="24">
        <f t="shared" si="11"/>
        <v>0</v>
      </c>
      <c r="M49" s="24">
        <f t="shared" si="18"/>
        <v>0</v>
      </c>
      <c r="N49" s="30">
        <f>SUMIFS(Output!$L:$L,Output!$A:$A,Prediction!$A49,Output!$C:$C,Prediction!J$5)</f>
        <v>0</v>
      </c>
      <c r="O49" s="29">
        <f>IFERROR(VLOOKUP($D49,Schedules!$A:$I,MATCH(Prediction!O$6,Schedules!$A$1:$H$1,0),FALSE),0)</f>
        <v>0</v>
      </c>
      <c r="P49" s="24">
        <f>IF(O49=0,0,SUMIFS(Output!$L:$L,Output!$A:$A,Prediction!$A49,Output!$C:$C,Prediction!O$5))</f>
        <v>0</v>
      </c>
      <c r="Q49" s="24">
        <f t="shared" si="12"/>
        <v>0</v>
      </c>
      <c r="R49" s="24">
        <f t="shared" si="19"/>
        <v>0</v>
      </c>
      <c r="S49" s="30">
        <f>SUMIFS(Output!$L:$L,Output!$A:$A,Prediction!$A49,Output!$C:$C,Prediction!O$5)</f>
        <v>0</v>
      </c>
      <c r="T49" s="29">
        <f>IFERROR(VLOOKUP($D49,Schedules!$A:$I,MATCH(Prediction!T$6,Schedules!$A$1:$H$1,0),FALSE),0)</f>
        <v>0</v>
      </c>
      <c r="U49" s="24">
        <f>IF(T49=0,0,SUMIFS(Output!$L:$L,Output!$A:$A,Prediction!$A49,Output!$C:$C,Prediction!T$5))</f>
        <v>0</v>
      </c>
      <c r="V49" s="24">
        <f t="shared" si="20"/>
        <v>0</v>
      </c>
      <c r="W49" s="24">
        <f t="shared" si="21"/>
        <v>0</v>
      </c>
      <c r="X49" s="30">
        <f>SUMIFS(Output!$L:$L,Output!$A:$A,Prediction!$A49,Output!$C:$C,Prediction!T$5)</f>
        <v>0</v>
      </c>
      <c r="Y49" s="25">
        <f>IFERROR(VLOOKUP($D49,Schedules!$A:$I,MATCH(Prediction!Y$6,Schedules!$A$1:$H$1,0),FALSE),0)</f>
        <v>0</v>
      </c>
      <c r="Z49" s="24">
        <f>IF(Y49=0,0,SUMIFS(Output!$L:$L,Output!$A:$A,Prediction!$A49,Output!$C:$C,Prediction!Y$5))</f>
        <v>0</v>
      </c>
      <c r="AA49" s="24">
        <f t="shared" si="13"/>
        <v>0</v>
      </c>
      <c r="AB49" s="24">
        <f t="shared" si="22"/>
        <v>0</v>
      </c>
      <c r="AC49" s="30">
        <f>SUMIFS(Output!$L:$L,Output!$A:$A,Prediction!$A49,Output!$C:$C,Prediction!Y$5)</f>
        <v>0</v>
      </c>
      <c r="AD49" s="29">
        <f>IFERROR(VLOOKUP($D49,Schedules!$A:$I,MATCH(Prediction!AD$6,Schedules!$A$1:$H$1,0),FALSE),0)</f>
        <v>0</v>
      </c>
      <c r="AE49" s="24">
        <f>IF(AD49=0,0,SUMIFS(Output!$L:$L,Output!$A:$A,Prediction!$A49,Output!$C:$C,Prediction!AD$5))</f>
        <v>0</v>
      </c>
      <c r="AF49" s="24">
        <f t="shared" si="14"/>
        <v>0</v>
      </c>
      <c r="AG49" s="24">
        <f t="shared" si="23"/>
        <v>0</v>
      </c>
      <c r="AH49" s="30">
        <f>SUMIFS(Output!$L:$L,Output!$A:$A,Prediction!$A49,Output!$C:$C,Prediction!AD$5)</f>
        <v>0</v>
      </c>
      <c r="AI49" s="29">
        <f>IFERROR(VLOOKUP($D49,Schedules!$A:$I,MATCH(Prediction!AI$6,Schedules!$A$1:$H$1,0),FALSE),0)</f>
        <v>0</v>
      </c>
      <c r="AJ49" s="24">
        <f>IF(AI49=0,0,SUMIFS(Output!$L:$L,Output!$A:$A,Prediction!$A49,Output!$C:$C,Prediction!AI$5))</f>
        <v>0</v>
      </c>
      <c r="AK49" s="24">
        <f t="shared" si="15"/>
        <v>0</v>
      </c>
      <c r="AL49" s="24">
        <f t="shared" si="24"/>
        <v>0</v>
      </c>
      <c r="AM49" s="30">
        <f>SUMIFS(Output!$L:$L,Output!$A:$A,Prediction!$A49,Output!$C:$C,Prediction!AI$5)</f>
        <v>0</v>
      </c>
      <c r="AN49">
        <f t="shared" si="25"/>
        <v>0</v>
      </c>
      <c r="AO49" s="3">
        <f t="shared" si="26"/>
        <v>0</v>
      </c>
      <c r="AP49" s="44"/>
      <c r="AQ49" s="3">
        <f t="shared" si="16"/>
        <v>0</v>
      </c>
      <c r="AR49" s="3">
        <f t="shared" si="27"/>
        <v>0</v>
      </c>
    </row>
    <row r="50" spans="1:44" x14ac:dyDescent="0.25">
      <c r="A50" s="9" t="str">
        <f t="array" ref="A50">IFERROR(INDEX(Output!A$1:A$2000,MATCH(0,COUNTIF(Prediction!$A$7:A49,Output!A$1:A$2000),0)),"")</f>
        <v/>
      </c>
      <c r="B50" t="str">
        <f>IFERROR(VLOOKUP($A50,Output!$A:$M,2,FALSE),"")</f>
        <v/>
      </c>
      <c r="C50" t="str">
        <f>IFERROR(VLOOKUP(B50,Departments!B:C,2,FALSE),"")</f>
        <v/>
      </c>
      <c r="D50" t="str">
        <f>IFERROR(VLOOKUP($A50,Output!$A:$M,13,FALSE),"")</f>
        <v/>
      </c>
      <c r="E50" s="29">
        <f>IFERROR(VLOOKUP($D50,Schedules!$A:$I,MATCH(Prediction!E$6,Schedules!$A$1:$H$1,0),FALSE),0)</f>
        <v>0</v>
      </c>
      <c r="F50" s="24">
        <f>IF(E50=0,0,SUMIFS(Output!$L:$L,Output!$A:$A,Prediction!$A50,Output!$C:$C,Prediction!E$5))</f>
        <v>0</v>
      </c>
      <c r="G50" s="24">
        <f t="shared" si="10"/>
        <v>0</v>
      </c>
      <c r="H50" s="45">
        <f t="shared" si="17"/>
        <v>0</v>
      </c>
      <c r="I50" s="30">
        <f>SUMIFS(Output!$L:$L,Output!$A:$A,Prediction!$A50,Output!$C:$C,Prediction!E$5)</f>
        <v>0</v>
      </c>
      <c r="J50" s="29">
        <f>IFERROR(VLOOKUP($D50,Schedules!$A:$I,MATCH(Prediction!J$6,Schedules!$A$1:$H$1,0),FALSE),0)</f>
        <v>0</v>
      </c>
      <c r="K50" s="24">
        <f>IF(J50=0,0,SUMIFS(Output!$L:$L,Output!$A:$A,Prediction!$A50,Output!$C:$C,Prediction!J$5))</f>
        <v>0</v>
      </c>
      <c r="L50" s="24">
        <f t="shared" si="11"/>
        <v>0</v>
      </c>
      <c r="M50" s="24">
        <f t="shared" si="18"/>
        <v>0</v>
      </c>
      <c r="N50" s="30">
        <f>SUMIFS(Output!$L:$L,Output!$A:$A,Prediction!$A50,Output!$C:$C,Prediction!J$5)</f>
        <v>0</v>
      </c>
      <c r="O50" s="29">
        <f>IFERROR(VLOOKUP($D50,Schedules!$A:$I,MATCH(Prediction!O$6,Schedules!$A$1:$H$1,0),FALSE),0)</f>
        <v>0</v>
      </c>
      <c r="P50" s="24">
        <f>IF(O50=0,0,SUMIFS(Output!$L:$L,Output!$A:$A,Prediction!$A50,Output!$C:$C,Prediction!O$5))</f>
        <v>0</v>
      </c>
      <c r="Q50" s="24">
        <f t="shared" si="12"/>
        <v>0</v>
      </c>
      <c r="R50" s="24">
        <f t="shared" si="19"/>
        <v>0</v>
      </c>
      <c r="S50" s="30">
        <f>SUMIFS(Output!$L:$L,Output!$A:$A,Prediction!$A50,Output!$C:$C,Prediction!O$5)</f>
        <v>0</v>
      </c>
      <c r="T50" s="29">
        <f>IFERROR(VLOOKUP($D50,Schedules!$A:$I,MATCH(Prediction!T$6,Schedules!$A$1:$H$1,0),FALSE),0)</f>
        <v>0</v>
      </c>
      <c r="U50" s="24">
        <f>IF(T50=0,0,SUMIFS(Output!$L:$L,Output!$A:$A,Prediction!$A50,Output!$C:$C,Prediction!T$5))</f>
        <v>0</v>
      </c>
      <c r="V50" s="24">
        <f t="shared" si="20"/>
        <v>0</v>
      </c>
      <c r="W50" s="24">
        <f t="shared" si="21"/>
        <v>0</v>
      </c>
      <c r="X50" s="30">
        <f>SUMIFS(Output!$L:$L,Output!$A:$A,Prediction!$A50,Output!$C:$C,Prediction!T$5)</f>
        <v>0</v>
      </c>
      <c r="Y50" s="25">
        <f>IFERROR(VLOOKUP($D50,Schedules!$A:$I,MATCH(Prediction!Y$6,Schedules!$A$1:$H$1,0),FALSE),0)</f>
        <v>0</v>
      </c>
      <c r="Z50" s="24">
        <f>IF(Y50=0,0,SUMIFS(Output!$L:$L,Output!$A:$A,Prediction!$A50,Output!$C:$C,Prediction!Y$5))</f>
        <v>0</v>
      </c>
      <c r="AA50" s="24">
        <f t="shared" si="13"/>
        <v>0</v>
      </c>
      <c r="AB50" s="24">
        <f t="shared" si="22"/>
        <v>0</v>
      </c>
      <c r="AC50" s="30">
        <f>SUMIFS(Output!$L:$L,Output!$A:$A,Prediction!$A50,Output!$C:$C,Prediction!Y$5)</f>
        <v>0</v>
      </c>
      <c r="AD50" s="29">
        <f>IFERROR(VLOOKUP($D50,Schedules!$A:$I,MATCH(Prediction!AD$6,Schedules!$A$1:$H$1,0),FALSE),0)</f>
        <v>0</v>
      </c>
      <c r="AE50" s="24">
        <f>IF(AD50=0,0,SUMIFS(Output!$L:$L,Output!$A:$A,Prediction!$A50,Output!$C:$C,Prediction!AD$5))</f>
        <v>0</v>
      </c>
      <c r="AF50" s="24">
        <f t="shared" si="14"/>
        <v>0</v>
      </c>
      <c r="AG50" s="24">
        <f t="shared" si="23"/>
        <v>0</v>
      </c>
      <c r="AH50" s="30">
        <f>SUMIFS(Output!$L:$L,Output!$A:$A,Prediction!$A50,Output!$C:$C,Prediction!AD$5)</f>
        <v>0</v>
      </c>
      <c r="AI50" s="29">
        <f>IFERROR(VLOOKUP($D50,Schedules!$A:$I,MATCH(Prediction!AI$6,Schedules!$A$1:$H$1,0),FALSE),0)</f>
        <v>0</v>
      </c>
      <c r="AJ50" s="24">
        <f>IF(AI50=0,0,SUMIFS(Output!$L:$L,Output!$A:$A,Prediction!$A50,Output!$C:$C,Prediction!AI$5))</f>
        <v>0</v>
      </c>
      <c r="AK50" s="24">
        <f t="shared" si="15"/>
        <v>0</v>
      </c>
      <c r="AL50" s="24">
        <f t="shared" si="24"/>
        <v>0</v>
      </c>
      <c r="AM50" s="30">
        <f>SUMIFS(Output!$L:$L,Output!$A:$A,Prediction!$A50,Output!$C:$C,Prediction!AI$5)</f>
        <v>0</v>
      </c>
      <c r="AN50">
        <f t="shared" si="25"/>
        <v>0</v>
      </c>
      <c r="AO50" s="3">
        <f t="shared" si="26"/>
        <v>0</v>
      </c>
      <c r="AP50" s="44"/>
      <c r="AQ50" s="3">
        <f t="shared" si="16"/>
        <v>0</v>
      </c>
      <c r="AR50" s="3">
        <f t="shared" si="27"/>
        <v>0</v>
      </c>
    </row>
    <row r="51" spans="1:44" x14ac:dyDescent="0.25">
      <c r="A51" s="9" t="str">
        <f t="array" ref="A51">IFERROR(INDEX(Output!A$1:A$2000,MATCH(0,COUNTIF(Prediction!$A$7:A50,Output!A$1:A$2000),0)),"")</f>
        <v/>
      </c>
      <c r="B51" t="str">
        <f>IFERROR(VLOOKUP($A51,Output!$A:$M,2,FALSE),"")</f>
        <v/>
      </c>
      <c r="C51" t="str">
        <f>IFERROR(VLOOKUP(B51,Departments!B:C,2,FALSE),"")</f>
        <v/>
      </c>
      <c r="D51" t="str">
        <f>IFERROR(VLOOKUP($A51,Output!$A:$M,13,FALSE),"")</f>
        <v/>
      </c>
      <c r="E51" s="29">
        <f>IFERROR(VLOOKUP($D51,Schedules!$A:$I,MATCH(Prediction!E$6,Schedules!$A$1:$H$1,0),FALSE),0)</f>
        <v>0</v>
      </c>
      <c r="F51" s="24">
        <f>IF(E51=0,0,SUMIFS(Output!$L:$L,Output!$A:$A,Prediction!$A51,Output!$C:$C,Prediction!E$5))</f>
        <v>0</v>
      </c>
      <c r="G51" s="24">
        <f t="shared" si="10"/>
        <v>0</v>
      </c>
      <c r="H51" s="45">
        <f t="shared" si="17"/>
        <v>0</v>
      </c>
      <c r="I51" s="30">
        <f>SUMIFS(Output!$L:$L,Output!$A:$A,Prediction!$A51,Output!$C:$C,Prediction!E$5)</f>
        <v>0</v>
      </c>
      <c r="J51" s="29">
        <f>IFERROR(VLOOKUP($D51,Schedules!$A:$I,MATCH(Prediction!J$6,Schedules!$A$1:$H$1,0),FALSE),0)</f>
        <v>0</v>
      </c>
      <c r="K51" s="24">
        <f>IF(J51=0,0,SUMIFS(Output!$L:$L,Output!$A:$A,Prediction!$A51,Output!$C:$C,Prediction!J$5))</f>
        <v>0</v>
      </c>
      <c r="L51" s="24">
        <f t="shared" si="11"/>
        <v>0</v>
      </c>
      <c r="M51" s="24">
        <f t="shared" si="18"/>
        <v>0</v>
      </c>
      <c r="N51" s="30">
        <f>SUMIFS(Output!$L:$L,Output!$A:$A,Prediction!$A51,Output!$C:$C,Prediction!J$5)</f>
        <v>0</v>
      </c>
      <c r="O51" s="29">
        <f>IFERROR(VLOOKUP($D51,Schedules!$A:$I,MATCH(Prediction!O$6,Schedules!$A$1:$H$1,0),FALSE),0)</f>
        <v>0</v>
      </c>
      <c r="P51" s="24">
        <f>IF(O51=0,0,SUMIFS(Output!$L:$L,Output!$A:$A,Prediction!$A51,Output!$C:$C,Prediction!O$5))</f>
        <v>0</v>
      </c>
      <c r="Q51" s="24">
        <f t="shared" si="12"/>
        <v>0</v>
      </c>
      <c r="R51" s="24">
        <f t="shared" si="19"/>
        <v>0</v>
      </c>
      <c r="S51" s="30">
        <f>SUMIFS(Output!$L:$L,Output!$A:$A,Prediction!$A51,Output!$C:$C,Prediction!O$5)</f>
        <v>0</v>
      </c>
      <c r="T51" s="29">
        <f>IFERROR(VLOOKUP($D51,Schedules!$A:$I,MATCH(Prediction!T$6,Schedules!$A$1:$H$1,0),FALSE),0)</f>
        <v>0</v>
      </c>
      <c r="U51" s="24">
        <f>IF(T51=0,0,SUMIFS(Output!$L:$L,Output!$A:$A,Prediction!$A51,Output!$C:$C,Prediction!T$5))</f>
        <v>0</v>
      </c>
      <c r="V51" s="24">
        <f t="shared" si="20"/>
        <v>0</v>
      </c>
      <c r="W51" s="24">
        <f t="shared" si="21"/>
        <v>0</v>
      </c>
      <c r="X51" s="30">
        <f>SUMIFS(Output!$L:$L,Output!$A:$A,Prediction!$A51,Output!$C:$C,Prediction!T$5)</f>
        <v>0</v>
      </c>
      <c r="Y51" s="25">
        <f>IFERROR(VLOOKUP($D51,Schedules!$A:$I,MATCH(Prediction!Y$6,Schedules!$A$1:$H$1,0),FALSE),0)</f>
        <v>0</v>
      </c>
      <c r="Z51" s="24">
        <f>IF(Y51=0,0,SUMIFS(Output!$L:$L,Output!$A:$A,Prediction!$A51,Output!$C:$C,Prediction!Y$5))</f>
        <v>0</v>
      </c>
      <c r="AA51" s="24">
        <f t="shared" si="13"/>
        <v>0</v>
      </c>
      <c r="AB51" s="24">
        <f t="shared" si="22"/>
        <v>0</v>
      </c>
      <c r="AC51" s="30">
        <f>SUMIFS(Output!$L:$L,Output!$A:$A,Prediction!$A51,Output!$C:$C,Prediction!Y$5)</f>
        <v>0</v>
      </c>
      <c r="AD51" s="29">
        <f>IFERROR(VLOOKUP($D51,Schedules!$A:$I,MATCH(Prediction!AD$6,Schedules!$A$1:$H$1,0),FALSE),0)</f>
        <v>0</v>
      </c>
      <c r="AE51" s="24">
        <f>IF(AD51=0,0,SUMIFS(Output!$L:$L,Output!$A:$A,Prediction!$A51,Output!$C:$C,Prediction!AD$5))</f>
        <v>0</v>
      </c>
      <c r="AF51" s="24">
        <f t="shared" si="14"/>
        <v>0</v>
      </c>
      <c r="AG51" s="24">
        <f t="shared" si="23"/>
        <v>0</v>
      </c>
      <c r="AH51" s="30">
        <f>SUMIFS(Output!$L:$L,Output!$A:$A,Prediction!$A51,Output!$C:$C,Prediction!AD$5)</f>
        <v>0</v>
      </c>
      <c r="AI51" s="29">
        <f>IFERROR(VLOOKUP($D51,Schedules!$A:$I,MATCH(Prediction!AI$6,Schedules!$A$1:$H$1,0),FALSE),0)</f>
        <v>0</v>
      </c>
      <c r="AJ51" s="24">
        <f>IF(AI51=0,0,SUMIFS(Output!$L:$L,Output!$A:$A,Prediction!$A51,Output!$C:$C,Prediction!AI$5))</f>
        <v>0</v>
      </c>
      <c r="AK51" s="24">
        <f t="shared" si="15"/>
        <v>0</v>
      </c>
      <c r="AL51" s="24">
        <f t="shared" si="24"/>
        <v>0</v>
      </c>
      <c r="AM51" s="30">
        <f>SUMIFS(Output!$L:$L,Output!$A:$A,Prediction!$A51,Output!$C:$C,Prediction!AI$5)</f>
        <v>0</v>
      </c>
      <c r="AN51">
        <f t="shared" si="25"/>
        <v>0</v>
      </c>
      <c r="AO51" s="3">
        <f t="shared" si="26"/>
        <v>0</v>
      </c>
      <c r="AP51" s="44"/>
      <c r="AQ51" s="3">
        <f t="shared" si="16"/>
        <v>0</v>
      </c>
      <c r="AR51" s="3">
        <f t="shared" si="27"/>
        <v>0</v>
      </c>
    </row>
    <row r="52" spans="1:44" x14ac:dyDescent="0.25">
      <c r="A52" s="9" t="str">
        <f t="array" ref="A52">IFERROR(INDEX(Output!A$1:A$2000,MATCH(0,COUNTIF(Prediction!$A$7:A51,Output!A$1:A$2000),0)),"")</f>
        <v/>
      </c>
      <c r="B52" t="str">
        <f>IFERROR(VLOOKUP($A52,Output!$A:$M,2,FALSE),"")</f>
        <v/>
      </c>
      <c r="C52" t="str">
        <f>IFERROR(VLOOKUP(B52,Departments!B:C,2,FALSE),"")</f>
        <v/>
      </c>
      <c r="D52" t="str">
        <f>IFERROR(VLOOKUP($A52,Output!$A:$M,13,FALSE),"")</f>
        <v/>
      </c>
      <c r="E52" s="29">
        <f>IFERROR(VLOOKUP($D52,Schedules!$A:$I,MATCH(Prediction!E$6,Schedules!$A$1:$H$1,0),FALSE),0)</f>
        <v>0</v>
      </c>
      <c r="F52" s="24">
        <f>IF(E52=0,0,SUMIFS(Output!$L:$L,Output!$A:$A,Prediction!$A52,Output!$C:$C,Prediction!E$5))</f>
        <v>0</v>
      </c>
      <c r="G52" s="24">
        <f t="shared" si="10"/>
        <v>0</v>
      </c>
      <c r="H52" s="45">
        <f t="shared" si="17"/>
        <v>0</v>
      </c>
      <c r="I52" s="30">
        <f>SUMIFS(Output!$L:$L,Output!$A:$A,Prediction!$A52,Output!$C:$C,Prediction!E$5)</f>
        <v>0</v>
      </c>
      <c r="J52" s="29">
        <f>IFERROR(VLOOKUP($D52,Schedules!$A:$I,MATCH(Prediction!J$6,Schedules!$A$1:$H$1,0),FALSE),0)</f>
        <v>0</v>
      </c>
      <c r="K52" s="24">
        <f>IF(J52=0,0,SUMIFS(Output!$L:$L,Output!$A:$A,Prediction!$A52,Output!$C:$C,Prediction!J$5))</f>
        <v>0</v>
      </c>
      <c r="L52" s="24">
        <f t="shared" si="11"/>
        <v>0</v>
      </c>
      <c r="M52" s="24">
        <f t="shared" si="18"/>
        <v>0</v>
      </c>
      <c r="N52" s="30">
        <f>SUMIFS(Output!$L:$L,Output!$A:$A,Prediction!$A52,Output!$C:$C,Prediction!J$5)</f>
        <v>0</v>
      </c>
      <c r="O52" s="29">
        <f>IFERROR(VLOOKUP($D52,Schedules!$A:$I,MATCH(Prediction!O$6,Schedules!$A$1:$H$1,0),FALSE),0)</f>
        <v>0</v>
      </c>
      <c r="P52" s="24">
        <f>IF(O52=0,0,SUMIFS(Output!$L:$L,Output!$A:$A,Prediction!$A52,Output!$C:$C,Prediction!O$5))</f>
        <v>0</v>
      </c>
      <c r="Q52" s="24">
        <f t="shared" si="12"/>
        <v>0</v>
      </c>
      <c r="R52" s="24">
        <f t="shared" si="19"/>
        <v>0</v>
      </c>
      <c r="S52" s="30">
        <f>SUMIFS(Output!$L:$L,Output!$A:$A,Prediction!$A52,Output!$C:$C,Prediction!O$5)</f>
        <v>0</v>
      </c>
      <c r="T52" s="29">
        <f>IFERROR(VLOOKUP($D52,Schedules!$A:$I,MATCH(Prediction!T$6,Schedules!$A$1:$H$1,0),FALSE),0)</f>
        <v>0</v>
      </c>
      <c r="U52" s="24">
        <f>IF(T52=0,0,SUMIFS(Output!$L:$L,Output!$A:$A,Prediction!$A52,Output!$C:$C,Prediction!T$5))</f>
        <v>0</v>
      </c>
      <c r="V52" s="24">
        <f t="shared" si="20"/>
        <v>0</v>
      </c>
      <c r="W52" s="24">
        <f t="shared" si="21"/>
        <v>0</v>
      </c>
      <c r="X52" s="30">
        <f>SUMIFS(Output!$L:$L,Output!$A:$A,Prediction!$A52,Output!$C:$C,Prediction!T$5)</f>
        <v>0</v>
      </c>
      <c r="Y52" s="25">
        <f>IFERROR(VLOOKUP($D52,Schedules!$A:$I,MATCH(Prediction!Y$6,Schedules!$A$1:$H$1,0),FALSE),0)</f>
        <v>0</v>
      </c>
      <c r="Z52" s="24">
        <f>IF(Y52=0,0,SUMIFS(Output!$L:$L,Output!$A:$A,Prediction!$A52,Output!$C:$C,Prediction!Y$5))</f>
        <v>0</v>
      </c>
      <c r="AA52" s="24">
        <f t="shared" si="13"/>
        <v>0</v>
      </c>
      <c r="AB52" s="24">
        <f t="shared" si="22"/>
        <v>0</v>
      </c>
      <c r="AC52" s="30">
        <f>SUMIFS(Output!$L:$L,Output!$A:$A,Prediction!$A52,Output!$C:$C,Prediction!Y$5)</f>
        <v>0</v>
      </c>
      <c r="AD52" s="29">
        <f>IFERROR(VLOOKUP($D52,Schedules!$A:$I,MATCH(Prediction!AD$6,Schedules!$A$1:$H$1,0),FALSE),0)</f>
        <v>0</v>
      </c>
      <c r="AE52" s="24">
        <f>IF(AD52=0,0,SUMIFS(Output!$L:$L,Output!$A:$A,Prediction!$A52,Output!$C:$C,Prediction!AD$5))</f>
        <v>0</v>
      </c>
      <c r="AF52" s="24">
        <f t="shared" si="14"/>
        <v>0</v>
      </c>
      <c r="AG52" s="24">
        <f t="shared" si="23"/>
        <v>0</v>
      </c>
      <c r="AH52" s="30">
        <f>SUMIFS(Output!$L:$L,Output!$A:$A,Prediction!$A52,Output!$C:$C,Prediction!AD$5)</f>
        <v>0</v>
      </c>
      <c r="AI52" s="29">
        <f>IFERROR(VLOOKUP($D52,Schedules!$A:$I,MATCH(Prediction!AI$6,Schedules!$A$1:$H$1,0),FALSE),0)</f>
        <v>0</v>
      </c>
      <c r="AJ52" s="24">
        <f>IF(AI52=0,0,SUMIFS(Output!$L:$L,Output!$A:$A,Prediction!$A52,Output!$C:$C,Prediction!AI$5))</f>
        <v>0</v>
      </c>
      <c r="AK52" s="24">
        <f t="shared" si="15"/>
        <v>0</v>
      </c>
      <c r="AL52" s="24">
        <f t="shared" si="24"/>
        <v>0</v>
      </c>
      <c r="AM52" s="30">
        <f>SUMIFS(Output!$L:$L,Output!$A:$A,Prediction!$A52,Output!$C:$C,Prediction!AI$5)</f>
        <v>0</v>
      </c>
      <c r="AN52">
        <f t="shared" si="25"/>
        <v>0</v>
      </c>
      <c r="AO52" s="3">
        <f t="shared" si="26"/>
        <v>0</v>
      </c>
      <c r="AP52" s="44"/>
      <c r="AQ52" s="3">
        <f t="shared" si="16"/>
        <v>0</v>
      </c>
      <c r="AR52" s="3">
        <f t="shared" si="27"/>
        <v>0</v>
      </c>
    </row>
    <row r="53" spans="1:44" x14ac:dyDescent="0.25">
      <c r="A53" s="9" t="str">
        <f t="array" ref="A53">IFERROR(INDEX(Output!A$1:A$2000,MATCH(0,COUNTIF(Prediction!$A$7:A52,Output!A$1:A$2000),0)),"")</f>
        <v/>
      </c>
      <c r="B53" t="str">
        <f>IFERROR(VLOOKUP($A53,Output!$A:$M,2,FALSE),"")</f>
        <v/>
      </c>
      <c r="C53" t="str">
        <f>IFERROR(VLOOKUP(B53,Departments!B:C,2,FALSE),"")</f>
        <v/>
      </c>
      <c r="D53" t="str">
        <f>IFERROR(VLOOKUP($A53,Output!$A:$M,13,FALSE),"")</f>
        <v/>
      </c>
      <c r="E53" s="29">
        <f>IFERROR(VLOOKUP($D53,Schedules!$A:$I,MATCH(Prediction!E$6,Schedules!$A$1:$H$1,0),FALSE),0)</f>
        <v>0</v>
      </c>
      <c r="F53" s="24">
        <f>IF(E53=0,0,SUMIFS(Output!$L:$L,Output!$A:$A,Prediction!$A53,Output!$C:$C,Prediction!E$5))</f>
        <v>0</v>
      </c>
      <c r="G53" s="24">
        <f t="shared" si="10"/>
        <v>0</v>
      </c>
      <c r="H53" s="45">
        <f t="shared" si="17"/>
        <v>0</v>
      </c>
      <c r="I53" s="30">
        <f>SUMIFS(Output!$L:$L,Output!$A:$A,Prediction!$A53,Output!$C:$C,Prediction!E$5)</f>
        <v>0</v>
      </c>
      <c r="J53" s="29">
        <f>IFERROR(VLOOKUP($D53,Schedules!$A:$I,MATCH(Prediction!J$6,Schedules!$A$1:$H$1,0),FALSE),0)</f>
        <v>0</v>
      </c>
      <c r="K53" s="24">
        <f>IF(J53=0,0,SUMIFS(Output!$L:$L,Output!$A:$A,Prediction!$A53,Output!$C:$C,Prediction!J$5))</f>
        <v>0</v>
      </c>
      <c r="L53" s="24">
        <f t="shared" si="11"/>
        <v>0</v>
      </c>
      <c r="M53" s="24">
        <f t="shared" si="18"/>
        <v>0</v>
      </c>
      <c r="N53" s="30">
        <f>SUMIFS(Output!$L:$L,Output!$A:$A,Prediction!$A53,Output!$C:$C,Prediction!J$5)</f>
        <v>0</v>
      </c>
      <c r="O53" s="29">
        <f>IFERROR(VLOOKUP($D53,Schedules!$A:$I,MATCH(Prediction!O$6,Schedules!$A$1:$H$1,0),FALSE),0)</f>
        <v>0</v>
      </c>
      <c r="P53" s="24">
        <f>IF(O53=0,0,SUMIFS(Output!$L:$L,Output!$A:$A,Prediction!$A53,Output!$C:$C,Prediction!O$5))</f>
        <v>0</v>
      </c>
      <c r="Q53" s="24">
        <f t="shared" si="12"/>
        <v>0</v>
      </c>
      <c r="R53" s="24">
        <f t="shared" si="19"/>
        <v>0</v>
      </c>
      <c r="S53" s="30">
        <f>SUMIFS(Output!$L:$L,Output!$A:$A,Prediction!$A53,Output!$C:$C,Prediction!O$5)</f>
        <v>0</v>
      </c>
      <c r="T53" s="29">
        <f>IFERROR(VLOOKUP($D53,Schedules!$A:$I,MATCH(Prediction!T$6,Schedules!$A$1:$H$1,0),FALSE),0)</f>
        <v>0</v>
      </c>
      <c r="U53" s="24">
        <f>IF(T53=0,0,SUMIFS(Output!$L:$L,Output!$A:$A,Prediction!$A53,Output!$C:$C,Prediction!T$5))</f>
        <v>0</v>
      </c>
      <c r="V53" s="24">
        <f t="shared" si="20"/>
        <v>0</v>
      </c>
      <c r="W53" s="24">
        <f t="shared" si="21"/>
        <v>0</v>
      </c>
      <c r="X53" s="30">
        <f>SUMIFS(Output!$L:$L,Output!$A:$A,Prediction!$A53,Output!$C:$C,Prediction!T$5)</f>
        <v>0</v>
      </c>
      <c r="Y53" s="25">
        <f>IFERROR(VLOOKUP($D53,Schedules!$A:$I,MATCH(Prediction!Y$6,Schedules!$A$1:$H$1,0),FALSE),0)</f>
        <v>0</v>
      </c>
      <c r="Z53" s="24">
        <f>IF(Y53=0,0,SUMIFS(Output!$L:$L,Output!$A:$A,Prediction!$A53,Output!$C:$C,Prediction!Y$5))</f>
        <v>0</v>
      </c>
      <c r="AA53" s="24">
        <f t="shared" si="13"/>
        <v>0</v>
      </c>
      <c r="AB53" s="24">
        <f t="shared" si="22"/>
        <v>0</v>
      </c>
      <c r="AC53" s="30">
        <f>SUMIFS(Output!$L:$L,Output!$A:$A,Prediction!$A53,Output!$C:$C,Prediction!Y$5)</f>
        <v>0</v>
      </c>
      <c r="AD53" s="29">
        <f>IFERROR(VLOOKUP($D53,Schedules!$A:$I,MATCH(Prediction!AD$6,Schedules!$A$1:$H$1,0),FALSE),0)</f>
        <v>0</v>
      </c>
      <c r="AE53" s="24">
        <f>IF(AD53=0,0,SUMIFS(Output!$L:$L,Output!$A:$A,Prediction!$A53,Output!$C:$C,Prediction!AD$5))</f>
        <v>0</v>
      </c>
      <c r="AF53" s="24">
        <f t="shared" si="14"/>
        <v>0</v>
      </c>
      <c r="AG53" s="24">
        <f t="shared" si="23"/>
        <v>0</v>
      </c>
      <c r="AH53" s="30">
        <f>SUMIFS(Output!$L:$L,Output!$A:$A,Prediction!$A53,Output!$C:$C,Prediction!AD$5)</f>
        <v>0</v>
      </c>
      <c r="AI53" s="29">
        <f>IFERROR(VLOOKUP($D53,Schedules!$A:$I,MATCH(Prediction!AI$6,Schedules!$A$1:$H$1,0),FALSE),0)</f>
        <v>0</v>
      </c>
      <c r="AJ53" s="24">
        <f>IF(AI53=0,0,SUMIFS(Output!$L:$L,Output!$A:$A,Prediction!$A53,Output!$C:$C,Prediction!AI$5))</f>
        <v>0</v>
      </c>
      <c r="AK53" s="24">
        <f t="shared" si="15"/>
        <v>0</v>
      </c>
      <c r="AL53" s="24">
        <f t="shared" si="24"/>
        <v>0</v>
      </c>
      <c r="AM53" s="30">
        <f>SUMIFS(Output!$L:$L,Output!$A:$A,Prediction!$A53,Output!$C:$C,Prediction!AI$5)</f>
        <v>0</v>
      </c>
      <c r="AN53">
        <f t="shared" si="25"/>
        <v>0</v>
      </c>
      <c r="AO53" s="3">
        <f t="shared" si="26"/>
        <v>0</v>
      </c>
      <c r="AP53" s="44"/>
      <c r="AQ53" s="3">
        <f t="shared" si="16"/>
        <v>0</v>
      </c>
      <c r="AR53" s="3">
        <f t="shared" si="27"/>
        <v>0</v>
      </c>
    </row>
    <row r="54" spans="1:44" x14ac:dyDescent="0.25">
      <c r="A54" s="9" t="str">
        <f t="array" ref="A54">IFERROR(INDEX(Output!A$1:A$2000,MATCH(0,COUNTIF(Prediction!$A$7:A53,Output!A$1:A$2000),0)),"")</f>
        <v/>
      </c>
      <c r="B54" t="str">
        <f>IFERROR(VLOOKUP($A54,Output!$A:$M,2,FALSE),"")</f>
        <v/>
      </c>
      <c r="C54" t="str">
        <f>IFERROR(VLOOKUP(B54,Departments!B:C,2,FALSE),"")</f>
        <v/>
      </c>
      <c r="D54" t="str">
        <f>IFERROR(VLOOKUP($A54,Output!$A:$M,13,FALSE),"")</f>
        <v/>
      </c>
      <c r="E54" s="29">
        <f>IFERROR(VLOOKUP($D54,Schedules!$A:$I,MATCH(Prediction!E$6,Schedules!$A$1:$H$1,0),FALSE),0)</f>
        <v>0</v>
      </c>
      <c r="F54" s="24">
        <f>IF(E54=0,0,SUMIFS(Output!$L:$L,Output!$A:$A,Prediction!$A54,Output!$C:$C,Prediction!E$5))</f>
        <v>0</v>
      </c>
      <c r="G54" s="24">
        <f t="shared" si="10"/>
        <v>0</v>
      </c>
      <c r="H54" s="45">
        <f t="shared" si="17"/>
        <v>0</v>
      </c>
      <c r="I54" s="30">
        <f>SUMIFS(Output!$L:$L,Output!$A:$A,Prediction!$A54,Output!$C:$C,Prediction!E$5)</f>
        <v>0</v>
      </c>
      <c r="J54" s="29">
        <f>IFERROR(VLOOKUP($D54,Schedules!$A:$I,MATCH(Prediction!J$6,Schedules!$A$1:$H$1,0),FALSE),0)</f>
        <v>0</v>
      </c>
      <c r="K54" s="24">
        <f>IF(J54=0,0,SUMIFS(Output!$L:$L,Output!$A:$A,Prediction!$A54,Output!$C:$C,Prediction!J$5))</f>
        <v>0</v>
      </c>
      <c r="L54" s="24">
        <f t="shared" si="11"/>
        <v>0</v>
      </c>
      <c r="M54" s="24">
        <f t="shared" si="18"/>
        <v>0</v>
      </c>
      <c r="N54" s="30">
        <f>SUMIFS(Output!$L:$L,Output!$A:$A,Prediction!$A54,Output!$C:$C,Prediction!J$5)</f>
        <v>0</v>
      </c>
      <c r="O54" s="29">
        <f>IFERROR(VLOOKUP($D54,Schedules!$A:$I,MATCH(Prediction!O$6,Schedules!$A$1:$H$1,0),FALSE),0)</f>
        <v>0</v>
      </c>
      <c r="P54" s="24">
        <f>IF(O54=0,0,SUMIFS(Output!$L:$L,Output!$A:$A,Prediction!$A54,Output!$C:$C,Prediction!O$5))</f>
        <v>0</v>
      </c>
      <c r="Q54" s="24">
        <f t="shared" si="12"/>
        <v>0</v>
      </c>
      <c r="R54" s="24">
        <f t="shared" si="19"/>
        <v>0</v>
      </c>
      <c r="S54" s="30">
        <f>SUMIFS(Output!$L:$L,Output!$A:$A,Prediction!$A54,Output!$C:$C,Prediction!O$5)</f>
        <v>0</v>
      </c>
      <c r="T54" s="29">
        <f>IFERROR(VLOOKUP($D54,Schedules!$A:$I,MATCH(Prediction!T$6,Schedules!$A$1:$H$1,0),FALSE),0)</f>
        <v>0</v>
      </c>
      <c r="U54" s="24">
        <f>IF(T54=0,0,SUMIFS(Output!$L:$L,Output!$A:$A,Prediction!$A54,Output!$C:$C,Prediction!T$5))</f>
        <v>0</v>
      </c>
      <c r="V54" s="24">
        <f t="shared" si="20"/>
        <v>0</v>
      </c>
      <c r="W54" s="24">
        <f t="shared" si="21"/>
        <v>0</v>
      </c>
      <c r="X54" s="30">
        <f>SUMIFS(Output!$L:$L,Output!$A:$A,Prediction!$A54,Output!$C:$C,Prediction!T$5)</f>
        <v>0</v>
      </c>
      <c r="Y54" s="25">
        <f>IFERROR(VLOOKUP($D54,Schedules!$A:$I,MATCH(Prediction!Y$6,Schedules!$A$1:$H$1,0),FALSE),0)</f>
        <v>0</v>
      </c>
      <c r="Z54" s="24">
        <f>IF(Y54=0,0,SUMIFS(Output!$L:$L,Output!$A:$A,Prediction!$A54,Output!$C:$C,Prediction!Y$5))</f>
        <v>0</v>
      </c>
      <c r="AA54" s="24">
        <f t="shared" si="13"/>
        <v>0</v>
      </c>
      <c r="AB54" s="24">
        <f t="shared" si="22"/>
        <v>0</v>
      </c>
      <c r="AC54" s="30">
        <f>SUMIFS(Output!$L:$L,Output!$A:$A,Prediction!$A54,Output!$C:$C,Prediction!Y$5)</f>
        <v>0</v>
      </c>
      <c r="AD54" s="29">
        <f>IFERROR(VLOOKUP($D54,Schedules!$A:$I,MATCH(Prediction!AD$6,Schedules!$A$1:$H$1,0),FALSE),0)</f>
        <v>0</v>
      </c>
      <c r="AE54" s="24">
        <f>IF(AD54=0,0,SUMIFS(Output!$L:$L,Output!$A:$A,Prediction!$A54,Output!$C:$C,Prediction!AD$5))</f>
        <v>0</v>
      </c>
      <c r="AF54" s="24">
        <f t="shared" si="14"/>
        <v>0</v>
      </c>
      <c r="AG54" s="24">
        <f t="shared" si="23"/>
        <v>0</v>
      </c>
      <c r="AH54" s="30">
        <f>SUMIFS(Output!$L:$L,Output!$A:$A,Prediction!$A54,Output!$C:$C,Prediction!AD$5)</f>
        <v>0</v>
      </c>
      <c r="AI54" s="29">
        <f>IFERROR(VLOOKUP($D54,Schedules!$A:$I,MATCH(Prediction!AI$6,Schedules!$A$1:$H$1,0),FALSE),0)</f>
        <v>0</v>
      </c>
      <c r="AJ54" s="24">
        <f>IF(AI54=0,0,SUMIFS(Output!$L:$L,Output!$A:$A,Prediction!$A54,Output!$C:$C,Prediction!AI$5))</f>
        <v>0</v>
      </c>
      <c r="AK54" s="24">
        <f t="shared" si="15"/>
        <v>0</v>
      </c>
      <c r="AL54" s="24">
        <f t="shared" si="24"/>
        <v>0</v>
      </c>
      <c r="AM54" s="30">
        <f>SUMIFS(Output!$L:$L,Output!$A:$A,Prediction!$A54,Output!$C:$C,Prediction!AI$5)</f>
        <v>0</v>
      </c>
      <c r="AN54">
        <f t="shared" si="25"/>
        <v>0</v>
      </c>
      <c r="AO54" s="3">
        <f t="shared" si="26"/>
        <v>0</v>
      </c>
      <c r="AP54" s="44"/>
      <c r="AQ54" s="3">
        <f t="shared" si="16"/>
        <v>0</v>
      </c>
      <c r="AR54" s="3">
        <f t="shared" si="27"/>
        <v>0</v>
      </c>
    </row>
    <row r="55" spans="1:44" x14ac:dyDescent="0.25">
      <c r="A55" s="9" t="str">
        <f t="array" ref="A55">IFERROR(INDEX(Output!A$1:A$2000,MATCH(0,COUNTIF(Prediction!$A$7:A54,Output!A$1:A$2000),0)),"")</f>
        <v/>
      </c>
      <c r="B55" t="str">
        <f>IFERROR(VLOOKUP($A55,Output!$A:$M,2,FALSE),"")</f>
        <v/>
      </c>
      <c r="C55" t="str">
        <f>IFERROR(VLOOKUP(B55,Departments!B:C,2,FALSE),"")</f>
        <v/>
      </c>
      <c r="D55" t="str">
        <f>IFERROR(VLOOKUP($A55,Output!$A:$M,13,FALSE),"")</f>
        <v/>
      </c>
      <c r="E55" s="29">
        <f>IFERROR(VLOOKUP($D55,Schedules!$A:$I,MATCH(Prediction!E$6,Schedules!$A$1:$H$1,0),FALSE),0)</f>
        <v>0</v>
      </c>
      <c r="F55" s="24">
        <f>IF(E55=0,0,SUMIFS(Output!$L:$L,Output!$A:$A,Prediction!$A55,Output!$C:$C,Prediction!E$5))</f>
        <v>0</v>
      </c>
      <c r="G55" s="24">
        <f t="shared" si="10"/>
        <v>0</v>
      </c>
      <c r="H55" s="45">
        <f t="shared" si="17"/>
        <v>0</v>
      </c>
      <c r="I55" s="30">
        <f>SUMIFS(Output!$L:$L,Output!$A:$A,Prediction!$A55,Output!$C:$C,Prediction!E$5)</f>
        <v>0</v>
      </c>
      <c r="J55" s="29">
        <f>IFERROR(VLOOKUP($D55,Schedules!$A:$I,MATCH(Prediction!J$6,Schedules!$A$1:$H$1,0),FALSE),0)</f>
        <v>0</v>
      </c>
      <c r="K55" s="24">
        <f>IF(J55=0,0,SUMIFS(Output!$L:$L,Output!$A:$A,Prediction!$A55,Output!$C:$C,Prediction!J$5))</f>
        <v>0</v>
      </c>
      <c r="L55" s="24">
        <f t="shared" si="11"/>
        <v>0</v>
      </c>
      <c r="M55" s="24">
        <f t="shared" si="18"/>
        <v>0</v>
      </c>
      <c r="N55" s="30">
        <f>SUMIFS(Output!$L:$L,Output!$A:$A,Prediction!$A55,Output!$C:$C,Prediction!J$5)</f>
        <v>0</v>
      </c>
      <c r="O55" s="29">
        <f>IFERROR(VLOOKUP($D55,Schedules!$A:$I,MATCH(Prediction!O$6,Schedules!$A$1:$H$1,0),FALSE),0)</f>
        <v>0</v>
      </c>
      <c r="P55" s="24">
        <f>IF(O55=0,0,SUMIFS(Output!$L:$L,Output!$A:$A,Prediction!$A55,Output!$C:$C,Prediction!O$5))</f>
        <v>0</v>
      </c>
      <c r="Q55" s="24">
        <f t="shared" si="12"/>
        <v>0</v>
      </c>
      <c r="R55" s="24">
        <f t="shared" si="19"/>
        <v>0</v>
      </c>
      <c r="S55" s="30">
        <f>SUMIFS(Output!$L:$L,Output!$A:$A,Prediction!$A55,Output!$C:$C,Prediction!O$5)</f>
        <v>0</v>
      </c>
      <c r="T55" s="29">
        <f>IFERROR(VLOOKUP($D55,Schedules!$A:$I,MATCH(Prediction!T$6,Schedules!$A$1:$H$1,0),FALSE),0)</f>
        <v>0</v>
      </c>
      <c r="U55" s="24">
        <f>IF(T55=0,0,SUMIFS(Output!$L:$L,Output!$A:$A,Prediction!$A55,Output!$C:$C,Prediction!T$5))</f>
        <v>0</v>
      </c>
      <c r="V55" s="24">
        <f t="shared" si="20"/>
        <v>0</v>
      </c>
      <c r="W55" s="24">
        <f t="shared" si="21"/>
        <v>0</v>
      </c>
      <c r="X55" s="30">
        <f>SUMIFS(Output!$L:$L,Output!$A:$A,Prediction!$A55,Output!$C:$C,Prediction!T$5)</f>
        <v>0</v>
      </c>
      <c r="Y55" s="25">
        <f>IFERROR(VLOOKUP($D55,Schedules!$A:$I,MATCH(Prediction!Y$6,Schedules!$A$1:$H$1,0),FALSE),0)</f>
        <v>0</v>
      </c>
      <c r="Z55" s="24">
        <f>IF(Y55=0,0,SUMIFS(Output!$L:$L,Output!$A:$A,Prediction!$A55,Output!$C:$C,Prediction!Y$5))</f>
        <v>0</v>
      </c>
      <c r="AA55" s="24">
        <f t="shared" si="13"/>
        <v>0</v>
      </c>
      <c r="AB55" s="24">
        <f t="shared" si="22"/>
        <v>0</v>
      </c>
      <c r="AC55" s="30">
        <f>SUMIFS(Output!$L:$L,Output!$A:$A,Prediction!$A55,Output!$C:$C,Prediction!Y$5)</f>
        <v>0</v>
      </c>
      <c r="AD55" s="29">
        <f>IFERROR(VLOOKUP($D55,Schedules!$A:$I,MATCH(Prediction!AD$6,Schedules!$A$1:$H$1,0),FALSE),0)</f>
        <v>0</v>
      </c>
      <c r="AE55" s="24">
        <f>IF(AD55=0,0,SUMIFS(Output!$L:$L,Output!$A:$A,Prediction!$A55,Output!$C:$C,Prediction!AD$5))</f>
        <v>0</v>
      </c>
      <c r="AF55" s="24">
        <f t="shared" si="14"/>
        <v>0</v>
      </c>
      <c r="AG55" s="24">
        <f t="shared" si="23"/>
        <v>0</v>
      </c>
      <c r="AH55" s="30">
        <f>SUMIFS(Output!$L:$L,Output!$A:$A,Prediction!$A55,Output!$C:$C,Prediction!AD$5)</f>
        <v>0</v>
      </c>
      <c r="AI55" s="29">
        <f>IFERROR(VLOOKUP($D55,Schedules!$A:$I,MATCH(Prediction!AI$6,Schedules!$A$1:$H$1,0),FALSE),0)</f>
        <v>0</v>
      </c>
      <c r="AJ55" s="24">
        <f>IF(AI55=0,0,SUMIFS(Output!$L:$L,Output!$A:$A,Prediction!$A55,Output!$C:$C,Prediction!AI$5))</f>
        <v>0</v>
      </c>
      <c r="AK55" s="24">
        <f t="shared" si="15"/>
        <v>0</v>
      </c>
      <c r="AL55" s="24">
        <f t="shared" si="24"/>
        <v>0</v>
      </c>
      <c r="AM55" s="30">
        <f>SUMIFS(Output!$L:$L,Output!$A:$A,Prediction!$A55,Output!$C:$C,Prediction!AI$5)</f>
        <v>0</v>
      </c>
      <c r="AN55">
        <f t="shared" si="25"/>
        <v>0</v>
      </c>
      <c r="AO55" s="3">
        <f t="shared" si="26"/>
        <v>0</v>
      </c>
      <c r="AP55" s="44"/>
      <c r="AQ55" s="3">
        <f t="shared" si="16"/>
        <v>0</v>
      </c>
      <c r="AR55" s="3">
        <f t="shared" si="27"/>
        <v>0</v>
      </c>
    </row>
    <row r="56" spans="1:44" x14ac:dyDescent="0.25">
      <c r="A56" s="9" t="str">
        <f t="array" ref="A56">IFERROR(INDEX(Output!A$1:A$2000,MATCH(0,COUNTIF(Prediction!$A$7:A55,Output!A$1:A$2000),0)),"")</f>
        <v/>
      </c>
      <c r="B56" t="str">
        <f>IFERROR(VLOOKUP($A56,Output!$A:$M,2,FALSE),"")</f>
        <v/>
      </c>
      <c r="C56" t="str">
        <f>IFERROR(VLOOKUP(B56,Departments!B:C,2,FALSE),"")</f>
        <v/>
      </c>
      <c r="D56" t="str">
        <f>IFERROR(VLOOKUP($A56,Output!$A:$M,13,FALSE),"")</f>
        <v/>
      </c>
      <c r="E56" s="29">
        <f>IFERROR(VLOOKUP($D56,Schedules!$A:$I,MATCH(Prediction!E$6,Schedules!$A$1:$H$1,0),FALSE),0)</f>
        <v>0</v>
      </c>
      <c r="F56" s="24">
        <f>IF(E56=0,0,SUMIFS(Output!$L:$L,Output!$A:$A,Prediction!$A56,Output!$C:$C,Prediction!E$5))</f>
        <v>0</v>
      </c>
      <c r="G56" s="24">
        <f t="shared" si="10"/>
        <v>0</v>
      </c>
      <c r="H56" s="45">
        <f t="shared" si="17"/>
        <v>0</v>
      </c>
      <c r="I56" s="30">
        <f>SUMIFS(Output!$L:$L,Output!$A:$A,Prediction!$A56,Output!$C:$C,Prediction!E$5)</f>
        <v>0</v>
      </c>
      <c r="J56" s="29">
        <f>IFERROR(VLOOKUP($D56,Schedules!$A:$I,MATCH(Prediction!J$6,Schedules!$A$1:$H$1,0),FALSE),0)</f>
        <v>0</v>
      </c>
      <c r="K56" s="24">
        <f>IF(J56=0,0,SUMIFS(Output!$L:$L,Output!$A:$A,Prediction!$A56,Output!$C:$C,Prediction!J$5))</f>
        <v>0</v>
      </c>
      <c r="L56" s="24">
        <f t="shared" si="11"/>
        <v>0</v>
      </c>
      <c r="M56" s="24">
        <f t="shared" si="18"/>
        <v>0</v>
      </c>
      <c r="N56" s="30">
        <f>SUMIFS(Output!$L:$L,Output!$A:$A,Prediction!$A56,Output!$C:$C,Prediction!J$5)</f>
        <v>0</v>
      </c>
      <c r="O56" s="29">
        <f>IFERROR(VLOOKUP($D56,Schedules!$A:$I,MATCH(Prediction!O$6,Schedules!$A$1:$H$1,0),FALSE),0)</f>
        <v>0</v>
      </c>
      <c r="P56" s="24">
        <f>IF(O56=0,0,SUMIFS(Output!$L:$L,Output!$A:$A,Prediction!$A56,Output!$C:$C,Prediction!O$5))</f>
        <v>0</v>
      </c>
      <c r="Q56" s="24">
        <f t="shared" si="12"/>
        <v>0</v>
      </c>
      <c r="R56" s="24">
        <f t="shared" si="19"/>
        <v>0</v>
      </c>
      <c r="S56" s="30">
        <f>SUMIFS(Output!$L:$L,Output!$A:$A,Prediction!$A56,Output!$C:$C,Prediction!O$5)</f>
        <v>0</v>
      </c>
      <c r="T56" s="29">
        <f>IFERROR(VLOOKUP($D56,Schedules!$A:$I,MATCH(Prediction!T$6,Schedules!$A$1:$H$1,0),FALSE),0)</f>
        <v>0</v>
      </c>
      <c r="U56" s="24">
        <f>IF(T56=0,0,SUMIFS(Output!$L:$L,Output!$A:$A,Prediction!$A56,Output!$C:$C,Prediction!T$5))</f>
        <v>0</v>
      </c>
      <c r="V56" s="24">
        <f t="shared" si="20"/>
        <v>0</v>
      </c>
      <c r="W56" s="24">
        <f t="shared" si="21"/>
        <v>0</v>
      </c>
      <c r="X56" s="30">
        <f>SUMIFS(Output!$L:$L,Output!$A:$A,Prediction!$A56,Output!$C:$C,Prediction!T$5)</f>
        <v>0</v>
      </c>
      <c r="Y56" s="25">
        <f>IFERROR(VLOOKUP($D56,Schedules!$A:$I,MATCH(Prediction!Y$6,Schedules!$A$1:$H$1,0),FALSE),0)</f>
        <v>0</v>
      </c>
      <c r="Z56" s="24">
        <f>IF(Y56=0,0,SUMIFS(Output!$L:$L,Output!$A:$A,Prediction!$A56,Output!$C:$C,Prediction!Y$5))</f>
        <v>0</v>
      </c>
      <c r="AA56" s="24">
        <f t="shared" si="13"/>
        <v>0</v>
      </c>
      <c r="AB56" s="24">
        <f t="shared" si="22"/>
        <v>0</v>
      </c>
      <c r="AC56" s="30">
        <f>SUMIFS(Output!$L:$L,Output!$A:$A,Prediction!$A56,Output!$C:$C,Prediction!Y$5)</f>
        <v>0</v>
      </c>
      <c r="AD56" s="29">
        <f>IFERROR(VLOOKUP($D56,Schedules!$A:$I,MATCH(Prediction!AD$6,Schedules!$A$1:$H$1,0),FALSE),0)</f>
        <v>0</v>
      </c>
      <c r="AE56" s="24">
        <f>IF(AD56=0,0,SUMIFS(Output!$L:$L,Output!$A:$A,Prediction!$A56,Output!$C:$C,Prediction!AD$5))</f>
        <v>0</v>
      </c>
      <c r="AF56" s="24">
        <f t="shared" si="14"/>
        <v>0</v>
      </c>
      <c r="AG56" s="24">
        <f t="shared" si="23"/>
        <v>0</v>
      </c>
      <c r="AH56" s="30">
        <f>SUMIFS(Output!$L:$L,Output!$A:$A,Prediction!$A56,Output!$C:$C,Prediction!AD$5)</f>
        <v>0</v>
      </c>
      <c r="AI56" s="29">
        <f>IFERROR(VLOOKUP($D56,Schedules!$A:$I,MATCH(Prediction!AI$6,Schedules!$A$1:$H$1,0),FALSE),0)</f>
        <v>0</v>
      </c>
      <c r="AJ56" s="24">
        <f>IF(AI56=0,0,SUMIFS(Output!$L:$L,Output!$A:$A,Prediction!$A56,Output!$C:$C,Prediction!AI$5))</f>
        <v>0</v>
      </c>
      <c r="AK56" s="24">
        <f t="shared" si="15"/>
        <v>0</v>
      </c>
      <c r="AL56" s="24">
        <f t="shared" si="24"/>
        <v>0</v>
      </c>
      <c r="AM56" s="30">
        <f>SUMIFS(Output!$L:$L,Output!$A:$A,Prediction!$A56,Output!$C:$C,Prediction!AI$5)</f>
        <v>0</v>
      </c>
      <c r="AN56">
        <f t="shared" si="25"/>
        <v>0</v>
      </c>
      <c r="AO56" s="3">
        <f t="shared" si="26"/>
        <v>0</v>
      </c>
      <c r="AP56" s="44"/>
      <c r="AQ56" s="3">
        <f t="shared" si="16"/>
        <v>0</v>
      </c>
      <c r="AR56" s="3">
        <f t="shared" si="27"/>
        <v>0</v>
      </c>
    </row>
    <row r="57" spans="1:44" x14ac:dyDescent="0.25">
      <c r="A57" s="9" t="str">
        <f t="array" ref="A57">IFERROR(INDEX(Output!A$1:A$2000,MATCH(0,COUNTIF(Prediction!$A$7:A56,Output!A$1:A$2000),0)),"")</f>
        <v/>
      </c>
      <c r="B57" t="str">
        <f>IFERROR(VLOOKUP($A57,Output!$A:$M,2,FALSE),"")</f>
        <v/>
      </c>
      <c r="C57" t="str">
        <f>IFERROR(VLOOKUP(B57,Departments!B:C,2,FALSE),"")</f>
        <v/>
      </c>
      <c r="D57" t="str">
        <f>IFERROR(VLOOKUP($A57,Output!$A:$M,13,FALSE),"")</f>
        <v/>
      </c>
      <c r="E57" s="29">
        <f>IFERROR(VLOOKUP($D57,Schedules!$A:$I,MATCH(Prediction!E$6,Schedules!$A$1:$H$1,0),FALSE),0)</f>
        <v>0</v>
      </c>
      <c r="F57" s="24">
        <f>IF(E57=0,0,SUMIFS(Output!$L:$L,Output!$A:$A,Prediction!$A57,Output!$C:$C,Prediction!E$5))</f>
        <v>0</v>
      </c>
      <c r="G57" s="24">
        <f t="shared" si="10"/>
        <v>0</v>
      </c>
      <c r="H57" s="45">
        <f t="shared" si="17"/>
        <v>0</v>
      </c>
      <c r="I57" s="30">
        <f>SUMIFS(Output!$L:$L,Output!$A:$A,Prediction!$A57,Output!$C:$C,Prediction!E$5)</f>
        <v>0</v>
      </c>
      <c r="J57" s="29">
        <f>IFERROR(VLOOKUP($D57,Schedules!$A:$I,MATCH(Prediction!J$6,Schedules!$A$1:$H$1,0),FALSE),0)</f>
        <v>0</v>
      </c>
      <c r="K57" s="24">
        <f>IF(J57=0,0,SUMIFS(Output!$L:$L,Output!$A:$A,Prediction!$A57,Output!$C:$C,Prediction!J$5))</f>
        <v>0</v>
      </c>
      <c r="L57" s="24">
        <f t="shared" si="11"/>
        <v>0</v>
      </c>
      <c r="M57" s="24">
        <f t="shared" si="18"/>
        <v>0</v>
      </c>
      <c r="N57" s="30">
        <f>SUMIFS(Output!$L:$L,Output!$A:$A,Prediction!$A57,Output!$C:$C,Prediction!J$5)</f>
        <v>0</v>
      </c>
      <c r="O57" s="29">
        <f>IFERROR(VLOOKUP($D57,Schedules!$A:$I,MATCH(Prediction!O$6,Schedules!$A$1:$H$1,0),FALSE),0)</f>
        <v>0</v>
      </c>
      <c r="P57" s="24">
        <f>IF(O57=0,0,SUMIFS(Output!$L:$L,Output!$A:$A,Prediction!$A57,Output!$C:$C,Prediction!O$5))</f>
        <v>0</v>
      </c>
      <c r="Q57" s="24">
        <f t="shared" si="12"/>
        <v>0</v>
      </c>
      <c r="R57" s="24">
        <f t="shared" si="19"/>
        <v>0</v>
      </c>
      <c r="S57" s="30">
        <f>SUMIFS(Output!$L:$L,Output!$A:$A,Prediction!$A57,Output!$C:$C,Prediction!O$5)</f>
        <v>0</v>
      </c>
      <c r="T57" s="29">
        <f>IFERROR(VLOOKUP($D57,Schedules!$A:$I,MATCH(Prediction!T$6,Schedules!$A$1:$H$1,0),FALSE),0)</f>
        <v>0</v>
      </c>
      <c r="U57" s="24">
        <f>IF(T57=0,0,SUMIFS(Output!$L:$L,Output!$A:$A,Prediction!$A57,Output!$C:$C,Prediction!T$5))</f>
        <v>0</v>
      </c>
      <c r="V57" s="24">
        <f t="shared" si="20"/>
        <v>0</v>
      </c>
      <c r="W57" s="24">
        <f t="shared" si="21"/>
        <v>0</v>
      </c>
      <c r="X57" s="30">
        <f>SUMIFS(Output!$L:$L,Output!$A:$A,Prediction!$A57,Output!$C:$C,Prediction!T$5)</f>
        <v>0</v>
      </c>
      <c r="Y57" s="25">
        <f>IFERROR(VLOOKUP($D57,Schedules!$A:$I,MATCH(Prediction!Y$6,Schedules!$A$1:$H$1,0),FALSE),0)</f>
        <v>0</v>
      </c>
      <c r="Z57" s="24">
        <f>IF(Y57=0,0,SUMIFS(Output!$L:$L,Output!$A:$A,Prediction!$A57,Output!$C:$C,Prediction!Y$5))</f>
        <v>0</v>
      </c>
      <c r="AA57" s="24">
        <f t="shared" si="13"/>
        <v>0</v>
      </c>
      <c r="AB57" s="24">
        <f t="shared" si="22"/>
        <v>0</v>
      </c>
      <c r="AC57" s="30">
        <f>SUMIFS(Output!$L:$L,Output!$A:$A,Prediction!$A57,Output!$C:$C,Prediction!Y$5)</f>
        <v>0</v>
      </c>
      <c r="AD57" s="29">
        <f>IFERROR(VLOOKUP($D57,Schedules!$A:$I,MATCH(Prediction!AD$6,Schedules!$A$1:$H$1,0),FALSE),0)</f>
        <v>0</v>
      </c>
      <c r="AE57" s="24">
        <f>IF(AD57=0,0,SUMIFS(Output!$L:$L,Output!$A:$A,Prediction!$A57,Output!$C:$C,Prediction!AD$5))</f>
        <v>0</v>
      </c>
      <c r="AF57" s="24">
        <f t="shared" si="14"/>
        <v>0</v>
      </c>
      <c r="AG57" s="24">
        <f t="shared" si="23"/>
        <v>0</v>
      </c>
      <c r="AH57" s="30">
        <f>SUMIFS(Output!$L:$L,Output!$A:$A,Prediction!$A57,Output!$C:$C,Prediction!AD$5)</f>
        <v>0</v>
      </c>
      <c r="AI57" s="29">
        <f>IFERROR(VLOOKUP($D57,Schedules!$A:$I,MATCH(Prediction!AI$6,Schedules!$A$1:$H$1,0),FALSE),0)</f>
        <v>0</v>
      </c>
      <c r="AJ57" s="24">
        <f>IF(AI57=0,0,SUMIFS(Output!$L:$L,Output!$A:$A,Prediction!$A57,Output!$C:$C,Prediction!AI$5))</f>
        <v>0</v>
      </c>
      <c r="AK57" s="24">
        <f t="shared" si="15"/>
        <v>0</v>
      </c>
      <c r="AL57" s="24">
        <f t="shared" si="24"/>
        <v>0</v>
      </c>
      <c r="AM57" s="30">
        <f>SUMIFS(Output!$L:$L,Output!$A:$A,Prediction!$A57,Output!$C:$C,Prediction!AI$5)</f>
        <v>0</v>
      </c>
      <c r="AN57">
        <f t="shared" si="25"/>
        <v>0</v>
      </c>
      <c r="AO57" s="3">
        <f t="shared" si="26"/>
        <v>0</v>
      </c>
      <c r="AP57" s="44"/>
      <c r="AQ57" s="3">
        <f t="shared" si="16"/>
        <v>0</v>
      </c>
      <c r="AR57" s="3">
        <f t="shared" si="27"/>
        <v>0</v>
      </c>
    </row>
    <row r="58" spans="1:44" x14ac:dyDescent="0.25">
      <c r="A58" s="9" t="str">
        <f t="array" ref="A58">IFERROR(INDEX(Output!A$1:A$2000,MATCH(0,COUNTIF(Prediction!$A$7:A57,Output!A$1:A$2000),0)),"")</f>
        <v/>
      </c>
      <c r="B58" t="str">
        <f>IFERROR(VLOOKUP($A58,Output!$A:$M,2,FALSE),"")</f>
        <v/>
      </c>
      <c r="C58" t="str">
        <f>IFERROR(VLOOKUP(B58,Departments!B:C,2,FALSE),"")</f>
        <v/>
      </c>
      <c r="D58" t="str">
        <f>IFERROR(VLOOKUP($A58,Output!$A:$M,13,FALSE),"")</f>
        <v/>
      </c>
      <c r="E58" s="29">
        <f>IFERROR(VLOOKUP($D58,Schedules!$A:$I,MATCH(Prediction!E$6,Schedules!$A$1:$H$1,0),FALSE),0)</f>
        <v>0</v>
      </c>
      <c r="F58" s="24">
        <f>IF(E58=0,0,SUMIFS(Output!$L:$L,Output!$A:$A,Prediction!$A58,Output!$C:$C,Prediction!E$5))</f>
        <v>0</v>
      </c>
      <c r="G58" s="24">
        <f t="shared" si="10"/>
        <v>0</v>
      </c>
      <c r="H58" s="45">
        <f t="shared" si="17"/>
        <v>0</v>
      </c>
      <c r="I58" s="30">
        <f>SUMIFS(Output!$L:$L,Output!$A:$A,Prediction!$A58,Output!$C:$C,Prediction!E$5)</f>
        <v>0</v>
      </c>
      <c r="J58" s="29">
        <f>IFERROR(VLOOKUP($D58,Schedules!$A:$I,MATCH(Prediction!J$6,Schedules!$A$1:$H$1,0),FALSE),0)</f>
        <v>0</v>
      </c>
      <c r="K58" s="24">
        <f>IF(J58=0,0,SUMIFS(Output!$L:$L,Output!$A:$A,Prediction!$A58,Output!$C:$C,Prediction!J$5))</f>
        <v>0</v>
      </c>
      <c r="L58" s="24">
        <f t="shared" si="11"/>
        <v>0</v>
      </c>
      <c r="M58" s="24">
        <f t="shared" si="18"/>
        <v>0</v>
      </c>
      <c r="N58" s="30">
        <f>SUMIFS(Output!$L:$L,Output!$A:$A,Prediction!$A58,Output!$C:$C,Prediction!J$5)</f>
        <v>0</v>
      </c>
      <c r="O58" s="29">
        <f>IFERROR(VLOOKUP($D58,Schedules!$A:$I,MATCH(Prediction!O$6,Schedules!$A$1:$H$1,0),FALSE),0)</f>
        <v>0</v>
      </c>
      <c r="P58" s="24">
        <f>IF(O58=0,0,SUMIFS(Output!$L:$L,Output!$A:$A,Prediction!$A58,Output!$C:$C,Prediction!O$5))</f>
        <v>0</v>
      </c>
      <c r="Q58" s="24">
        <f t="shared" si="12"/>
        <v>0</v>
      </c>
      <c r="R58" s="24">
        <f t="shared" si="19"/>
        <v>0</v>
      </c>
      <c r="S58" s="30">
        <f>SUMIFS(Output!$L:$L,Output!$A:$A,Prediction!$A58,Output!$C:$C,Prediction!O$5)</f>
        <v>0</v>
      </c>
      <c r="T58" s="29">
        <f>IFERROR(VLOOKUP($D58,Schedules!$A:$I,MATCH(Prediction!T$6,Schedules!$A$1:$H$1,0),FALSE),0)</f>
        <v>0</v>
      </c>
      <c r="U58" s="24">
        <f>IF(T58=0,0,SUMIFS(Output!$L:$L,Output!$A:$A,Prediction!$A58,Output!$C:$C,Prediction!T$5))</f>
        <v>0</v>
      </c>
      <c r="V58" s="24">
        <f t="shared" si="20"/>
        <v>0</v>
      </c>
      <c r="W58" s="24">
        <f t="shared" si="21"/>
        <v>0</v>
      </c>
      <c r="X58" s="30">
        <f>SUMIFS(Output!$L:$L,Output!$A:$A,Prediction!$A58,Output!$C:$C,Prediction!T$5)</f>
        <v>0</v>
      </c>
      <c r="Y58" s="25">
        <f>IFERROR(VLOOKUP($D58,Schedules!$A:$I,MATCH(Prediction!Y$6,Schedules!$A$1:$H$1,0),FALSE),0)</f>
        <v>0</v>
      </c>
      <c r="Z58" s="24">
        <f>IF(Y58=0,0,SUMIFS(Output!$L:$L,Output!$A:$A,Prediction!$A58,Output!$C:$C,Prediction!Y$5))</f>
        <v>0</v>
      </c>
      <c r="AA58" s="24">
        <f t="shared" si="13"/>
        <v>0</v>
      </c>
      <c r="AB58" s="24">
        <f t="shared" si="22"/>
        <v>0</v>
      </c>
      <c r="AC58" s="30">
        <f>SUMIFS(Output!$L:$L,Output!$A:$A,Prediction!$A58,Output!$C:$C,Prediction!Y$5)</f>
        <v>0</v>
      </c>
      <c r="AD58" s="29">
        <f>IFERROR(VLOOKUP($D58,Schedules!$A:$I,MATCH(Prediction!AD$6,Schedules!$A$1:$H$1,0),FALSE),0)</f>
        <v>0</v>
      </c>
      <c r="AE58" s="24">
        <f>IF(AD58=0,0,SUMIFS(Output!$L:$L,Output!$A:$A,Prediction!$A58,Output!$C:$C,Prediction!AD$5))</f>
        <v>0</v>
      </c>
      <c r="AF58" s="24">
        <f t="shared" si="14"/>
        <v>0</v>
      </c>
      <c r="AG58" s="24">
        <f t="shared" si="23"/>
        <v>0</v>
      </c>
      <c r="AH58" s="30">
        <f>SUMIFS(Output!$L:$L,Output!$A:$A,Prediction!$A58,Output!$C:$C,Prediction!AD$5)</f>
        <v>0</v>
      </c>
      <c r="AI58" s="29">
        <f>IFERROR(VLOOKUP($D58,Schedules!$A:$I,MATCH(Prediction!AI$6,Schedules!$A$1:$H$1,0),FALSE),0)</f>
        <v>0</v>
      </c>
      <c r="AJ58" s="24">
        <f>IF(AI58=0,0,SUMIFS(Output!$L:$L,Output!$A:$A,Prediction!$A58,Output!$C:$C,Prediction!AI$5))</f>
        <v>0</v>
      </c>
      <c r="AK58" s="24">
        <f t="shared" si="15"/>
        <v>0</v>
      </c>
      <c r="AL58" s="24">
        <f t="shared" si="24"/>
        <v>0</v>
      </c>
      <c r="AM58" s="30">
        <f>SUMIFS(Output!$L:$L,Output!$A:$A,Prediction!$A58,Output!$C:$C,Prediction!AI$5)</f>
        <v>0</v>
      </c>
      <c r="AN58">
        <f t="shared" si="25"/>
        <v>0</v>
      </c>
      <c r="AO58" s="3">
        <f t="shared" si="26"/>
        <v>0</v>
      </c>
      <c r="AP58" s="44"/>
      <c r="AQ58" s="3">
        <f t="shared" si="16"/>
        <v>0</v>
      </c>
      <c r="AR58" s="3">
        <f t="shared" si="27"/>
        <v>0</v>
      </c>
    </row>
    <row r="59" spans="1:44" x14ac:dyDescent="0.25">
      <c r="A59" s="9" t="str">
        <f t="array" ref="A59">IFERROR(INDEX(Output!A$1:A$2000,MATCH(0,COUNTIF(Prediction!$A$7:A58,Output!A$1:A$2000),0)),"")</f>
        <v/>
      </c>
      <c r="B59" t="str">
        <f>IFERROR(VLOOKUP($A59,Output!$A:$M,2,FALSE),"")</f>
        <v/>
      </c>
      <c r="C59" t="str">
        <f>IFERROR(VLOOKUP(B59,Departments!B:C,2,FALSE),"")</f>
        <v/>
      </c>
      <c r="D59" t="str">
        <f>IFERROR(VLOOKUP($A59,Output!$A:$M,13,FALSE),"")</f>
        <v/>
      </c>
      <c r="E59" s="29">
        <f>IFERROR(VLOOKUP($D59,Schedules!$A:$I,MATCH(Prediction!E$6,Schedules!$A$1:$H$1,0),FALSE),0)</f>
        <v>0</v>
      </c>
      <c r="F59" s="24">
        <f>IF(E59=0,0,SUMIFS(Output!$L:$L,Output!$A:$A,Prediction!$A59,Output!$C:$C,Prediction!E$5))</f>
        <v>0</v>
      </c>
      <c r="G59" s="24">
        <f t="shared" si="10"/>
        <v>0</v>
      </c>
      <c r="H59" s="45">
        <f t="shared" si="17"/>
        <v>0</v>
      </c>
      <c r="I59" s="30">
        <f>SUMIFS(Output!$L:$L,Output!$A:$A,Prediction!$A59,Output!$C:$C,Prediction!E$5)</f>
        <v>0</v>
      </c>
      <c r="J59" s="29">
        <f>IFERROR(VLOOKUP($D59,Schedules!$A:$I,MATCH(Prediction!J$6,Schedules!$A$1:$H$1,0),FALSE),0)</f>
        <v>0</v>
      </c>
      <c r="K59" s="24">
        <f>IF(J59=0,0,SUMIFS(Output!$L:$L,Output!$A:$A,Prediction!$A59,Output!$C:$C,Prediction!J$5))</f>
        <v>0</v>
      </c>
      <c r="L59" s="24">
        <f t="shared" si="11"/>
        <v>0</v>
      </c>
      <c r="M59" s="24">
        <f t="shared" si="18"/>
        <v>0</v>
      </c>
      <c r="N59" s="30">
        <f>SUMIFS(Output!$L:$L,Output!$A:$A,Prediction!$A59,Output!$C:$C,Prediction!J$5)</f>
        <v>0</v>
      </c>
      <c r="O59" s="29">
        <f>IFERROR(VLOOKUP($D59,Schedules!$A:$I,MATCH(Prediction!O$6,Schedules!$A$1:$H$1,0),FALSE),0)</f>
        <v>0</v>
      </c>
      <c r="P59" s="24">
        <f>IF(O59=0,0,SUMIFS(Output!$L:$L,Output!$A:$A,Prediction!$A59,Output!$C:$C,Prediction!O$5))</f>
        <v>0</v>
      </c>
      <c r="Q59" s="24">
        <f t="shared" si="12"/>
        <v>0</v>
      </c>
      <c r="R59" s="24">
        <f t="shared" si="19"/>
        <v>0</v>
      </c>
      <c r="S59" s="30">
        <f>SUMIFS(Output!$L:$L,Output!$A:$A,Prediction!$A59,Output!$C:$C,Prediction!O$5)</f>
        <v>0</v>
      </c>
      <c r="T59" s="29">
        <f>IFERROR(VLOOKUP($D59,Schedules!$A:$I,MATCH(Prediction!T$6,Schedules!$A$1:$H$1,0),FALSE),0)</f>
        <v>0</v>
      </c>
      <c r="U59" s="24">
        <f>IF(T59=0,0,SUMIFS(Output!$L:$L,Output!$A:$A,Prediction!$A59,Output!$C:$C,Prediction!T$5))</f>
        <v>0</v>
      </c>
      <c r="V59" s="24">
        <f t="shared" si="20"/>
        <v>0</v>
      </c>
      <c r="W59" s="24">
        <f t="shared" si="21"/>
        <v>0</v>
      </c>
      <c r="X59" s="30">
        <f>SUMIFS(Output!$L:$L,Output!$A:$A,Prediction!$A59,Output!$C:$C,Prediction!T$5)</f>
        <v>0</v>
      </c>
      <c r="Y59" s="25">
        <f>IFERROR(VLOOKUP($D59,Schedules!$A:$I,MATCH(Prediction!Y$6,Schedules!$A$1:$H$1,0),FALSE),0)</f>
        <v>0</v>
      </c>
      <c r="Z59" s="24">
        <f>IF(Y59=0,0,SUMIFS(Output!$L:$L,Output!$A:$A,Prediction!$A59,Output!$C:$C,Prediction!Y$5))</f>
        <v>0</v>
      </c>
      <c r="AA59" s="24">
        <f t="shared" si="13"/>
        <v>0</v>
      </c>
      <c r="AB59" s="24">
        <f t="shared" si="22"/>
        <v>0</v>
      </c>
      <c r="AC59" s="30">
        <f>SUMIFS(Output!$L:$L,Output!$A:$A,Prediction!$A59,Output!$C:$C,Prediction!Y$5)</f>
        <v>0</v>
      </c>
      <c r="AD59" s="29">
        <f>IFERROR(VLOOKUP($D59,Schedules!$A:$I,MATCH(Prediction!AD$6,Schedules!$A$1:$H$1,0),FALSE),0)</f>
        <v>0</v>
      </c>
      <c r="AE59" s="24">
        <f>IF(AD59=0,0,SUMIFS(Output!$L:$L,Output!$A:$A,Prediction!$A59,Output!$C:$C,Prediction!AD$5))</f>
        <v>0</v>
      </c>
      <c r="AF59" s="24">
        <f t="shared" si="14"/>
        <v>0</v>
      </c>
      <c r="AG59" s="24">
        <f t="shared" si="23"/>
        <v>0</v>
      </c>
      <c r="AH59" s="30">
        <f>SUMIFS(Output!$L:$L,Output!$A:$A,Prediction!$A59,Output!$C:$C,Prediction!AD$5)</f>
        <v>0</v>
      </c>
      <c r="AI59" s="29">
        <f>IFERROR(VLOOKUP($D59,Schedules!$A:$I,MATCH(Prediction!AI$6,Schedules!$A$1:$H$1,0),FALSE),0)</f>
        <v>0</v>
      </c>
      <c r="AJ59" s="24">
        <f>IF(AI59=0,0,SUMIFS(Output!$L:$L,Output!$A:$A,Prediction!$A59,Output!$C:$C,Prediction!AI$5))</f>
        <v>0</v>
      </c>
      <c r="AK59" s="24">
        <f t="shared" si="15"/>
        <v>0</v>
      </c>
      <c r="AL59" s="24">
        <f t="shared" si="24"/>
        <v>0</v>
      </c>
      <c r="AM59" s="30">
        <f>SUMIFS(Output!$L:$L,Output!$A:$A,Prediction!$A59,Output!$C:$C,Prediction!AI$5)</f>
        <v>0</v>
      </c>
      <c r="AN59">
        <f t="shared" si="25"/>
        <v>0</v>
      </c>
      <c r="AO59" s="3">
        <f t="shared" si="26"/>
        <v>0</v>
      </c>
      <c r="AP59" s="44"/>
      <c r="AQ59" s="3">
        <f t="shared" si="16"/>
        <v>0</v>
      </c>
      <c r="AR59" s="3">
        <f t="shared" si="27"/>
        <v>0</v>
      </c>
    </row>
    <row r="60" spans="1:44" x14ac:dyDescent="0.25">
      <c r="A60" s="9" t="str">
        <f t="array" ref="A60">IFERROR(INDEX(Output!A$1:A$2000,MATCH(0,COUNTIF(Prediction!$A$7:A59,Output!A$1:A$2000),0)),"")</f>
        <v/>
      </c>
      <c r="B60" t="str">
        <f>IFERROR(VLOOKUP($A60,Output!$A:$M,2,FALSE),"")</f>
        <v/>
      </c>
      <c r="C60" t="str">
        <f>IFERROR(VLOOKUP(B60,Departments!B:C,2,FALSE),"")</f>
        <v/>
      </c>
      <c r="D60" t="str">
        <f>IFERROR(VLOOKUP($A60,Output!$A:$M,13,FALSE),"")</f>
        <v/>
      </c>
      <c r="E60" s="29">
        <f>IFERROR(VLOOKUP($D60,Schedules!$A:$I,MATCH(Prediction!E$6,Schedules!$A$1:$H$1,0),FALSE),0)</f>
        <v>0</v>
      </c>
      <c r="F60" s="24">
        <f>IF(E60=0,0,SUMIFS(Output!$L:$L,Output!$A:$A,Prediction!$A60,Output!$C:$C,Prediction!E$5))</f>
        <v>0</v>
      </c>
      <c r="G60" s="24">
        <f t="shared" si="10"/>
        <v>0</v>
      </c>
      <c r="H60" s="45">
        <f t="shared" si="17"/>
        <v>0</v>
      </c>
      <c r="I60" s="30">
        <f>SUMIFS(Output!$L:$L,Output!$A:$A,Prediction!$A60,Output!$C:$C,Prediction!E$5)</f>
        <v>0</v>
      </c>
      <c r="J60" s="29">
        <f>IFERROR(VLOOKUP($D60,Schedules!$A:$I,MATCH(Prediction!J$6,Schedules!$A$1:$H$1,0),FALSE),0)</f>
        <v>0</v>
      </c>
      <c r="K60" s="24">
        <f>IF(J60=0,0,SUMIFS(Output!$L:$L,Output!$A:$A,Prediction!$A60,Output!$C:$C,Prediction!J$5))</f>
        <v>0</v>
      </c>
      <c r="L60" s="24">
        <f t="shared" si="11"/>
        <v>0</v>
      </c>
      <c r="M60" s="24">
        <f t="shared" si="18"/>
        <v>0</v>
      </c>
      <c r="N60" s="30">
        <f>SUMIFS(Output!$L:$L,Output!$A:$A,Prediction!$A60,Output!$C:$C,Prediction!J$5)</f>
        <v>0</v>
      </c>
      <c r="O60" s="29">
        <f>IFERROR(VLOOKUP($D60,Schedules!$A:$I,MATCH(Prediction!O$6,Schedules!$A$1:$H$1,0),FALSE),0)</f>
        <v>0</v>
      </c>
      <c r="P60" s="24">
        <f>IF(O60=0,0,SUMIFS(Output!$L:$L,Output!$A:$A,Prediction!$A60,Output!$C:$C,Prediction!O$5))</f>
        <v>0</v>
      </c>
      <c r="Q60" s="24">
        <f t="shared" si="12"/>
        <v>0</v>
      </c>
      <c r="R60" s="24">
        <f t="shared" si="19"/>
        <v>0</v>
      </c>
      <c r="S60" s="30">
        <f>SUMIFS(Output!$L:$L,Output!$A:$A,Prediction!$A60,Output!$C:$C,Prediction!O$5)</f>
        <v>0</v>
      </c>
      <c r="T60" s="29">
        <f>IFERROR(VLOOKUP($D60,Schedules!$A:$I,MATCH(Prediction!T$6,Schedules!$A$1:$H$1,0),FALSE),0)</f>
        <v>0</v>
      </c>
      <c r="U60" s="24">
        <f>IF(T60=0,0,SUMIFS(Output!$L:$L,Output!$A:$A,Prediction!$A60,Output!$C:$C,Prediction!T$5))</f>
        <v>0</v>
      </c>
      <c r="V60" s="24">
        <f t="shared" si="20"/>
        <v>0</v>
      </c>
      <c r="W60" s="24">
        <f t="shared" si="21"/>
        <v>0</v>
      </c>
      <c r="X60" s="30">
        <f>SUMIFS(Output!$L:$L,Output!$A:$A,Prediction!$A60,Output!$C:$C,Prediction!T$5)</f>
        <v>0</v>
      </c>
      <c r="Y60" s="25">
        <f>IFERROR(VLOOKUP($D60,Schedules!$A:$I,MATCH(Prediction!Y$6,Schedules!$A$1:$H$1,0),FALSE),0)</f>
        <v>0</v>
      </c>
      <c r="Z60" s="24">
        <f>IF(Y60=0,0,SUMIFS(Output!$L:$L,Output!$A:$A,Prediction!$A60,Output!$C:$C,Prediction!Y$5))</f>
        <v>0</v>
      </c>
      <c r="AA60" s="24">
        <f t="shared" si="13"/>
        <v>0</v>
      </c>
      <c r="AB60" s="24">
        <f t="shared" si="22"/>
        <v>0</v>
      </c>
      <c r="AC60" s="30">
        <f>SUMIFS(Output!$L:$L,Output!$A:$A,Prediction!$A60,Output!$C:$C,Prediction!Y$5)</f>
        <v>0</v>
      </c>
      <c r="AD60" s="29">
        <f>IFERROR(VLOOKUP($D60,Schedules!$A:$I,MATCH(Prediction!AD$6,Schedules!$A$1:$H$1,0),FALSE),0)</f>
        <v>0</v>
      </c>
      <c r="AE60" s="24">
        <f>IF(AD60=0,0,SUMIFS(Output!$L:$L,Output!$A:$A,Prediction!$A60,Output!$C:$C,Prediction!AD$5))</f>
        <v>0</v>
      </c>
      <c r="AF60" s="24">
        <f t="shared" si="14"/>
        <v>0</v>
      </c>
      <c r="AG60" s="24">
        <f t="shared" si="23"/>
        <v>0</v>
      </c>
      <c r="AH60" s="30">
        <f>SUMIFS(Output!$L:$L,Output!$A:$A,Prediction!$A60,Output!$C:$C,Prediction!AD$5)</f>
        <v>0</v>
      </c>
      <c r="AI60" s="29">
        <f>IFERROR(VLOOKUP($D60,Schedules!$A:$I,MATCH(Prediction!AI$6,Schedules!$A$1:$H$1,0),FALSE),0)</f>
        <v>0</v>
      </c>
      <c r="AJ60" s="24">
        <f>IF(AI60=0,0,SUMIFS(Output!$L:$L,Output!$A:$A,Prediction!$A60,Output!$C:$C,Prediction!AI$5))</f>
        <v>0</v>
      </c>
      <c r="AK60" s="24">
        <f t="shared" si="15"/>
        <v>0</v>
      </c>
      <c r="AL60" s="24">
        <f t="shared" si="24"/>
        <v>0</v>
      </c>
      <c r="AM60" s="30">
        <f>SUMIFS(Output!$L:$L,Output!$A:$A,Prediction!$A60,Output!$C:$C,Prediction!AI$5)</f>
        <v>0</v>
      </c>
      <c r="AN60">
        <f t="shared" si="25"/>
        <v>0</v>
      </c>
      <c r="AO60" s="3">
        <f t="shared" si="26"/>
        <v>0</v>
      </c>
      <c r="AP60" s="44"/>
      <c r="AQ60" s="3">
        <f t="shared" si="16"/>
        <v>0</v>
      </c>
      <c r="AR60" s="3">
        <f t="shared" si="27"/>
        <v>0</v>
      </c>
    </row>
    <row r="61" spans="1:44" x14ac:dyDescent="0.25">
      <c r="A61" s="9" t="str">
        <f t="array" ref="A61">IFERROR(INDEX(Output!A$1:A$2000,MATCH(0,COUNTIF(Prediction!$A$7:A60,Output!A$1:A$2000),0)),"")</f>
        <v/>
      </c>
      <c r="B61" t="str">
        <f>IFERROR(VLOOKUP($A61,Output!$A:$M,2,FALSE),"")</f>
        <v/>
      </c>
      <c r="C61" t="str">
        <f>IFERROR(VLOOKUP(B61,Departments!B:C,2,FALSE),"")</f>
        <v/>
      </c>
      <c r="D61" t="str">
        <f>IFERROR(VLOOKUP($A61,Output!$A:$M,13,FALSE),"")</f>
        <v/>
      </c>
      <c r="E61" s="29">
        <f>IFERROR(VLOOKUP($D61,Schedules!$A:$I,MATCH(Prediction!E$6,Schedules!$A$1:$H$1,0),FALSE),0)</f>
        <v>0</v>
      </c>
      <c r="F61" s="24">
        <f>IF(E61=0,0,SUMIFS(Output!$L:$L,Output!$A:$A,Prediction!$A61,Output!$C:$C,Prediction!E$5))</f>
        <v>0</v>
      </c>
      <c r="G61" s="24">
        <f t="shared" si="10"/>
        <v>0</v>
      </c>
      <c r="H61" s="45">
        <f t="shared" si="17"/>
        <v>0</v>
      </c>
      <c r="I61" s="30">
        <f>SUMIFS(Output!$L:$L,Output!$A:$A,Prediction!$A61,Output!$C:$C,Prediction!E$5)</f>
        <v>0</v>
      </c>
      <c r="J61" s="29">
        <f>IFERROR(VLOOKUP($D61,Schedules!$A:$I,MATCH(Prediction!J$6,Schedules!$A$1:$H$1,0),FALSE),0)</f>
        <v>0</v>
      </c>
      <c r="K61" s="24">
        <f>IF(J61=0,0,SUMIFS(Output!$L:$L,Output!$A:$A,Prediction!$A61,Output!$C:$C,Prediction!J$5))</f>
        <v>0</v>
      </c>
      <c r="L61" s="24">
        <f t="shared" si="11"/>
        <v>0</v>
      </c>
      <c r="M61" s="24">
        <f t="shared" si="18"/>
        <v>0</v>
      </c>
      <c r="N61" s="30">
        <f>SUMIFS(Output!$L:$L,Output!$A:$A,Prediction!$A61,Output!$C:$C,Prediction!J$5)</f>
        <v>0</v>
      </c>
      <c r="O61" s="29">
        <f>IFERROR(VLOOKUP($D61,Schedules!$A:$I,MATCH(Prediction!O$6,Schedules!$A$1:$H$1,0),FALSE),0)</f>
        <v>0</v>
      </c>
      <c r="P61" s="24">
        <f>IF(O61=0,0,SUMIFS(Output!$L:$L,Output!$A:$A,Prediction!$A61,Output!$C:$C,Prediction!O$5))</f>
        <v>0</v>
      </c>
      <c r="Q61" s="24">
        <f t="shared" si="12"/>
        <v>0</v>
      </c>
      <c r="R61" s="24">
        <f t="shared" si="19"/>
        <v>0</v>
      </c>
      <c r="S61" s="30">
        <f>SUMIFS(Output!$L:$L,Output!$A:$A,Prediction!$A61,Output!$C:$C,Prediction!O$5)</f>
        <v>0</v>
      </c>
      <c r="T61" s="29">
        <f>IFERROR(VLOOKUP($D61,Schedules!$A:$I,MATCH(Prediction!T$6,Schedules!$A$1:$H$1,0),FALSE),0)</f>
        <v>0</v>
      </c>
      <c r="U61" s="24">
        <f>IF(T61=0,0,SUMIFS(Output!$L:$L,Output!$A:$A,Prediction!$A61,Output!$C:$C,Prediction!T$5))</f>
        <v>0</v>
      </c>
      <c r="V61" s="24">
        <f t="shared" si="20"/>
        <v>0</v>
      </c>
      <c r="W61" s="24">
        <f t="shared" si="21"/>
        <v>0</v>
      </c>
      <c r="X61" s="30">
        <f>SUMIFS(Output!$L:$L,Output!$A:$A,Prediction!$A61,Output!$C:$C,Prediction!T$5)</f>
        <v>0</v>
      </c>
      <c r="Y61" s="25">
        <f>IFERROR(VLOOKUP($D61,Schedules!$A:$I,MATCH(Prediction!Y$6,Schedules!$A$1:$H$1,0),FALSE),0)</f>
        <v>0</v>
      </c>
      <c r="Z61" s="24">
        <f>IF(Y61=0,0,SUMIFS(Output!$L:$L,Output!$A:$A,Prediction!$A61,Output!$C:$C,Prediction!Y$5))</f>
        <v>0</v>
      </c>
      <c r="AA61" s="24">
        <f t="shared" si="13"/>
        <v>0</v>
      </c>
      <c r="AB61" s="24">
        <f t="shared" si="22"/>
        <v>0</v>
      </c>
      <c r="AC61" s="30">
        <f>SUMIFS(Output!$L:$L,Output!$A:$A,Prediction!$A61,Output!$C:$C,Prediction!Y$5)</f>
        <v>0</v>
      </c>
      <c r="AD61" s="29">
        <f>IFERROR(VLOOKUP($D61,Schedules!$A:$I,MATCH(Prediction!AD$6,Schedules!$A$1:$H$1,0),FALSE),0)</f>
        <v>0</v>
      </c>
      <c r="AE61" s="24">
        <f>IF(AD61=0,0,SUMIFS(Output!$L:$L,Output!$A:$A,Prediction!$A61,Output!$C:$C,Prediction!AD$5))</f>
        <v>0</v>
      </c>
      <c r="AF61" s="24">
        <f t="shared" si="14"/>
        <v>0</v>
      </c>
      <c r="AG61" s="24">
        <f t="shared" si="23"/>
        <v>0</v>
      </c>
      <c r="AH61" s="30">
        <f>SUMIFS(Output!$L:$L,Output!$A:$A,Prediction!$A61,Output!$C:$C,Prediction!AD$5)</f>
        <v>0</v>
      </c>
      <c r="AI61" s="29">
        <f>IFERROR(VLOOKUP($D61,Schedules!$A:$I,MATCH(Prediction!AI$6,Schedules!$A$1:$H$1,0),FALSE),0)</f>
        <v>0</v>
      </c>
      <c r="AJ61" s="24">
        <f>IF(AI61=0,0,SUMIFS(Output!$L:$L,Output!$A:$A,Prediction!$A61,Output!$C:$C,Prediction!AI$5))</f>
        <v>0</v>
      </c>
      <c r="AK61" s="24">
        <f t="shared" si="15"/>
        <v>0</v>
      </c>
      <c r="AL61" s="24">
        <f t="shared" si="24"/>
        <v>0</v>
      </c>
      <c r="AM61" s="30">
        <f>SUMIFS(Output!$L:$L,Output!$A:$A,Prediction!$A61,Output!$C:$C,Prediction!AI$5)</f>
        <v>0</v>
      </c>
      <c r="AN61">
        <f t="shared" si="25"/>
        <v>0</v>
      </c>
      <c r="AO61" s="3">
        <f t="shared" si="26"/>
        <v>0</v>
      </c>
      <c r="AP61" s="44"/>
      <c r="AQ61" s="3">
        <f t="shared" si="16"/>
        <v>0</v>
      </c>
      <c r="AR61" s="3">
        <f t="shared" si="27"/>
        <v>0</v>
      </c>
    </row>
    <row r="62" spans="1:44" x14ac:dyDescent="0.25">
      <c r="A62" s="9" t="str">
        <f t="array" ref="A62">IFERROR(INDEX(Output!A$1:A$2000,MATCH(0,COUNTIF(Prediction!$A$7:A61,Output!A$1:A$2000),0)),"")</f>
        <v/>
      </c>
      <c r="B62" t="str">
        <f>IFERROR(VLOOKUP($A62,Output!$A:$M,2,FALSE),"")</f>
        <v/>
      </c>
      <c r="C62" t="str">
        <f>IFERROR(VLOOKUP(B62,Departments!B:C,2,FALSE),"")</f>
        <v/>
      </c>
      <c r="D62" t="str">
        <f>IFERROR(VLOOKUP($A62,Output!$A:$M,13,FALSE),"")</f>
        <v/>
      </c>
      <c r="E62" s="29">
        <f>IFERROR(VLOOKUP($D62,Schedules!$A:$I,MATCH(Prediction!E$6,Schedules!$A$1:$H$1,0),FALSE),0)</f>
        <v>0</v>
      </c>
      <c r="F62" s="24">
        <f>IF(E62=0,0,SUMIFS(Output!$L:$L,Output!$A:$A,Prediction!$A62,Output!$C:$C,Prediction!E$5))</f>
        <v>0</v>
      </c>
      <c r="G62" s="24">
        <f t="shared" si="10"/>
        <v>0</v>
      </c>
      <c r="H62" s="45">
        <f t="shared" si="17"/>
        <v>0</v>
      </c>
      <c r="I62" s="30">
        <f>SUMIFS(Output!$L:$L,Output!$A:$A,Prediction!$A62,Output!$C:$C,Prediction!E$5)</f>
        <v>0</v>
      </c>
      <c r="J62" s="29">
        <f>IFERROR(VLOOKUP($D62,Schedules!$A:$I,MATCH(Prediction!J$6,Schedules!$A$1:$H$1,0),FALSE),0)</f>
        <v>0</v>
      </c>
      <c r="K62" s="24">
        <f>IF(J62=0,0,SUMIFS(Output!$L:$L,Output!$A:$A,Prediction!$A62,Output!$C:$C,Prediction!J$5))</f>
        <v>0</v>
      </c>
      <c r="L62" s="24">
        <f t="shared" si="11"/>
        <v>0</v>
      </c>
      <c r="M62" s="24">
        <f t="shared" si="18"/>
        <v>0</v>
      </c>
      <c r="N62" s="30">
        <f>SUMIFS(Output!$L:$L,Output!$A:$A,Prediction!$A62,Output!$C:$C,Prediction!J$5)</f>
        <v>0</v>
      </c>
      <c r="O62" s="29">
        <f>IFERROR(VLOOKUP($D62,Schedules!$A:$I,MATCH(Prediction!O$6,Schedules!$A$1:$H$1,0),FALSE),0)</f>
        <v>0</v>
      </c>
      <c r="P62" s="24">
        <f>IF(O62=0,0,SUMIFS(Output!$L:$L,Output!$A:$A,Prediction!$A62,Output!$C:$C,Prediction!O$5))</f>
        <v>0</v>
      </c>
      <c r="Q62" s="24">
        <f t="shared" si="12"/>
        <v>0</v>
      </c>
      <c r="R62" s="24">
        <f t="shared" si="19"/>
        <v>0</v>
      </c>
      <c r="S62" s="30">
        <f>SUMIFS(Output!$L:$L,Output!$A:$A,Prediction!$A62,Output!$C:$C,Prediction!O$5)</f>
        <v>0</v>
      </c>
      <c r="T62" s="29">
        <f>IFERROR(VLOOKUP($D62,Schedules!$A:$I,MATCH(Prediction!T$6,Schedules!$A$1:$H$1,0),FALSE),0)</f>
        <v>0</v>
      </c>
      <c r="U62" s="24">
        <f>IF(T62=0,0,SUMIFS(Output!$L:$L,Output!$A:$A,Prediction!$A62,Output!$C:$C,Prediction!T$5))</f>
        <v>0</v>
      </c>
      <c r="V62" s="24">
        <f t="shared" si="20"/>
        <v>0</v>
      </c>
      <c r="W62" s="24">
        <f t="shared" si="21"/>
        <v>0</v>
      </c>
      <c r="X62" s="30">
        <f>SUMIFS(Output!$L:$L,Output!$A:$A,Prediction!$A62,Output!$C:$C,Prediction!T$5)</f>
        <v>0</v>
      </c>
      <c r="Y62" s="25">
        <f>IFERROR(VLOOKUP($D62,Schedules!$A:$I,MATCH(Prediction!Y$6,Schedules!$A$1:$H$1,0),FALSE),0)</f>
        <v>0</v>
      </c>
      <c r="Z62" s="24">
        <f>IF(Y62=0,0,SUMIFS(Output!$L:$L,Output!$A:$A,Prediction!$A62,Output!$C:$C,Prediction!Y$5))</f>
        <v>0</v>
      </c>
      <c r="AA62" s="24">
        <f t="shared" si="13"/>
        <v>0</v>
      </c>
      <c r="AB62" s="24">
        <f t="shared" si="22"/>
        <v>0</v>
      </c>
      <c r="AC62" s="30">
        <f>SUMIFS(Output!$L:$L,Output!$A:$A,Prediction!$A62,Output!$C:$C,Prediction!Y$5)</f>
        <v>0</v>
      </c>
      <c r="AD62" s="29">
        <f>IFERROR(VLOOKUP($D62,Schedules!$A:$I,MATCH(Prediction!AD$6,Schedules!$A$1:$H$1,0),FALSE),0)</f>
        <v>0</v>
      </c>
      <c r="AE62" s="24">
        <f>IF(AD62=0,0,SUMIFS(Output!$L:$L,Output!$A:$A,Prediction!$A62,Output!$C:$C,Prediction!AD$5))</f>
        <v>0</v>
      </c>
      <c r="AF62" s="24">
        <f t="shared" si="14"/>
        <v>0</v>
      </c>
      <c r="AG62" s="24">
        <f t="shared" si="23"/>
        <v>0</v>
      </c>
      <c r="AH62" s="30">
        <f>SUMIFS(Output!$L:$L,Output!$A:$A,Prediction!$A62,Output!$C:$C,Prediction!AD$5)</f>
        <v>0</v>
      </c>
      <c r="AI62" s="29">
        <f>IFERROR(VLOOKUP($D62,Schedules!$A:$I,MATCH(Prediction!AI$6,Schedules!$A$1:$H$1,0),FALSE),0)</f>
        <v>0</v>
      </c>
      <c r="AJ62" s="24">
        <f>IF(AI62=0,0,SUMIFS(Output!$L:$L,Output!$A:$A,Prediction!$A62,Output!$C:$C,Prediction!AI$5))</f>
        <v>0</v>
      </c>
      <c r="AK62" s="24">
        <f t="shared" si="15"/>
        <v>0</v>
      </c>
      <c r="AL62" s="24">
        <f t="shared" si="24"/>
        <v>0</v>
      </c>
      <c r="AM62" s="30">
        <f>SUMIFS(Output!$L:$L,Output!$A:$A,Prediction!$A62,Output!$C:$C,Prediction!AI$5)</f>
        <v>0</v>
      </c>
      <c r="AN62">
        <f t="shared" si="25"/>
        <v>0</v>
      </c>
      <c r="AO62" s="3">
        <f t="shared" si="26"/>
        <v>0</v>
      </c>
      <c r="AP62" s="44"/>
      <c r="AQ62" s="3">
        <f t="shared" si="16"/>
        <v>0</v>
      </c>
      <c r="AR62" s="3">
        <f t="shared" si="27"/>
        <v>0</v>
      </c>
    </row>
    <row r="63" spans="1:44" x14ac:dyDescent="0.25">
      <c r="A63" s="9" t="str">
        <f t="array" ref="A63">IFERROR(INDEX(Output!A$1:A$2000,MATCH(0,COUNTIF(Prediction!$A$7:A62,Output!A$1:A$2000),0)),"")</f>
        <v/>
      </c>
      <c r="B63" t="str">
        <f>IFERROR(VLOOKUP($A63,Output!$A:$M,2,FALSE),"")</f>
        <v/>
      </c>
      <c r="C63" t="str">
        <f>IFERROR(VLOOKUP(B63,Departments!B:C,2,FALSE),"")</f>
        <v/>
      </c>
      <c r="D63" t="str">
        <f>IFERROR(VLOOKUP($A63,Output!$A:$M,13,FALSE),"")</f>
        <v/>
      </c>
      <c r="E63" s="29">
        <f>IFERROR(VLOOKUP($D63,Schedules!$A:$I,MATCH(Prediction!E$6,Schedules!$A$1:$H$1,0),FALSE),0)</f>
        <v>0</v>
      </c>
      <c r="F63" s="24">
        <f>IF(E63=0,0,SUMIFS(Output!$L:$L,Output!$A:$A,Prediction!$A63,Output!$C:$C,Prediction!E$5))</f>
        <v>0</v>
      </c>
      <c r="G63" s="24">
        <f t="shared" si="10"/>
        <v>0</v>
      </c>
      <c r="H63" s="45">
        <f t="shared" si="17"/>
        <v>0</v>
      </c>
      <c r="I63" s="30">
        <f>SUMIFS(Output!$L:$L,Output!$A:$A,Prediction!$A63,Output!$C:$C,Prediction!E$5)</f>
        <v>0</v>
      </c>
      <c r="J63" s="29">
        <f>IFERROR(VLOOKUP($D63,Schedules!$A:$I,MATCH(Prediction!J$6,Schedules!$A$1:$H$1,0),FALSE),0)</f>
        <v>0</v>
      </c>
      <c r="K63" s="24">
        <f>IF(J63=0,0,SUMIFS(Output!$L:$L,Output!$A:$A,Prediction!$A63,Output!$C:$C,Prediction!J$5))</f>
        <v>0</v>
      </c>
      <c r="L63" s="24">
        <f t="shared" si="11"/>
        <v>0</v>
      </c>
      <c r="M63" s="24">
        <f t="shared" si="18"/>
        <v>0</v>
      </c>
      <c r="N63" s="30">
        <f>SUMIFS(Output!$L:$L,Output!$A:$A,Prediction!$A63,Output!$C:$C,Prediction!J$5)</f>
        <v>0</v>
      </c>
      <c r="O63" s="29">
        <f>IFERROR(VLOOKUP($D63,Schedules!$A:$I,MATCH(Prediction!O$6,Schedules!$A$1:$H$1,0),FALSE),0)</f>
        <v>0</v>
      </c>
      <c r="P63" s="24">
        <f>IF(O63=0,0,SUMIFS(Output!$L:$L,Output!$A:$A,Prediction!$A63,Output!$C:$C,Prediction!O$5))</f>
        <v>0</v>
      </c>
      <c r="Q63" s="24">
        <f t="shared" si="12"/>
        <v>0</v>
      </c>
      <c r="R63" s="24">
        <f t="shared" si="19"/>
        <v>0</v>
      </c>
      <c r="S63" s="30">
        <f>SUMIFS(Output!$L:$L,Output!$A:$A,Prediction!$A63,Output!$C:$C,Prediction!O$5)</f>
        <v>0</v>
      </c>
      <c r="T63" s="29">
        <f>IFERROR(VLOOKUP($D63,Schedules!$A:$I,MATCH(Prediction!T$6,Schedules!$A$1:$H$1,0),FALSE),0)</f>
        <v>0</v>
      </c>
      <c r="U63" s="24">
        <f>IF(T63=0,0,SUMIFS(Output!$L:$L,Output!$A:$A,Prediction!$A63,Output!$C:$C,Prediction!T$5))</f>
        <v>0</v>
      </c>
      <c r="V63" s="24">
        <f t="shared" si="20"/>
        <v>0</v>
      </c>
      <c r="W63" s="24">
        <f t="shared" si="21"/>
        <v>0</v>
      </c>
      <c r="X63" s="30">
        <f>SUMIFS(Output!$L:$L,Output!$A:$A,Prediction!$A63,Output!$C:$C,Prediction!T$5)</f>
        <v>0</v>
      </c>
      <c r="Y63" s="25">
        <f>IFERROR(VLOOKUP($D63,Schedules!$A:$I,MATCH(Prediction!Y$6,Schedules!$A$1:$H$1,0),FALSE),0)</f>
        <v>0</v>
      </c>
      <c r="Z63" s="24">
        <f>IF(Y63=0,0,SUMIFS(Output!$L:$L,Output!$A:$A,Prediction!$A63,Output!$C:$C,Prediction!Y$5))</f>
        <v>0</v>
      </c>
      <c r="AA63" s="24">
        <f t="shared" si="13"/>
        <v>0</v>
      </c>
      <c r="AB63" s="24">
        <f t="shared" si="22"/>
        <v>0</v>
      </c>
      <c r="AC63" s="30">
        <f>SUMIFS(Output!$L:$L,Output!$A:$A,Prediction!$A63,Output!$C:$C,Prediction!Y$5)</f>
        <v>0</v>
      </c>
      <c r="AD63" s="29">
        <f>IFERROR(VLOOKUP($D63,Schedules!$A:$I,MATCH(Prediction!AD$6,Schedules!$A$1:$H$1,0),FALSE),0)</f>
        <v>0</v>
      </c>
      <c r="AE63" s="24">
        <f>IF(AD63=0,0,SUMIFS(Output!$L:$L,Output!$A:$A,Prediction!$A63,Output!$C:$C,Prediction!AD$5))</f>
        <v>0</v>
      </c>
      <c r="AF63" s="24">
        <f t="shared" si="14"/>
        <v>0</v>
      </c>
      <c r="AG63" s="24">
        <f t="shared" si="23"/>
        <v>0</v>
      </c>
      <c r="AH63" s="30">
        <f>SUMIFS(Output!$L:$L,Output!$A:$A,Prediction!$A63,Output!$C:$C,Prediction!AD$5)</f>
        <v>0</v>
      </c>
      <c r="AI63" s="29">
        <f>IFERROR(VLOOKUP($D63,Schedules!$A:$I,MATCH(Prediction!AI$6,Schedules!$A$1:$H$1,0),FALSE),0)</f>
        <v>0</v>
      </c>
      <c r="AJ63" s="24">
        <f>IF(AI63=0,0,SUMIFS(Output!$L:$L,Output!$A:$A,Prediction!$A63,Output!$C:$C,Prediction!AI$5))</f>
        <v>0</v>
      </c>
      <c r="AK63" s="24">
        <f t="shared" si="15"/>
        <v>0</v>
      </c>
      <c r="AL63" s="24">
        <f t="shared" si="24"/>
        <v>0</v>
      </c>
      <c r="AM63" s="30">
        <f>SUMIFS(Output!$L:$L,Output!$A:$A,Prediction!$A63,Output!$C:$C,Prediction!AI$5)</f>
        <v>0</v>
      </c>
      <c r="AN63">
        <f t="shared" si="25"/>
        <v>0</v>
      </c>
      <c r="AO63" s="3">
        <f t="shared" si="26"/>
        <v>0</v>
      </c>
      <c r="AP63" s="44"/>
      <c r="AQ63" s="3">
        <f t="shared" si="16"/>
        <v>0</v>
      </c>
      <c r="AR63" s="3">
        <f t="shared" si="27"/>
        <v>0</v>
      </c>
    </row>
    <row r="64" spans="1:44" x14ac:dyDescent="0.25">
      <c r="A64" s="9" t="str">
        <f t="array" ref="A64">IFERROR(INDEX(Output!A$1:A$2000,MATCH(0,COUNTIF(Prediction!$A$7:A63,Output!A$1:A$2000),0)),"")</f>
        <v/>
      </c>
      <c r="B64" t="str">
        <f>IFERROR(VLOOKUP($A64,Output!$A:$M,2,FALSE),"")</f>
        <v/>
      </c>
      <c r="C64" t="str">
        <f>IFERROR(VLOOKUP(B64,Departments!B:C,2,FALSE),"")</f>
        <v/>
      </c>
      <c r="D64" t="str">
        <f>IFERROR(VLOOKUP($A64,Output!$A:$M,13,FALSE),"")</f>
        <v/>
      </c>
      <c r="E64" s="29">
        <f>IFERROR(VLOOKUP($D64,Schedules!$A:$I,MATCH(Prediction!E$6,Schedules!$A$1:$H$1,0),FALSE),0)</f>
        <v>0</v>
      </c>
      <c r="F64" s="24">
        <f>IF(E64=0,0,SUMIFS(Output!$L:$L,Output!$A:$A,Prediction!$A64,Output!$C:$C,Prediction!E$5))</f>
        <v>0</v>
      </c>
      <c r="G64" s="24">
        <f t="shared" si="10"/>
        <v>0</v>
      </c>
      <c r="H64" s="45">
        <f t="shared" si="17"/>
        <v>0</v>
      </c>
      <c r="I64" s="30">
        <f>SUMIFS(Output!$L:$L,Output!$A:$A,Prediction!$A64,Output!$C:$C,Prediction!E$5)</f>
        <v>0</v>
      </c>
      <c r="J64" s="29">
        <f>IFERROR(VLOOKUP($D64,Schedules!$A:$I,MATCH(Prediction!J$6,Schedules!$A$1:$H$1,0),FALSE),0)</f>
        <v>0</v>
      </c>
      <c r="K64" s="24">
        <f>IF(J64=0,0,SUMIFS(Output!$L:$L,Output!$A:$A,Prediction!$A64,Output!$C:$C,Prediction!J$5))</f>
        <v>0</v>
      </c>
      <c r="L64" s="24">
        <f t="shared" si="11"/>
        <v>0</v>
      </c>
      <c r="M64" s="24">
        <f t="shared" si="18"/>
        <v>0</v>
      </c>
      <c r="N64" s="30">
        <f>SUMIFS(Output!$L:$L,Output!$A:$A,Prediction!$A64,Output!$C:$C,Prediction!J$5)</f>
        <v>0</v>
      </c>
      <c r="O64" s="29">
        <f>IFERROR(VLOOKUP($D64,Schedules!$A:$I,MATCH(Prediction!O$6,Schedules!$A$1:$H$1,0),FALSE),0)</f>
        <v>0</v>
      </c>
      <c r="P64" s="24">
        <f>IF(O64=0,0,SUMIFS(Output!$L:$L,Output!$A:$A,Prediction!$A64,Output!$C:$C,Prediction!O$5))</f>
        <v>0</v>
      </c>
      <c r="Q64" s="24">
        <f t="shared" si="12"/>
        <v>0</v>
      </c>
      <c r="R64" s="24">
        <f t="shared" si="19"/>
        <v>0</v>
      </c>
      <c r="S64" s="30">
        <f>SUMIFS(Output!$L:$L,Output!$A:$A,Prediction!$A64,Output!$C:$C,Prediction!O$5)</f>
        <v>0</v>
      </c>
      <c r="T64" s="29">
        <f>IFERROR(VLOOKUP($D64,Schedules!$A:$I,MATCH(Prediction!T$6,Schedules!$A$1:$H$1,0),FALSE),0)</f>
        <v>0</v>
      </c>
      <c r="U64" s="24">
        <f>IF(T64=0,0,SUMIFS(Output!$L:$L,Output!$A:$A,Prediction!$A64,Output!$C:$C,Prediction!T$5))</f>
        <v>0</v>
      </c>
      <c r="V64" s="24">
        <f t="shared" si="20"/>
        <v>0</v>
      </c>
      <c r="W64" s="24">
        <f t="shared" si="21"/>
        <v>0</v>
      </c>
      <c r="X64" s="30">
        <f>SUMIFS(Output!$L:$L,Output!$A:$A,Prediction!$A64,Output!$C:$C,Prediction!T$5)</f>
        <v>0</v>
      </c>
      <c r="Y64" s="25">
        <f>IFERROR(VLOOKUP($D64,Schedules!$A:$I,MATCH(Prediction!Y$6,Schedules!$A$1:$H$1,0),FALSE),0)</f>
        <v>0</v>
      </c>
      <c r="Z64" s="24">
        <f>IF(Y64=0,0,SUMIFS(Output!$L:$L,Output!$A:$A,Prediction!$A64,Output!$C:$C,Prediction!Y$5))</f>
        <v>0</v>
      </c>
      <c r="AA64" s="24">
        <f t="shared" si="13"/>
        <v>0</v>
      </c>
      <c r="AB64" s="24">
        <f t="shared" si="22"/>
        <v>0</v>
      </c>
      <c r="AC64" s="30">
        <f>SUMIFS(Output!$L:$L,Output!$A:$A,Prediction!$A64,Output!$C:$C,Prediction!Y$5)</f>
        <v>0</v>
      </c>
      <c r="AD64" s="29">
        <f>IFERROR(VLOOKUP($D64,Schedules!$A:$I,MATCH(Prediction!AD$6,Schedules!$A$1:$H$1,0),FALSE),0)</f>
        <v>0</v>
      </c>
      <c r="AE64" s="24">
        <f>IF(AD64=0,0,SUMIFS(Output!$L:$L,Output!$A:$A,Prediction!$A64,Output!$C:$C,Prediction!AD$5))</f>
        <v>0</v>
      </c>
      <c r="AF64" s="24">
        <f t="shared" si="14"/>
        <v>0</v>
      </c>
      <c r="AG64" s="24">
        <f t="shared" si="23"/>
        <v>0</v>
      </c>
      <c r="AH64" s="30">
        <f>SUMIFS(Output!$L:$L,Output!$A:$A,Prediction!$A64,Output!$C:$C,Prediction!AD$5)</f>
        <v>0</v>
      </c>
      <c r="AI64" s="29">
        <f>IFERROR(VLOOKUP($D64,Schedules!$A:$I,MATCH(Prediction!AI$6,Schedules!$A$1:$H$1,0),FALSE),0)</f>
        <v>0</v>
      </c>
      <c r="AJ64" s="24">
        <f>IF(AI64=0,0,SUMIFS(Output!$L:$L,Output!$A:$A,Prediction!$A64,Output!$C:$C,Prediction!AI$5))</f>
        <v>0</v>
      </c>
      <c r="AK64" s="24">
        <f t="shared" si="15"/>
        <v>0</v>
      </c>
      <c r="AL64" s="24">
        <f t="shared" si="24"/>
        <v>0</v>
      </c>
      <c r="AM64" s="30">
        <f>SUMIFS(Output!$L:$L,Output!$A:$A,Prediction!$A64,Output!$C:$C,Prediction!AI$5)</f>
        <v>0</v>
      </c>
      <c r="AN64">
        <f t="shared" si="25"/>
        <v>0</v>
      </c>
      <c r="AO64" s="3">
        <f t="shared" si="26"/>
        <v>0</v>
      </c>
      <c r="AP64" s="44"/>
      <c r="AQ64" s="3">
        <f t="shared" si="16"/>
        <v>0</v>
      </c>
      <c r="AR64" s="3">
        <f t="shared" si="27"/>
        <v>0</v>
      </c>
    </row>
    <row r="65" spans="1:44" x14ac:dyDescent="0.25">
      <c r="A65" s="9" t="str">
        <f t="array" ref="A65">IFERROR(INDEX(Output!A$1:A$2000,MATCH(0,COUNTIF(Prediction!$A$7:A64,Output!A$1:A$2000),0)),"")</f>
        <v/>
      </c>
      <c r="B65" t="str">
        <f>IFERROR(VLOOKUP($A65,Output!$A:$M,2,FALSE),"")</f>
        <v/>
      </c>
      <c r="C65" t="str">
        <f>IFERROR(VLOOKUP(B65,Departments!B:C,2,FALSE),"")</f>
        <v/>
      </c>
      <c r="D65" t="str">
        <f>IFERROR(VLOOKUP($A65,Output!$A:$M,13,FALSE),"")</f>
        <v/>
      </c>
      <c r="E65" s="29">
        <f>IFERROR(VLOOKUP($D65,Schedules!$A:$I,MATCH(Prediction!E$6,Schedules!$A$1:$H$1,0),FALSE),0)</f>
        <v>0</v>
      </c>
      <c r="F65" s="24">
        <f>IF(E65=0,0,SUMIFS(Output!$L:$L,Output!$A:$A,Prediction!$A65,Output!$C:$C,Prediction!E$5))</f>
        <v>0</v>
      </c>
      <c r="G65" s="24">
        <f t="shared" si="10"/>
        <v>0</v>
      </c>
      <c r="H65" s="45">
        <f t="shared" si="17"/>
        <v>0</v>
      </c>
      <c r="I65" s="30">
        <f>SUMIFS(Output!$L:$L,Output!$A:$A,Prediction!$A65,Output!$C:$C,Prediction!E$5)</f>
        <v>0</v>
      </c>
      <c r="J65" s="29">
        <f>IFERROR(VLOOKUP($D65,Schedules!$A:$I,MATCH(Prediction!J$6,Schedules!$A$1:$H$1,0),FALSE),0)</f>
        <v>0</v>
      </c>
      <c r="K65" s="24">
        <f>IF(J65=0,0,SUMIFS(Output!$L:$L,Output!$A:$A,Prediction!$A65,Output!$C:$C,Prediction!J$5))</f>
        <v>0</v>
      </c>
      <c r="L65" s="24">
        <f t="shared" si="11"/>
        <v>0</v>
      </c>
      <c r="M65" s="24">
        <f t="shared" si="18"/>
        <v>0</v>
      </c>
      <c r="N65" s="30">
        <f>SUMIFS(Output!$L:$L,Output!$A:$A,Prediction!$A65,Output!$C:$C,Prediction!J$5)</f>
        <v>0</v>
      </c>
      <c r="O65" s="29">
        <f>IFERROR(VLOOKUP($D65,Schedules!$A:$I,MATCH(Prediction!O$6,Schedules!$A$1:$H$1,0),FALSE),0)</f>
        <v>0</v>
      </c>
      <c r="P65" s="24">
        <f>IF(O65=0,0,SUMIFS(Output!$L:$L,Output!$A:$A,Prediction!$A65,Output!$C:$C,Prediction!O$5))</f>
        <v>0</v>
      </c>
      <c r="Q65" s="24">
        <f t="shared" si="12"/>
        <v>0</v>
      </c>
      <c r="R65" s="24">
        <f t="shared" si="19"/>
        <v>0</v>
      </c>
      <c r="S65" s="30">
        <f>SUMIFS(Output!$L:$L,Output!$A:$A,Prediction!$A65,Output!$C:$C,Prediction!O$5)</f>
        <v>0</v>
      </c>
      <c r="T65" s="29">
        <f>IFERROR(VLOOKUP($D65,Schedules!$A:$I,MATCH(Prediction!T$6,Schedules!$A$1:$H$1,0),FALSE),0)</f>
        <v>0</v>
      </c>
      <c r="U65" s="24">
        <f>IF(T65=0,0,SUMIFS(Output!$L:$L,Output!$A:$A,Prediction!$A65,Output!$C:$C,Prediction!T$5))</f>
        <v>0</v>
      </c>
      <c r="V65" s="24">
        <f t="shared" si="20"/>
        <v>0</v>
      </c>
      <c r="W65" s="24">
        <f t="shared" si="21"/>
        <v>0</v>
      </c>
      <c r="X65" s="30">
        <f>SUMIFS(Output!$L:$L,Output!$A:$A,Prediction!$A65,Output!$C:$C,Prediction!T$5)</f>
        <v>0</v>
      </c>
      <c r="Y65" s="25">
        <f>IFERROR(VLOOKUP($D65,Schedules!$A:$I,MATCH(Prediction!Y$6,Schedules!$A$1:$H$1,0),FALSE),0)</f>
        <v>0</v>
      </c>
      <c r="Z65" s="24">
        <f>IF(Y65=0,0,SUMIFS(Output!$L:$L,Output!$A:$A,Prediction!$A65,Output!$C:$C,Prediction!Y$5))</f>
        <v>0</v>
      </c>
      <c r="AA65" s="24">
        <f t="shared" si="13"/>
        <v>0</v>
      </c>
      <c r="AB65" s="24">
        <f t="shared" si="22"/>
        <v>0</v>
      </c>
      <c r="AC65" s="30">
        <f>SUMIFS(Output!$L:$L,Output!$A:$A,Prediction!$A65,Output!$C:$C,Prediction!Y$5)</f>
        <v>0</v>
      </c>
      <c r="AD65" s="29">
        <f>IFERROR(VLOOKUP($D65,Schedules!$A:$I,MATCH(Prediction!AD$6,Schedules!$A$1:$H$1,0),FALSE),0)</f>
        <v>0</v>
      </c>
      <c r="AE65" s="24">
        <f>IF(AD65=0,0,SUMIFS(Output!$L:$L,Output!$A:$A,Prediction!$A65,Output!$C:$C,Prediction!AD$5))</f>
        <v>0</v>
      </c>
      <c r="AF65" s="24">
        <f t="shared" si="14"/>
        <v>0</v>
      </c>
      <c r="AG65" s="24">
        <f t="shared" si="23"/>
        <v>0</v>
      </c>
      <c r="AH65" s="30">
        <f>SUMIFS(Output!$L:$L,Output!$A:$A,Prediction!$A65,Output!$C:$C,Prediction!AD$5)</f>
        <v>0</v>
      </c>
      <c r="AI65" s="29">
        <f>IFERROR(VLOOKUP($D65,Schedules!$A:$I,MATCH(Prediction!AI$6,Schedules!$A$1:$H$1,0),FALSE),0)</f>
        <v>0</v>
      </c>
      <c r="AJ65" s="24">
        <f>IF(AI65=0,0,SUMIFS(Output!$L:$L,Output!$A:$A,Prediction!$A65,Output!$C:$C,Prediction!AI$5))</f>
        <v>0</v>
      </c>
      <c r="AK65" s="24">
        <f t="shared" si="15"/>
        <v>0</v>
      </c>
      <c r="AL65" s="24">
        <f t="shared" si="24"/>
        <v>0</v>
      </c>
      <c r="AM65" s="30">
        <f>SUMIFS(Output!$L:$L,Output!$A:$A,Prediction!$A65,Output!$C:$C,Prediction!AI$5)</f>
        <v>0</v>
      </c>
      <c r="AN65">
        <f t="shared" si="25"/>
        <v>0</v>
      </c>
      <c r="AO65" s="3">
        <f t="shared" si="26"/>
        <v>0</v>
      </c>
      <c r="AP65" s="44"/>
      <c r="AQ65" s="3">
        <f t="shared" si="16"/>
        <v>0</v>
      </c>
      <c r="AR65" s="3">
        <f t="shared" si="27"/>
        <v>0</v>
      </c>
    </row>
    <row r="66" spans="1:44" x14ac:dyDescent="0.25">
      <c r="A66" s="9" t="str">
        <f t="array" ref="A66">IFERROR(INDEX(Output!A$1:A$2000,MATCH(0,COUNTIF(Prediction!$A$7:A65,Output!A$1:A$2000),0)),"")</f>
        <v/>
      </c>
      <c r="B66" t="str">
        <f>IFERROR(VLOOKUP($A66,Output!$A:$M,2,FALSE),"")</f>
        <v/>
      </c>
      <c r="C66" t="str">
        <f>IFERROR(VLOOKUP(B66,Departments!B:C,2,FALSE),"")</f>
        <v/>
      </c>
      <c r="D66" t="str">
        <f>IFERROR(VLOOKUP($A66,Output!$A:$M,13,FALSE),"")</f>
        <v/>
      </c>
      <c r="E66" s="29">
        <f>IFERROR(VLOOKUP($D66,Schedules!$A:$I,MATCH(Prediction!E$6,Schedules!$A$1:$H$1,0),FALSE),0)</f>
        <v>0</v>
      </c>
      <c r="F66" s="24">
        <f>IF(E66=0,0,SUMIFS(Output!$L:$L,Output!$A:$A,Prediction!$A66,Output!$C:$C,Prediction!E$5))</f>
        <v>0</v>
      </c>
      <c r="G66" s="24">
        <f t="shared" si="10"/>
        <v>0</v>
      </c>
      <c r="H66" s="45">
        <f t="shared" si="17"/>
        <v>0</v>
      </c>
      <c r="I66" s="30">
        <f>SUMIFS(Output!$L:$L,Output!$A:$A,Prediction!$A66,Output!$C:$C,Prediction!E$5)</f>
        <v>0</v>
      </c>
      <c r="J66" s="29">
        <f>IFERROR(VLOOKUP($D66,Schedules!$A:$I,MATCH(Prediction!J$6,Schedules!$A$1:$H$1,0),FALSE),0)</f>
        <v>0</v>
      </c>
      <c r="K66" s="24">
        <f>IF(J66=0,0,SUMIFS(Output!$L:$L,Output!$A:$A,Prediction!$A66,Output!$C:$C,Prediction!J$5))</f>
        <v>0</v>
      </c>
      <c r="L66" s="24">
        <f t="shared" si="11"/>
        <v>0</v>
      </c>
      <c r="M66" s="24">
        <f t="shared" si="18"/>
        <v>0</v>
      </c>
      <c r="N66" s="30">
        <f>SUMIFS(Output!$L:$L,Output!$A:$A,Prediction!$A66,Output!$C:$C,Prediction!J$5)</f>
        <v>0</v>
      </c>
      <c r="O66" s="29">
        <f>IFERROR(VLOOKUP($D66,Schedules!$A:$I,MATCH(Prediction!O$6,Schedules!$A$1:$H$1,0),FALSE),0)</f>
        <v>0</v>
      </c>
      <c r="P66" s="24">
        <f>IF(O66=0,0,SUMIFS(Output!$L:$L,Output!$A:$A,Prediction!$A66,Output!$C:$C,Prediction!O$5))</f>
        <v>0</v>
      </c>
      <c r="Q66" s="24">
        <f t="shared" si="12"/>
        <v>0</v>
      </c>
      <c r="R66" s="24">
        <f t="shared" si="19"/>
        <v>0</v>
      </c>
      <c r="S66" s="30">
        <f>SUMIFS(Output!$L:$L,Output!$A:$A,Prediction!$A66,Output!$C:$C,Prediction!O$5)</f>
        <v>0</v>
      </c>
      <c r="T66" s="29">
        <f>IFERROR(VLOOKUP($D66,Schedules!$A:$I,MATCH(Prediction!T$6,Schedules!$A$1:$H$1,0),FALSE),0)</f>
        <v>0</v>
      </c>
      <c r="U66" s="24">
        <f>IF(T66=0,0,SUMIFS(Output!$L:$L,Output!$A:$A,Prediction!$A66,Output!$C:$C,Prediction!T$5))</f>
        <v>0</v>
      </c>
      <c r="V66" s="24">
        <f t="shared" si="20"/>
        <v>0</v>
      </c>
      <c r="W66" s="24">
        <f t="shared" si="21"/>
        <v>0</v>
      </c>
      <c r="X66" s="30">
        <f>SUMIFS(Output!$L:$L,Output!$A:$A,Prediction!$A66,Output!$C:$C,Prediction!T$5)</f>
        <v>0</v>
      </c>
      <c r="Y66" s="25">
        <f>IFERROR(VLOOKUP($D66,Schedules!$A:$I,MATCH(Prediction!Y$6,Schedules!$A$1:$H$1,0),FALSE),0)</f>
        <v>0</v>
      </c>
      <c r="Z66" s="24">
        <f>IF(Y66=0,0,SUMIFS(Output!$L:$L,Output!$A:$A,Prediction!$A66,Output!$C:$C,Prediction!Y$5))</f>
        <v>0</v>
      </c>
      <c r="AA66" s="24">
        <f t="shared" si="13"/>
        <v>0</v>
      </c>
      <c r="AB66" s="24">
        <f t="shared" si="22"/>
        <v>0</v>
      </c>
      <c r="AC66" s="30">
        <f>SUMIFS(Output!$L:$L,Output!$A:$A,Prediction!$A66,Output!$C:$C,Prediction!Y$5)</f>
        <v>0</v>
      </c>
      <c r="AD66" s="29">
        <f>IFERROR(VLOOKUP($D66,Schedules!$A:$I,MATCH(Prediction!AD$6,Schedules!$A$1:$H$1,0),FALSE),0)</f>
        <v>0</v>
      </c>
      <c r="AE66" s="24">
        <f>IF(AD66=0,0,SUMIFS(Output!$L:$L,Output!$A:$A,Prediction!$A66,Output!$C:$C,Prediction!AD$5))</f>
        <v>0</v>
      </c>
      <c r="AF66" s="24">
        <f t="shared" si="14"/>
        <v>0</v>
      </c>
      <c r="AG66" s="24">
        <f t="shared" si="23"/>
        <v>0</v>
      </c>
      <c r="AH66" s="30">
        <f>SUMIFS(Output!$L:$L,Output!$A:$A,Prediction!$A66,Output!$C:$C,Prediction!AD$5)</f>
        <v>0</v>
      </c>
      <c r="AI66" s="29">
        <f>IFERROR(VLOOKUP($D66,Schedules!$A:$I,MATCH(Prediction!AI$6,Schedules!$A$1:$H$1,0),FALSE),0)</f>
        <v>0</v>
      </c>
      <c r="AJ66" s="24">
        <f>IF(AI66=0,0,SUMIFS(Output!$L:$L,Output!$A:$A,Prediction!$A66,Output!$C:$C,Prediction!AI$5))</f>
        <v>0</v>
      </c>
      <c r="AK66" s="24">
        <f t="shared" si="15"/>
        <v>0</v>
      </c>
      <c r="AL66" s="24">
        <f t="shared" si="24"/>
        <v>0</v>
      </c>
      <c r="AM66" s="30">
        <f>SUMIFS(Output!$L:$L,Output!$A:$A,Prediction!$A66,Output!$C:$C,Prediction!AI$5)</f>
        <v>0</v>
      </c>
      <c r="AN66">
        <f t="shared" si="25"/>
        <v>0</v>
      </c>
      <c r="AO66" s="3">
        <f t="shared" si="26"/>
        <v>0</v>
      </c>
      <c r="AP66" s="44"/>
      <c r="AQ66" s="3">
        <f t="shared" si="16"/>
        <v>0</v>
      </c>
      <c r="AR66" s="3">
        <f t="shared" si="27"/>
        <v>0</v>
      </c>
    </row>
    <row r="67" spans="1:44" x14ac:dyDescent="0.25">
      <c r="A67" s="9" t="str">
        <f t="array" ref="A67">IFERROR(INDEX(Output!A$1:A$2000,MATCH(0,COUNTIF(Prediction!$A$7:A66,Output!A$1:A$2000),0)),"")</f>
        <v/>
      </c>
      <c r="B67" t="str">
        <f>IFERROR(VLOOKUP($A67,Output!$A:$M,2,FALSE),"")</f>
        <v/>
      </c>
      <c r="C67" t="str">
        <f>IFERROR(VLOOKUP(B67,Departments!B:C,2,FALSE),"")</f>
        <v/>
      </c>
      <c r="D67" t="str">
        <f>IFERROR(VLOOKUP($A67,Output!$A:$M,13,FALSE),"")</f>
        <v/>
      </c>
      <c r="E67" s="29">
        <f>IFERROR(VLOOKUP($D67,Schedules!$A:$I,MATCH(Prediction!E$6,Schedules!$A$1:$H$1,0),FALSE),0)</f>
        <v>0</v>
      </c>
      <c r="F67" s="24">
        <f>IF(E67=0,0,SUMIFS(Output!$L:$L,Output!$A:$A,Prediction!$A67,Output!$C:$C,Prediction!E$5))</f>
        <v>0</v>
      </c>
      <c r="G67" s="24">
        <f t="shared" si="10"/>
        <v>0</v>
      </c>
      <c r="H67" s="45">
        <f t="shared" si="17"/>
        <v>0</v>
      </c>
      <c r="I67" s="30">
        <f>SUMIFS(Output!$L:$L,Output!$A:$A,Prediction!$A67,Output!$C:$C,Prediction!E$5)</f>
        <v>0</v>
      </c>
      <c r="J67" s="29">
        <f>IFERROR(VLOOKUP($D67,Schedules!$A:$I,MATCH(Prediction!J$6,Schedules!$A$1:$H$1,0),FALSE),0)</f>
        <v>0</v>
      </c>
      <c r="K67" s="24">
        <f>IF(J67=0,0,SUMIFS(Output!$L:$L,Output!$A:$A,Prediction!$A67,Output!$C:$C,Prediction!J$5))</f>
        <v>0</v>
      </c>
      <c r="L67" s="24">
        <f t="shared" si="11"/>
        <v>0</v>
      </c>
      <c r="M67" s="24">
        <f t="shared" si="18"/>
        <v>0</v>
      </c>
      <c r="N67" s="30">
        <f>SUMIFS(Output!$L:$L,Output!$A:$A,Prediction!$A67,Output!$C:$C,Prediction!J$5)</f>
        <v>0</v>
      </c>
      <c r="O67" s="29">
        <f>IFERROR(VLOOKUP($D67,Schedules!$A:$I,MATCH(Prediction!O$6,Schedules!$A$1:$H$1,0),FALSE),0)</f>
        <v>0</v>
      </c>
      <c r="P67" s="24">
        <f>IF(O67=0,0,SUMIFS(Output!$L:$L,Output!$A:$A,Prediction!$A67,Output!$C:$C,Prediction!O$5))</f>
        <v>0</v>
      </c>
      <c r="Q67" s="24">
        <f t="shared" si="12"/>
        <v>0</v>
      </c>
      <c r="R67" s="24">
        <f t="shared" si="19"/>
        <v>0</v>
      </c>
      <c r="S67" s="30">
        <f>SUMIFS(Output!$L:$L,Output!$A:$A,Prediction!$A67,Output!$C:$C,Prediction!O$5)</f>
        <v>0</v>
      </c>
      <c r="T67" s="29">
        <f>IFERROR(VLOOKUP($D67,Schedules!$A:$I,MATCH(Prediction!T$6,Schedules!$A$1:$H$1,0),FALSE),0)</f>
        <v>0</v>
      </c>
      <c r="U67" s="24">
        <f>IF(T67=0,0,SUMIFS(Output!$L:$L,Output!$A:$A,Prediction!$A67,Output!$C:$C,Prediction!T$5))</f>
        <v>0</v>
      </c>
      <c r="V67" s="24">
        <f t="shared" si="20"/>
        <v>0</v>
      </c>
      <c r="W67" s="24">
        <f t="shared" si="21"/>
        <v>0</v>
      </c>
      <c r="X67" s="30">
        <f>SUMIFS(Output!$L:$L,Output!$A:$A,Prediction!$A67,Output!$C:$C,Prediction!T$5)</f>
        <v>0</v>
      </c>
      <c r="Y67" s="25">
        <f>IFERROR(VLOOKUP($D67,Schedules!$A:$I,MATCH(Prediction!Y$6,Schedules!$A$1:$H$1,0),FALSE),0)</f>
        <v>0</v>
      </c>
      <c r="Z67" s="24">
        <f>IF(Y67=0,0,SUMIFS(Output!$L:$L,Output!$A:$A,Prediction!$A67,Output!$C:$C,Prediction!Y$5))</f>
        <v>0</v>
      </c>
      <c r="AA67" s="24">
        <f t="shared" si="13"/>
        <v>0</v>
      </c>
      <c r="AB67" s="24">
        <f t="shared" si="22"/>
        <v>0</v>
      </c>
      <c r="AC67" s="30">
        <f>SUMIFS(Output!$L:$L,Output!$A:$A,Prediction!$A67,Output!$C:$C,Prediction!Y$5)</f>
        <v>0</v>
      </c>
      <c r="AD67" s="29">
        <f>IFERROR(VLOOKUP($D67,Schedules!$A:$I,MATCH(Prediction!AD$6,Schedules!$A$1:$H$1,0),FALSE),0)</f>
        <v>0</v>
      </c>
      <c r="AE67" s="24">
        <f>IF(AD67=0,0,SUMIFS(Output!$L:$L,Output!$A:$A,Prediction!$A67,Output!$C:$C,Prediction!AD$5))</f>
        <v>0</v>
      </c>
      <c r="AF67" s="24">
        <f t="shared" si="14"/>
        <v>0</v>
      </c>
      <c r="AG67" s="24">
        <f t="shared" si="23"/>
        <v>0</v>
      </c>
      <c r="AH67" s="30">
        <f>SUMIFS(Output!$L:$L,Output!$A:$A,Prediction!$A67,Output!$C:$C,Prediction!AD$5)</f>
        <v>0</v>
      </c>
      <c r="AI67" s="29">
        <f>IFERROR(VLOOKUP($D67,Schedules!$A:$I,MATCH(Prediction!AI$6,Schedules!$A$1:$H$1,0),FALSE),0)</f>
        <v>0</v>
      </c>
      <c r="AJ67" s="24">
        <f>IF(AI67=0,0,SUMIFS(Output!$L:$L,Output!$A:$A,Prediction!$A67,Output!$C:$C,Prediction!AI$5))</f>
        <v>0</v>
      </c>
      <c r="AK67" s="24">
        <f t="shared" si="15"/>
        <v>0</v>
      </c>
      <c r="AL67" s="24">
        <f t="shared" si="24"/>
        <v>0</v>
      </c>
      <c r="AM67" s="30">
        <f>SUMIFS(Output!$L:$L,Output!$A:$A,Prediction!$A67,Output!$C:$C,Prediction!AI$5)</f>
        <v>0</v>
      </c>
      <c r="AN67">
        <f t="shared" si="25"/>
        <v>0</v>
      </c>
      <c r="AO67" s="3">
        <f t="shared" si="26"/>
        <v>0</v>
      </c>
      <c r="AP67" s="44"/>
      <c r="AQ67" s="3">
        <f t="shared" si="16"/>
        <v>0</v>
      </c>
      <c r="AR67" s="3">
        <f t="shared" si="27"/>
        <v>0</v>
      </c>
    </row>
    <row r="68" spans="1:44" x14ac:dyDescent="0.25">
      <c r="A68" s="9" t="str">
        <f t="array" ref="A68">IFERROR(INDEX(Output!A$1:A$2000,MATCH(0,COUNTIF(Prediction!$A$7:A67,Output!A$1:A$2000),0)),"")</f>
        <v/>
      </c>
      <c r="B68" t="str">
        <f>IFERROR(VLOOKUP($A68,Output!$A:$M,2,FALSE),"")</f>
        <v/>
      </c>
      <c r="C68" t="str">
        <f>IFERROR(VLOOKUP(B68,Departments!B:C,2,FALSE),"")</f>
        <v/>
      </c>
      <c r="D68" t="str">
        <f>IFERROR(VLOOKUP($A68,Output!$A:$M,13,FALSE),"")</f>
        <v/>
      </c>
      <c r="E68" s="29">
        <f>IFERROR(VLOOKUP($D68,Schedules!$A:$I,MATCH(Prediction!E$6,Schedules!$A$1:$H$1,0),FALSE),0)</f>
        <v>0</v>
      </c>
      <c r="F68" s="24">
        <f>IF(E68=0,0,SUMIFS(Output!$L:$L,Output!$A:$A,Prediction!$A68,Output!$C:$C,Prediction!E$5))</f>
        <v>0</v>
      </c>
      <c r="G68" s="24">
        <f t="shared" si="10"/>
        <v>0</v>
      </c>
      <c r="H68" s="45">
        <f t="shared" si="17"/>
        <v>0</v>
      </c>
      <c r="I68" s="30">
        <f>SUMIFS(Output!$L:$L,Output!$A:$A,Prediction!$A68,Output!$C:$C,Prediction!E$5)</f>
        <v>0</v>
      </c>
      <c r="J68" s="29">
        <f>IFERROR(VLOOKUP($D68,Schedules!$A:$I,MATCH(Prediction!J$6,Schedules!$A$1:$H$1,0),FALSE),0)</f>
        <v>0</v>
      </c>
      <c r="K68" s="24">
        <f>IF(J68=0,0,SUMIFS(Output!$L:$L,Output!$A:$A,Prediction!$A68,Output!$C:$C,Prediction!J$5))</f>
        <v>0</v>
      </c>
      <c r="L68" s="24">
        <f t="shared" si="11"/>
        <v>0</v>
      </c>
      <c r="M68" s="24">
        <f t="shared" si="18"/>
        <v>0</v>
      </c>
      <c r="N68" s="30">
        <f>SUMIFS(Output!$L:$L,Output!$A:$A,Prediction!$A68,Output!$C:$C,Prediction!J$5)</f>
        <v>0</v>
      </c>
      <c r="O68" s="29">
        <f>IFERROR(VLOOKUP($D68,Schedules!$A:$I,MATCH(Prediction!O$6,Schedules!$A$1:$H$1,0),FALSE),0)</f>
        <v>0</v>
      </c>
      <c r="P68" s="24">
        <f>IF(O68=0,0,SUMIFS(Output!$L:$L,Output!$A:$A,Prediction!$A68,Output!$C:$C,Prediction!O$5))</f>
        <v>0</v>
      </c>
      <c r="Q68" s="24">
        <f t="shared" si="12"/>
        <v>0</v>
      </c>
      <c r="R68" s="24">
        <f t="shared" si="19"/>
        <v>0</v>
      </c>
      <c r="S68" s="30">
        <f>SUMIFS(Output!$L:$L,Output!$A:$A,Prediction!$A68,Output!$C:$C,Prediction!O$5)</f>
        <v>0</v>
      </c>
      <c r="T68" s="29">
        <f>IFERROR(VLOOKUP($D68,Schedules!$A:$I,MATCH(Prediction!T$6,Schedules!$A$1:$H$1,0),FALSE),0)</f>
        <v>0</v>
      </c>
      <c r="U68" s="24">
        <f>IF(T68=0,0,SUMIFS(Output!$L:$L,Output!$A:$A,Prediction!$A68,Output!$C:$C,Prediction!T$5))</f>
        <v>0</v>
      </c>
      <c r="V68" s="24">
        <f t="shared" si="20"/>
        <v>0</v>
      </c>
      <c r="W68" s="24">
        <f t="shared" si="21"/>
        <v>0</v>
      </c>
      <c r="X68" s="30">
        <f>SUMIFS(Output!$L:$L,Output!$A:$A,Prediction!$A68,Output!$C:$C,Prediction!T$5)</f>
        <v>0</v>
      </c>
      <c r="Y68" s="25">
        <f>IFERROR(VLOOKUP($D68,Schedules!$A:$I,MATCH(Prediction!Y$6,Schedules!$A$1:$H$1,0),FALSE),0)</f>
        <v>0</v>
      </c>
      <c r="Z68" s="24">
        <f>IF(Y68=0,0,SUMIFS(Output!$L:$L,Output!$A:$A,Prediction!$A68,Output!$C:$C,Prediction!Y$5))</f>
        <v>0</v>
      </c>
      <c r="AA68" s="24">
        <f t="shared" si="13"/>
        <v>0</v>
      </c>
      <c r="AB68" s="24">
        <f t="shared" si="22"/>
        <v>0</v>
      </c>
      <c r="AC68" s="30">
        <f>SUMIFS(Output!$L:$L,Output!$A:$A,Prediction!$A68,Output!$C:$C,Prediction!Y$5)</f>
        <v>0</v>
      </c>
      <c r="AD68" s="29">
        <f>IFERROR(VLOOKUP($D68,Schedules!$A:$I,MATCH(Prediction!AD$6,Schedules!$A$1:$H$1,0),FALSE),0)</f>
        <v>0</v>
      </c>
      <c r="AE68" s="24">
        <f>IF(AD68=0,0,SUMIFS(Output!$L:$L,Output!$A:$A,Prediction!$A68,Output!$C:$C,Prediction!AD$5))</f>
        <v>0</v>
      </c>
      <c r="AF68" s="24">
        <f t="shared" si="14"/>
        <v>0</v>
      </c>
      <c r="AG68" s="24">
        <f t="shared" si="23"/>
        <v>0</v>
      </c>
      <c r="AH68" s="30">
        <f>SUMIFS(Output!$L:$L,Output!$A:$A,Prediction!$A68,Output!$C:$C,Prediction!AD$5)</f>
        <v>0</v>
      </c>
      <c r="AI68" s="29">
        <f>IFERROR(VLOOKUP($D68,Schedules!$A:$I,MATCH(Prediction!AI$6,Schedules!$A$1:$H$1,0),FALSE),0)</f>
        <v>0</v>
      </c>
      <c r="AJ68" s="24">
        <f>IF(AI68=0,0,SUMIFS(Output!$L:$L,Output!$A:$A,Prediction!$A68,Output!$C:$C,Prediction!AI$5))</f>
        <v>0</v>
      </c>
      <c r="AK68" s="24">
        <f t="shared" si="15"/>
        <v>0</v>
      </c>
      <c r="AL68" s="24">
        <f t="shared" si="24"/>
        <v>0</v>
      </c>
      <c r="AM68" s="30">
        <f>SUMIFS(Output!$L:$L,Output!$A:$A,Prediction!$A68,Output!$C:$C,Prediction!AI$5)</f>
        <v>0</v>
      </c>
      <c r="AN68">
        <f t="shared" si="25"/>
        <v>0</v>
      </c>
      <c r="AO68" s="3">
        <f t="shared" si="26"/>
        <v>0</v>
      </c>
      <c r="AP68" s="44"/>
      <c r="AQ68" s="3">
        <f t="shared" si="16"/>
        <v>0</v>
      </c>
      <c r="AR68" s="3">
        <f t="shared" si="27"/>
        <v>0</v>
      </c>
    </row>
    <row r="69" spans="1:44" x14ac:dyDescent="0.25">
      <c r="A69" s="9" t="str">
        <f t="array" ref="A69">IFERROR(INDEX(Output!A$1:A$2000,MATCH(0,COUNTIF(Prediction!$A$7:A68,Output!A$1:A$2000),0)),"")</f>
        <v/>
      </c>
      <c r="B69" t="str">
        <f>IFERROR(VLOOKUP($A69,Output!$A:$M,2,FALSE),"")</f>
        <v/>
      </c>
      <c r="C69" t="str">
        <f>IFERROR(VLOOKUP(B69,Departments!B:C,2,FALSE),"")</f>
        <v/>
      </c>
      <c r="D69" t="str">
        <f>IFERROR(VLOOKUP($A69,Output!$A:$M,13,FALSE),"")</f>
        <v/>
      </c>
      <c r="E69" s="29">
        <f>IFERROR(VLOOKUP($D69,Schedules!$A:$I,MATCH(Prediction!E$6,Schedules!$A$1:$H$1,0),FALSE),0)</f>
        <v>0</v>
      </c>
      <c r="F69" s="24">
        <f>IF(E69=0,0,SUMIFS(Output!$L:$L,Output!$A:$A,Prediction!$A69,Output!$C:$C,Prediction!E$5))</f>
        <v>0</v>
      </c>
      <c r="G69" s="24">
        <f t="shared" si="10"/>
        <v>0</v>
      </c>
      <c r="H69" s="45">
        <f t="shared" si="17"/>
        <v>0</v>
      </c>
      <c r="I69" s="30">
        <f>SUMIFS(Output!$L:$L,Output!$A:$A,Prediction!$A69,Output!$C:$C,Prediction!E$5)</f>
        <v>0</v>
      </c>
      <c r="J69" s="29">
        <f>IFERROR(VLOOKUP($D69,Schedules!$A:$I,MATCH(Prediction!J$6,Schedules!$A$1:$H$1,0),FALSE),0)</f>
        <v>0</v>
      </c>
      <c r="K69" s="24">
        <f>IF(J69=0,0,SUMIFS(Output!$L:$L,Output!$A:$A,Prediction!$A69,Output!$C:$C,Prediction!J$5))</f>
        <v>0</v>
      </c>
      <c r="L69" s="24">
        <f t="shared" si="11"/>
        <v>0</v>
      </c>
      <c r="M69" s="24">
        <f t="shared" si="18"/>
        <v>0</v>
      </c>
      <c r="N69" s="30">
        <f>SUMIFS(Output!$L:$L,Output!$A:$A,Prediction!$A69,Output!$C:$C,Prediction!J$5)</f>
        <v>0</v>
      </c>
      <c r="O69" s="29">
        <f>IFERROR(VLOOKUP($D69,Schedules!$A:$I,MATCH(Prediction!O$6,Schedules!$A$1:$H$1,0),FALSE),0)</f>
        <v>0</v>
      </c>
      <c r="P69" s="24">
        <f>IF(O69=0,0,SUMIFS(Output!$L:$L,Output!$A:$A,Prediction!$A69,Output!$C:$C,Prediction!O$5))</f>
        <v>0</v>
      </c>
      <c r="Q69" s="24">
        <f t="shared" si="12"/>
        <v>0</v>
      </c>
      <c r="R69" s="24">
        <f t="shared" si="19"/>
        <v>0</v>
      </c>
      <c r="S69" s="30">
        <f>SUMIFS(Output!$L:$L,Output!$A:$A,Prediction!$A69,Output!$C:$C,Prediction!O$5)</f>
        <v>0</v>
      </c>
      <c r="T69" s="29">
        <f>IFERROR(VLOOKUP($D69,Schedules!$A:$I,MATCH(Prediction!T$6,Schedules!$A$1:$H$1,0),FALSE),0)</f>
        <v>0</v>
      </c>
      <c r="U69" s="24">
        <f>IF(T69=0,0,SUMIFS(Output!$L:$L,Output!$A:$A,Prediction!$A69,Output!$C:$C,Prediction!T$5))</f>
        <v>0</v>
      </c>
      <c r="V69" s="24">
        <f t="shared" si="20"/>
        <v>0</v>
      </c>
      <c r="W69" s="24">
        <f t="shared" si="21"/>
        <v>0</v>
      </c>
      <c r="X69" s="30">
        <f>SUMIFS(Output!$L:$L,Output!$A:$A,Prediction!$A69,Output!$C:$C,Prediction!T$5)</f>
        <v>0</v>
      </c>
      <c r="Y69" s="25">
        <f>IFERROR(VLOOKUP($D69,Schedules!$A:$I,MATCH(Prediction!Y$6,Schedules!$A$1:$H$1,0),FALSE),0)</f>
        <v>0</v>
      </c>
      <c r="Z69" s="24">
        <f>IF(Y69=0,0,SUMIFS(Output!$L:$L,Output!$A:$A,Prediction!$A69,Output!$C:$C,Prediction!Y$5))</f>
        <v>0</v>
      </c>
      <c r="AA69" s="24">
        <f t="shared" si="13"/>
        <v>0</v>
      </c>
      <c r="AB69" s="24">
        <f t="shared" si="22"/>
        <v>0</v>
      </c>
      <c r="AC69" s="30">
        <f>SUMIFS(Output!$L:$L,Output!$A:$A,Prediction!$A69,Output!$C:$C,Prediction!Y$5)</f>
        <v>0</v>
      </c>
      <c r="AD69" s="29">
        <f>IFERROR(VLOOKUP($D69,Schedules!$A:$I,MATCH(Prediction!AD$6,Schedules!$A$1:$H$1,0),FALSE),0)</f>
        <v>0</v>
      </c>
      <c r="AE69" s="24">
        <f>IF(AD69=0,0,SUMIFS(Output!$L:$L,Output!$A:$A,Prediction!$A69,Output!$C:$C,Prediction!AD$5))</f>
        <v>0</v>
      </c>
      <c r="AF69" s="24">
        <f t="shared" si="14"/>
        <v>0</v>
      </c>
      <c r="AG69" s="24">
        <f t="shared" si="23"/>
        <v>0</v>
      </c>
      <c r="AH69" s="30">
        <f>SUMIFS(Output!$L:$L,Output!$A:$A,Prediction!$A69,Output!$C:$C,Prediction!AD$5)</f>
        <v>0</v>
      </c>
      <c r="AI69" s="29">
        <f>IFERROR(VLOOKUP($D69,Schedules!$A:$I,MATCH(Prediction!AI$6,Schedules!$A$1:$H$1,0),FALSE),0)</f>
        <v>0</v>
      </c>
      <c r="AJ69" s="24">
        <f>IF(AI69=0,0,SUMIFS(Output!$L:$L,Output!$A:$A,Prediction!$A69,Output!$C:$C,Prediction!AI$5))</f>
        <v>0</v>
      </c>
      <c r="AK69" s="24">
        <f t="shared" si="15"/>
        <v>0</v>
      </c>
      <c r="AL69" s="24">
        <f t="shared" si="24"/>
        <v>0</v>
      </c>
      <c r="AM69" s="30">
        <f>SUMIFS(Output!$L:$L,Output!$A:$A,Prediction!$A69,Output!$C:$C,Prediction!AI$5)</f>
        <v>0</v>
      </c>
      <c r="AN69">
        <f t="shared" si="25"/>
        <v>0</v>
      </c>
      <c r="AO69" s="3">
        <f t="shared" si="26"/>
        <v>0</v>
      </c>
      <c r="AP69" s="44"/>
      <c r="AQ69" s="3">
        <f t="shared" si="16"/>
        <v>0</v>
      </c>
      <c r="AR69" s="3">
        <f t="shared" si="27"/>
        <v>0</v>
      </c>
    </row>
    <row r="70" spans="1:44" x14ac:dyDescent="0.25">
      <c r="A70" s="9" t="str">
        <f t="array" ref="A70">IFERROR(INDEX(Output!A$1:A$2000,MATCH(0,COUNTIF(Prediction!$A$7:A69,Output!A$1:A$2000),0)),"")</f>
        <v/>
      </c>
      <c r="B70" t="str">
        <f>IFERROR(VLOOKUP($A70,Output!$A:$M,2,FALSE),"")</f>
        <v/>
      </c>
      <c r="C70" t="str">
        <f>IFERROR(VLOOKUP(B70,Departments!B:C,2,FALSE),"")</f>
        <v/>
      </c>
      <c r="D70" t="str">
        <f>IFERROR(VLOOKUP($A70,Output!$A:$M,13,FALSE),"")</f>
        <v/>
      </c>
      <c r="E70" s="29">
        <f>IFERROR(VLOOKUP($D70,Schedules!$A:$I,MATCH(Prediction!E$6,Schedules!$A$1:$H$1,0),FALSE),0)</f>
        <v>0</v>
      </c>
      <c r="F70" s="24">
        <f>IF(E70=0,0,SUMIFS(Output!$L:$L,Output!$A:$A,Prediction!$A70,Output!$C:$C,Prediction!E$5))</f>
        <v>0</v>
      </c>
      <c r="G70" s="24">
        <f t="shared" si="10"/>
        <v>0</v>
      </c>
      <c r="H70" s="45">
        <f t="shared" si="17"/>
        <v>0</v>
      </c>
      <c r="I70" s="30">
        <f>SUMIFS(Output!$L:$L,Output!$A:$A,Prediction!$A70,Output!$C:$C,Prediction!E$5)</f>
        <v>0</v>
      </c>
      <c r="J70" s="29">
        <f>IFERROR(VLOOKUP($D70,Schedules!$A:$I,MATCH(Prediction!J$6,Schedules!$A$1:$H$1,0),FALSE),0)</f>
        <v>0</v>
      </c>
      <c r="K70" s="24">
        <f>IF(J70=0,0,SUMIFS(Output!$L:$L,Output!$A:$A,Prediction!$A70,Output!$C:$C,Prediction!J$5))</f>
        <v>0</v>
      </c>
      <c r="L70" s="24">
        <f t="shared" si="11"/>
        <v>0</v>
      </c>
      <c r="M70" s="24">
        <f t="shared" si="18"/>
        <v>0</v>
      </c>
      <c r="N70" s="30">
        <f>SUMIFS(Output!$L:$L,Output!$A:$A,Prediction!$A70,Output!$C:$C,Prediction!J$5)</f>
        <v>0</v>
      </c>
      <c r="O70" s="29">
        <f>IFERROR(VLOOKUP($D70,Schedules!$A:$I,MATCH(Prediction!O$6,Schedules!$A$1:$H$1,0),FALSE),0)</f>
        <v>0</v>
      </c>
      <c r="P70" s="24">
        <f>IF(O70=0,0,SUMIFS(Output!$L:$L,Output!$A:$A,Prediction!$A70,Output!$C:$C,Prediction!O$5))</f>
        <v>0</v>
      </c>
      <c r="Q70" s="24">
        <f t="shared" si="12"/>
        <v>0</v>
      </c>
      <c r="R70" s="24">
        <f t="shared" si="19"/>
        <v>0</v>
      </c>
      <c r="S70" s="30">
        <f>SUMIFS(Output!$L:$L,Output!$A:$A,Prediction!$A70,Output!$C:$C,Prediction!O$5)</f>
        <v>0</v>
      </c>
      <c r="T70" s="29">
        <f>IFERROR(VLOOKUP($D70,Schedules!$A:$I,MATCH(Prediction!T$6,Schedules!$A$1:$H$1,0),FALSE),0)</f>
        <v>0</v>
      </c>
      <c r="U70" s="24">
        <f>IF(T70=0,0,SUMIFS(Output!$L:$L,Output!$A:$A,Prediction!$A70,Output!$C:$C,Prediction!T$5))</f>
        <v>0</v>
      </c>
      <c r="V70" s="24">
        <f t="shared" si="20"/>
        <v>0</v>
      </c>
      <c r="W70" s="24">
        <f t="shared" si="21"/>
        <v>0</v>
      </c>
      <c r="X70" s="30">
        <f>SUMIFS(Output!$L:$L,Output!$A:$A,Prediction!$A70,Output!$C:$C,Prediction!T$5)</f>
        <v>0</v>
      </c>
      <c r="Y70" s="25">
        <f>IFERROR(VLOOKUP($D70,Schedules!$A:$I,MATCH(Prediction!Y$6,Schedules!$A$1:$H$1,0),FALSE),0)</f>
        <v>0</v>
      </c>
      <c r="Z70" s="24">
        <f>IF(Y70=0,0,SUMIFS(Output!$L:$L,Output!$A:$A,Prediction!$A70,Output!$C:$C,Prediction!Y$5))</f>
        <v>0</v>
      </c>
      <c r="AA70" s="24">
        <f t="shared" si="13"/>
        <v>0</v>
      </c>
      <c r="AB70" s="24">
        <f t="shared" si="22"/>
        <v>0</v>
      </c>
      <c r="AC70" s="30">
        <f>SUMIFS(Output!$L:$L,Output!$A:$A,Prediction!$A70,Output!$C:$C,Prediction!Y$5)</f>
        <v>0</v>
      </c>
      <c r="AD70" s="29">
        <f>IFERROR(VLOOKUP($D70,Schedules!$A:$I,MATCH(Prediction!AD$6,Schedules!$A$1:$H$1,0),FALSE),0)</f>
        <v>0</v>
      </c>
      <c r="AE70" s="24">
        <f>IF(AD70=0,0,SUMIFS(Output!$L:$L,Output!$A:$A,Prediction!$A70,Output!$C:$C,Prediction!AD$5))</f>
        <v>0</v>
      </c>
      <c r="AF70" s="24">
        <f t="shared" si="14"/>
        <v>0</v>
      </c>
      <c r="AG70" s="24">
        <f t="shared" si="23"/>
        <v>0</v>
      </c>
      <c r="AH70" s="30">
        <f>SUMIFS(Output!$L:$L,Output!$A:$A,Prediction!$A70,Output!$C:$C,Prediction!AD$5)</f>
        <v>0</v>
      </c>
      <c r="AI70" s="29">
        <f>IFERROR(VLOOKUP($D70,Schedules!$A:$I,MATCH(Prediction!AI$6,Schedules!$A$1:$H$1,0),FALSE),0)</f>
        <v>0</v>
      </c>
      <c r="AJ70" s="24">
        <f>IF(AI70=0,0,SUMIFS(Output!$L:$L,Output!$A:$A,Prediction!$A70,Output!$C:$C,Prediction!AI$5))</f>
        <v>0</v>
      </c>
      <c r="AK70" s="24">
        <f t="shared" si="15"/>
        <v>0</v>
      </c>
      <c r="AL70" s="24">
        <f t="shared" si="24"/>
        <v>0</v>
      </c>
      <c r="AM70" s="30">
        <f>SUMIFS(Output!$L:$L,Output!$A:$A,Prediction!$A70,Output!$C:$C,Prediction!AI$5)</f>
        <v>0</v>
      </c>
      <c r="AN70">
        <f t="shared" si="25"/>
        <v>0</v>
      </c>
      <c r="AO70" s="3">
        <f t="shared" si="26"/>
        <v>0</v>
      </c>
      <c r="AP70" s="44"/>
      <c r="AQ70" s="3">
        <f t="shared" si="16"/>
        <v>0</v>
      </c>
      <c r="AR70" s="3">
        <f t="shared" si="27"/>
        <v>0</v>
      </c>
    </row>
    <row r="71" spans="1:44" x14ac:dyDescent="0.25">
      <c r="A71" s="9" t="str">
        <f t="array" ref="A71">IFERROR(INDEX(Output!A$1:A$2000,MATCH(0,COUNTIF(Prediction!$A$7:A70,Output!A$1:A$2000),0)),"")</f>
        <v/>
      </c>
      <c r="B71" t="str">
        <f>IFERROR(VLOOKUP($A71,Output!$A:$M,2,FALSE),"")</f>
        <v/>
      </c>
      <c r="C71" t="str">
        <f>IFERROR(VLOOKUP(B71,Departments!B:C,2,FALSE),"")</f>
        <v/>
      </c>
      <c r="D71" t="str">
        <f>IFERROR(VLOOKUP($A71,Output!$A:$M,13,FALSE),"")</f>
        <v/>
      </c>
      <c r="E71" s="29">
        <f>IFERROR(VLOOKUP($D71,Schedules!$A:$I,MATCH(Prediction!E$6,Schedules!$A$1:$H$1,0),FALSE),0)</f>
        <v>0</v>
      </c>
      <c r="F71" s="24">
        <f>IF(E71=0,0,SUMIFS(Output!$L:$L,Output!$A:$A,Prediction!$A71,Output!$C:$C,Prediction!E$5))</f>
        <v>0</v>
      </c>
      <c r="G71" s="24">
        <f t="shared" si="10"/>
        <v>0</v>
      </c>
      <c r="H71" s="45">
        <f t="shared" si="17"/>
        <v>0</v>
      </c>
      <c r="I71" s="30">
        <f>SUMIFS(Output!$L:$L,Output!$A:$A,Prediction!$A71,Output!$C:$C,Prediction!E$5)</f>
        <v>0</v>
      </c>
      <c r="J71" s="29">
        <f>IFERROR(VLOOKUP($D71,Schedules!$A:$I,MATCH(Prediction!J$6,Schedules!$A$1:$H$1,0),FALSE),0)</f>
        <v>0</v>
      </c>
      <c r="K71" s="24">
        <f>IF(J71=0,0,SUMIFS(Output!$L:$L,Output!$A:$A,Prediction!$A71,Output!$C:$C,Prediction!J$5))</f>
        <v>0</v>
      </c>
      <c r="L71" s="24">
        <f t="shared" si="11"/>
        <v>0</v>
      </c>
      <c r="M71" s="24">
        <f t="shared" si="18"/>
        <v>0</v>
      </c>
      <c r="N71" s="30">
        <f>SUMIFS(Output!$L:$L,Output!$A:$A,Prediction!$A71,Output!$C:$C,Prediction!J$5)</f>
        <v>0</v>
      </c>
      <c r="O71" s="29">
        <f>IFERROR(VLOOKUP($D71,Schedules!$A:$I,MATCH(Prediction!O$6,Schedules!$A$1:$H$1,0),FALSE),0)</f>
        <v>0</v>
      </c>
      <c r="P71" s="24">
        <f>IF(O71=0,0,SUMIFS(Output!$L:$L,Output!$A:$A,Prediction!$A71,Output!$C:$C,Prediction!O$5))</f>
        <v>0</v>
      </c>
      <c r="Q71" s="24">
        <f t="shared" si="12"/>
        <v>0</v>
      </c>
      <c r="R71" s="24">
        <f t="shared" si="19"/>
        <v>0</v>
      </c>
      <c r="S71" s="30">
        <f>SUMIFS(Output!$L:$L,Output!$A:$A,Prediction!$A71,Output!$C:$C,Prediction!O$5)</f>
        <v>0</v>
      </c>
      <c r="T71" s="29">
        <f>IFERROR(VLOOKUP($D71,Schedules!$A:$I,MATCH(Prediction!T$6,Schedules!$A$1:$H$1,0),FALSE),0)</f>
        <v>0</v>
      </c>
      <c r="U71" s="24">
        <f>IF(T71=0,0,SUMIFS(Output!$L:$L,Output!$A:$A,Prediction!$A71,Output!$C:$C,Prediction!T$5))</f>
        <v>0</v>
      </c>
      <c r="V71" s="24">
        <f t="shared" si="20"/>
        <v>0</v>
      </c>
      <c r="W71" s="24">
        <f t="shared" si="21"/>
        <v>0</v>
      </c>
      <c r="X71" s="30">
        <f>SUMIFS(Output!$L:$L,Output!$A:$A,Prediction!$A71,Output!$C:$C,Prediction!T$5)</f>
        <v>0</v>
      </c>
      <c r="Y71" s="25">
        <f>IFERROR(VLOOKUP($D71,Schedules!$A:$I,MATCH(Prediction!Y$6,Schedules!$A$1:$H$1,0),FALSE),0)</f>
        <v>0</v>
      </c>
      <c r="Z71" s="24">
        <f>IF(Y71=0,0,SUMIFS(Output!$L:$L,Output!$A:$A,Prediction!$A71,Output!$C:$C,Prediction!Y$5))</f>
        <v>0</v>
      </c>
      <c r="AA71" s="24">
        <f t="shared" si="13"/>
        <v>0</v>
      </c>
      <c r="AB71" s="24">
        <f t="shared" si="22"/>
        <v>0</v>
      </c>
      <c r="AC71" s="30">
        <f>SUMIFS(Output!$L:$L,Output!$A:$A,Prediction!$A71,Output!$C:$C,Prediction!Y$5)</f>
        <v>0</v>
      </c>
      <c r="AD71" s="29">
        <f>IFERROR(VLOOKUP($D71,Schedules!$A:$I,MATCH(Prediction!AD$6,Schedules!$A$1:$H$1,0),FALSE),0)</f>
        <v>0</v>
      </c>
      <c r="AE71" s="24">
        <f>IF(AD71=0,0,SUMIFS(Output!$L:$L,Output!$A:$A,Prediction!$A71,Output!$C:$C,Prediction!AD$5))</f>
        <v>0</v>
      </c>
      <c r="AF71" s="24">
        <f t="shared" si="14"/>
        <v>0</v>
      </c>
      <c r="AG71" s="24">
        <f t="shared" si="23"/>
        <v>0</v>
      </c>
      <c r="AH71" s="30">
        <f>SUMIFS(Output!$L:$L,Output!$A:$A,Prediction!$A71,Output!$C:$C,Prediction!AD$5)</f>
        <v>0</v>
      </c>
      <c r="AI71" s="29">
        <f>IFERROR(VLOOKUP($D71,Schedules!$A:$I,MATCH(Prediction!AI$6,Schedules!$A$1:$H$1,0),FALSE),0)</f>
        <v>0</v>
      </c>
      <c r="AJ71" s="24">
        <f>IF(AI71=0,0,SUMIFS(Output!$L:$L,Output!$A:$A,Prediction!$A71,Output!$C:$C,Prediction!AI$5))</f>
        <v>0</v>
      </c>
      <c r="AK71" s="24">
        <f t="shared" si="15"/>
        <v>0</v>
      </c>
      <c r="AL71" s="24">
        <f t="shared" si="24"/>
        <v>0</v>
      </c>
      <c r="AM71" s="30">
        <f>SUMIFS(Output!$L:$L,Output!$A:$A,Prediction!$A71,Output!$C:$C,Prediction!AI$5)</f>
        <v>0</v>
      </c>
      <c r="AN71">
        <f t="shared" si="25"/>
        <v>0</v>
      </c>
      <c r="AO71" s="3">
        <f t="shared" si="26"/>
        <v>0</v>
      </c>
      <c r="AP71" s="44"/>
      <c r="AQ71" s="3">
        <f t="shared" si="16"/>
        <v>0</v>
      </c>
      <c r="AR71" s="3">
        <f t="shared" si="27"/>
        <v>0</v>
      </c>
    </row>
    <row r="72" spans="1:44" x14ac:dyDescent="0.25">
      <c r="A72" s="9" t="str">
        <f t="array" ref="A72">IFERROR(INDEX(Output!A$1:A$2000,MATCH(0,COUNTIF(Prediction!$A$7:A71,Output!A$1:A$2000),0)),"")</f>
        <v/>
      </c>
      <c r="B72" t="str">
        <f>IFERROR(VLOOKUP($A72,Output!$A:$M,2,FALSE),"")</f>
        <v/>
      </c>
      <c r="C72" t="str">
        <f>IFERROR(VLOOKUP(B72,Departments!B:C,2,FALSE),"")</f>
        <v/>
      </c>
      <c r="D72" t="str">
        <f>IFERROR(VLOOKUP($A72,Output!$A:$M,13,FALSE),"")</f>
        <v/>
      </c>
      <c r="E72" s="29">
        <f>IFERROR(VLOOKUP($D72,Schedules!$A:$I,MATCH(Prediction!E$6,Schedules!$A$1:$H$1,0),FALSE),0)</f>
        <v>0</v>
      </c>
      <c r="F72" s="24">
        <f>IF(E72=0,0,SUMIFS(Output!$L:$L,Output!$A:$A,Prediction!$A72,Output!$C:$C,Prediction!E$5))</f>
        <v>0</v>
      </c>
      <c r="G72" s="24">
        <f t="shared" si="10"/>
        <v>0</v>
      </c>
      <c r="H72" s="45">
        <f t="shared" si="17"/>
        <v>0</v>
      </c>
      <c r="I72" s="30">
        <f>SUMIFS(Output!$L:$L,Output!$A:$A,Prediction!$A72,Output!$C:$C,Prediction!E$5)</f>
        <v>0</v>
      </c>
      <c r="J72" s="29">
        <f>IFERROR(VLOOKUP($D72,Schedules!$A:$I,MATCH(Prediction!J$6,Schedules!$A$1:$H$1,0),FALSE),0)</f>
        <v>0</v>
      </c>
      <c r="K72" s="24">
        <f>IF(J72=0,0,SUMIFS(Output!$L:$L,Output!$A:$A,Prediction!$A72,Output!$C:$C,Prediction!J$5))</f>
        <v>0</v>
      </c>
      <c r="L72" s="24">
        <f t="shared" si="11"/>
        <v>0</v>
      </c>
      <c r="M72" s="24">
        <f t="shared" ref="M72:M103" si="28">IF(AND($J$5&gt;$B$3,J72&gt;0),J72,0)</f>
        <v>0</v>
      </c>
      <c r="N72" s="30">
        <f>SUMIFS(Output!$L:$L,Output!$A:$A,Prediction!$A72,Output!$C:$C,Prediction!J$5)</f>
        <v>0</v>
      </c>
      <c r="O72" s="29">
        <f>IFERROR(VLOOKUP($D72,Schedules!$A:$I,MATCH(Prediction!O$6,Schedules!$A$1:$H$1,0),FALSE),0)</f>
        <v>0</v>
      </c>
      <c r="P72" s="24">
        <f>IF(O72=0,0,SUMIFS(Output!$L:$L,Output!$A:$A,Prediction!$A72,Output!$C:$C,Prediction!O$5))</f>
        <v>0</v>
      </c>
      <c r="Q72" s="24">
        <f t="shared" si="12"/>
        <v>0</v>
      </c>
      <c r="R72" s="24">
        <f t="shared" ref="R72:R103" si="29">IF(AND($O$5&gt;$B$3,O72&gt;0),O72,0)</f>
        <v>0</v>
      </c>
      <c r="S72" s="30">
        <f>SUMIFS(Output!$L:$L,Output!$A:$A,Prediction!$A72,Output!$C:$C,Prediction!O$5)</f>
        <v>0</v>
      </c>
      <c r="T72" s="29">
        <f>IFERROR(VLOOKUP($D72,Schedules!$A:$I,MATCH(Prediction!T$6,Schedules!$A$1:$H$1,0),FALSE),0)</f>
        <v>0</v>
      </c>
      <c r="U72" s="24">
        <f>IF(T72=0,0,SUMIFS(Output!$L:$L,Output!$A:$A,Prediction!$A72,Output!$C:$C,Prediction!T$5))</f>
        <v>0</v>
      </c>
      <c r="V72" s="24">
        <f t="shared" ref="V72:V103" si="30">IF(X72&gt;T72, X72-T72, 0)</f>
        <v>0</v>
      </c>
      <c r="W72" s="24">
        <f t="shared" ref="W72:W103" si="31">IF(AND($T$5&gt;$B$3,T72&gt;0),T72,0)</f>
        <v>0</v>
      </c>
      <c r="X72" s="30">
        <f>SUMIFS(Output!$L:$L,Output!$A:$A,Prediction!$A72,Output!$C:$C,Prediction!T$5)</f>
        <v>0</v>
      </c>
      <c r="Y72" s="25">
        <f>IFERROR(VLOOKUP($D72,Schedules!$A:$I,MATCH(Prediction!Y$6,Schedules!$A$1:$H$1,0),FALSE),0)</f>
        <v>0</v>
      </c>
      <c r="Z72" s="24">
        <f>IF(Y72=0,0,SUMIFS(Output!$L:$L,Output!$A:$A,Prediction!$A72,Output!$C:$C,Prediction!Y$5))</f>
        <v>0</v>
      </c>
      <c r="AA72" s="24">
        <f t="shared" si="13"/>
        <v>0</v>
      </c>
      <c r="AB72" s="24">
        <f t="shared" ref="AB72:AB103" si="32">IF(AND($Y$5&gt;$B$3,Y72&gt;0),Y72,0)</f>
        <v>0</v>
      </c>
      <c r="AC72" s="30">
        <f>SUMIFS(Output!$L:$L,Output!$A:$A,Prediction!$A72,Output!$C:$C,Prediction!Y$5)</f>
        <v>0</v>
      </c>
      <c r="AD72" s="29">
        <f>IFERROR(VLOOKUP($D72,Schedules!$A:$I,MATCH(Prediction!AD$6,Schedules!$A$1:$H$1,0),FALSE),0)</f>
        <v>0</v>
      </c>
      <c r="AE72" s="24">
        <f>IF(AD72=0,0,SUMIFS(Output!$L:$L,Output!$A:$A,Prediction!$A72,Output!$C:$C,Prediction!AD$5))</f>
        <v>0</v>
      </c>
      <c r="AF72" s="24">
        <f t="shared" si="14"/>
        <v>0</v>
      </c>
      <c r="AG72" s="24">
        <f t="shared" ref="AG72:AG103" si="33">IF(AND($AD$5&gt;$B$3,AD72&gt;0),AD72,0)</f>
        <v>0</v>
      </c>
      <c r="AH72" s="30">
        <f>SUMIFS(Output!$L:$L,Output!$A:$A,Prediction!$A72,Output!$C:$C,Prediction!AD$5)</f>
        <v>0</v>
      </c>
      <c r="AI72" s="29">
        <f>IFERROR(VLOOKUP($D72,Schedules!$A:$I,MATCH(Prediction!AI$6,Schedules!$A$1:$H$1,0),FALSE),0)</f>
        <v>0</v>
      </c>
      <c r="AJ72" s="24">
        <f>IF(AI72=0,0,SUMIFS(Output!$L:$L,Output!$A:$A,Prediction!$A72,Output!$C:$C,Prediction!AI$5))</f>
        <v>0</v>
      </c>
      <c r="AK72" s="24">
        <f t="shared" si="15"/>
        <v>0</v>
      </c>
      <c r="AL72" s="24">
        <f t="shared" ref="AL72:AL103" si="34">IF(AND($AI$5&gt;$B$3,AI72&gt;0),AI72,0)</f>
        <v>0</v>
      </c>
      <c r="AM72" s="30">
        <f>SUMIFS(Output!$L:$L,Output!$A:$A,Prediction!$A72,Output!$C:$C,Prediction!AI$5)</f>
        <v>0</v>
      </c>
      <c r="AN72">
        <f t="shared" ref="AN72:AN103" si="35">IFERROR(E72+J72+O72+T72+Y72+AD72+AI72,"")</f>
        <v>0</v>
      </c>
      <c r="AO72" s="3">
        <f t="shared" ref="AO72:AO103" si="36">SUM(I72,N72,S72,X72,AC72,AH72,AM72)</f>
        <v>0</v>
      </c>
      <c r="AP72" s="44"/>
      <c r="AQ72" s="3">
        <f t="shared" si="16"/>
        <v>0</v>
      </c>
      <c r="AR72" s="3">
        <f t="shared" ref="AR72:AR103" si="37">IF(AQ72-AN72&lt;0,0,AQ72-AN72)</f>
        <v>0</v>
      </c>
    </row>
    <row r="73" spans="1:44" x14ac:dyDescent="0.25">
      <c r="A73" s="9" t="str">
        <f t="array" ref="A73">IFERROR(INDEX(Output!A$1:A$2000,MATCH(0,COUNTIF(Prediction!$A$7:A72,Output!A$1:A$2000),0)),"")</f>
        <v/>
      </c>
      <c r="B73" t="str">
        <f>IFERROR(VLOOKUP($A73,Output!$A:$M,2,FALSE),"")</f>
        <v/>
      </c>
      <c r="C73" t="str">
        <f>IFERROR(VLOOKUP(B73,Departments!B:C,2,FALSE),"")</f>
        <v/>
      </c>
      <c r="D73" t="str">
        <f>IFERROR(VLOOKUP($A73,Output!$A:$M,13,FALSE),"")</f>
        <v/>
      </c>
      <c r="E73" s="29">
        <f>IFERROR(VLOOKUP($D73,Schedules!$A:$I,MATCH(Prediction!E$6,Schedules!$A$1:$H$1,0),FALSE),0)</f>
        <v>0</v>
      </c>
      <c r="F73" s="24">
        <f>IF(E73=0,0,SUMIFS(Output!$L:$L,Output!$A:$A,Prediction!$A73,Output!$C:$C,Prediction!E$5))</f>
        <v>0</v>
      </c>
      <c r="G73" s="24">
        <f t="shared" ref="G73:G136" si="38">IF(I73&gt;E73, I73-E73, 0)</f>
        <v>0</v>
      </c>
      <c r="H73" s="45">
        <f t="shared" si="17"/>
        <v>0</v>
      </c>
      <c r="I73" s="30">
        <f>SUMIFS(Output!$L:$L,Output!$A:$A,Prediction!$A73,Output!$C:$C,Prediction!E$5)</f>
        <v>0</v>
      </c>
      <c r="J73" s="29">
        <f>IFERROR(VLOOKUP($D73,Schedules!$A:$I,MATCH(Prediction!J$6,Schedules!$A$1:$H$1,0),FALSE),0)</f>
        <v>0</v>
      </c>
      <c r="K73" s="24">
        <f>IF(J73=0,0,SUMIFS(Output!$L:$L,Output!$A:$A,Prediction!$A73,Output!$C:$C,Prediction!J$5))</f>
        <v>0</v>
      </c>
      <c r="L73" s="24">
        <f t="shared" ref="L73:L136" si="39">IF(N73&gt;J73, N73-J73, 0)</f>
        <v>0</v>
      </c>
      <c r="M73" s="24">
        <f t="shared" si="28"/>
        <v>0</v>
      </c>
      <c r="N73" s="30">
        <f>SUMIFS(Output!$L:$L,Output!$A:$A,Prediction!$A73,Output!$C:$C,Prediction!J$5)</f>
        <v>0</v>
      </c>
      <c r="O73" s="29">
        <f>IFERROR(VLOOKUP($D73,Schedules!$A:$I,MATCH(Prediction!O$6,Schedules!$A$1:$H$1,0),FALSE),0)</f>
        <v>0</v>
      </c>
      <c r="P73" s="24">
        <f>IF(O73=0,0,SUMIFS(Output!$L:$L,Output!$A:$A,Prediction!$A73,Output!$C:$C,Prediction!O$5))</f>
        <v>0</v>
      </c>
      <c r="Q73" s="24">
        <f t="shared" ref="Q73:Q136" si="40">IF(S73&gt;O73, S73-O73, 0)</f>
        <v>0</v>
      </c>
      <c r="R73" s="24">
        <f t="shared" si="29"/>
        <v>0</v>
      </c>
      <c r="S73" s="30">
        <f>SUMIFS(Output!$L:$L,Output!$A:$A,Prediction!$A73,Output!$C:$C,Prediction!O$5)</f>
        <v>0</v>
      </c>
      <c r="T73" s="29">
        <f>IFERROR(VLOOKUP($D73,Schedules!$A:$I,MATCH(Prediction!T$6,Schedules!$A$1:$H$1,0),FALSE),0)</f>
        <v>0</v>
      </c>
      <c r="U73" s="24">
        <f>IF(T73=0,0,SUMIFS(Output!$L:$L,Output!$A:$A,Prediction!$A73,Output!$C:$C,Prediction!T$5))</f>
        <v>0</v>
      </c>
      <c r="V73" s="24">
        <f t="shared" si="30"/>
        <v>0</v>
      </c>
      <c r="W73" s="24">
        <f t="shared" si="31"/>
        <v>0</v>
      </c>
      <c r="X73" s="30">
        <f>SUMIFS(Output!$L:$L,Output!$A:$A,Prediction!$A73,Output!$C:$C,Prediction!T$5)</f>
        <v>0</v>
      </c>
      <c r="Y73" s="25">
        <f>IFERROR(VLOOKUP($D73,Schedules!$A:$I,MATCH(Prediction!Y$6,Schedules!$A$1:$H$1,0),FALSE),0)</f>
        <v>0</v>
      </c>
      <c r="Z73" s="24">
        <f>IF(Y73=0,0,SUMIFS(Output!$L:$L,Output!$A:$A,Prediction!$A73,Output!$C:$C,Prediction!Y$5))</f>
        <v>0</v>
      </c>
      <c r="AA73" s="24">
        <f t="shared" ref="AA73:AA136" si="41">IF(AC73&gt;Y73, AC73-Y73, 0)</f>
        <v>0</v>
      </c>
      <c r="AB73" s="24">
        <f t="shared" si="32"/>
        <v>0</v>
      </c>
      <c r="AC73" s="30">
        <f>SUMIFS(Output!$L:$L,Output!$A:$A,Prediction!$A73,Output!$C:$C,Prediction!Y$5)</f>
        <v>0</v>
      </c>
      <c r="AD73" s="29">
        <f>IFERROR(VLOOKUP($D73,Schedules!$A:$I,MATCH(Prediction!AD$6,Schedules!$A$1:$H$1,0),FALSE),0)</f>
        <v>0</v>
      </c>
      <c r="AE73" s="24">
        <f>IF(AD73=0,0,SUMIFS(Output!$L:$L,Output!$A:$A,Prediction!$A73,Output!$C:$C,Prediction!AD$5))</f>
        <v>0</v>
      </c>
      <c r="AF73" s="24">
        <f t="shared" ref="AF73:AF136" si="42">IF(AH73&gt;AD73, AH73-AD73, 0)</f>
        <v>0</v>
      </c>
      <c r="AG73" s="24">
        <f t="shared" si="33"/>
        <v>0</v>
      </c>
      <c r="AH73" s="30">
        <f>SUMIFS(Output!$L:$L,Output!$A:$A,Prediction!$A73,Output!$C:$C,Prediction!AD$5)</f>
        <v>0</v>
      </c>
      <c r="AI73" s="29">
        <f>IFERROR(VLOOKUP($D73,Schedules!$A:$I,MATCH(Prediction!AI$6,Schedules!$A$1:$H$1,0),FALSE),0)</f>
        <v>0</v>
      </c>
      <c r="AJ73" s="24">
        <f>IF(AI73=0,0,SUMIFS(Output!$L:$L,Output!$A:$A,Prediction!$A73,Output!$C:$C,Prediction!AI$5))</f>
        <v>0</v>
      </c>
      <c r="AK73" s="24">
        <f t="shared" ref="AK73:AK136" si="43">IF(AM73&gt;AI73, AM73-AI73, 0)</f>
        <v>0</v>
      </c>
      <c r="AL73" s="24">
        <f t="shared" si="34"/>
        <v>0</v>
      </c>
      <c r="AM73" s="30">
        <f>SUMIFS(Output!$L:$L,Output!$A:$A,Prediction!$A73,Output!$C:$C,Prediction!AI$5)</f>
        <v>0</v>
      </c>
      <c r="AN73">
        <f t="shared" si="35"/>
        <v>0</v>
      </c>
      <c r="AO73" s="3">
        <f t="shared" si="36"/>
        <v>0</v>
      </c>
      <c r="AP73" s="44"/>
      <c r="AQ73" s="3">
        <f t="shared" ref="AQ73:AQ136" si="44">SUM(H73:I73,M73:N73,R73:S73,W73:X73,AB73:AC73,AG73:AH73,AL73:AM73,AP73)</f>
        <v>0</v>
      </c>
      <c r="AR73" s="3">
        <f t="shared" si="37"/>
        <v>0</v>
      </c>
    </row>
    <row r="74" spans="1:44" x14ac:dyDescent="0.25">
      <c r="A74" s="9" t="str">
        <f t="array" ref="A74">IFERROR(INDEX(Output!A$1:A$2000,MATCH(0,COUNTIF(Prediction!$A$7:A73,Output!A$1:A$2000),0)),"")</f>
        <v/>
      </c>
      <c r="B74" t="str">
        <f>IFERROR(VLOOKUP($A74,Output!$A:$M,2,FALSE),"")</f>
        <v/>
      </c>
      <c r="C74" t="str">
        <f>IFERROR(VLOOKUP(B74,Departments!B:C,2,FALSE),"")</f>
        <v/>
      </c>
      <c r="D74" t="str">
        <f>IFERROR(VLOOKUP($A74,Output!$A:$M,13,FALSE),"")</f>
        <v/>
      </c>
      <c r="E74" s="29">
        <f>IFERROR(VLOOKUP($D74,Schedules!$A:$I,MATCH(Prediction!E$6,Schedules!$A$1:$H$1,0),FALSE),0)</f>
        <v>0</v>
      </c>
      <c r="F74" s="24">
        <f>IF(E74=0,0,SUMIFS(Output!$L:$L,Output!$A:$A,Prediction!$A74,Output!$C:$C,Prediction!E$5))</f>
        <v>0</v>
      </c>
      <c r="G74" s="24">
        <f t="shared" si="38"/>
        <v>0</v>
      </c>
      <c r="H74" s="45">
        <f t="shared" ref="H74:H137" si="45">IF(AND($E$5&gt;$B$3,E74&gt;0),E74,0)</f>
        <v>0</v>
      </c>
      <c r="I74" s="30">
        <f>SUMIFS(Output!$L:$L,Output!$A:$A,Prediction!$A74,Output!$C:$C,Prediction!E$5)</f>
        <v>0</v>
      </c>
      <c r="J74" s="29">
        <f>IFERROR(VLOOKUP($D74,Schedules!$A:$I,MATCH(Prediction!J$6,Schedules!$A$1:$H$1,0),FALSE),0)</f>
        <v>0</v>
      </c>
      <c r="K74" s="24">
        <f>IF(J74=0,0,SUMIFS(Output!$L:$L,Output!$A:$A,Prediction!$A74,Output!$C:$C,Prediction!J$5))</f>
        <v>0</v>
      </c>
      <c r="L74" s="24">
        <f t="shared" si="39"/>
        <v>0</v>
      </c>
      <c r="M74" s="24">
        <f t="shared" si="28"/>
        <v>0</v>
      </c>
      <c r="N74" s="30">
        <f>SUMIFS(Output!$L:$L,Output!$A:$A,Prediction!$A74,Output!$C:$C,Prediction!J$5)</f>
        <v>0</v>
      </c>
      <c r="O74" s="29">
        <f>IFERROR(VLOOKUP($D74,Schedules!$A:$I,MATCH(Prediction!O$6,Schedules!$A$1:$H$1,0),FALSE),0)</f>
        <v>0</v>
      </c>
      <c r="P74" s="24">
        <f>IF(O74=0,0,SUMIFS(Output!$L:$L,Output!$A:$A,Prediction!$A74,Output!$C:$C,Prediction!O$5))</f>
        <v>0</v>
      </c>
      <c r="Q74" s="24">
        <f t="shared" si="40"/>
        <v>0</v>
      </c>
      <c r="R74" s="24">
        <f t="shared" si="29"/>
        <v>0</v>
      </c>
      <c r="S74" s="30">
        <f>SUMIFS(Output!$L:$L,Output!$A:$A,Prediction!$A74,Output!$C:$C,Prediction!O$5)</f>
        <v>0</v>
      </c>
      <c r="T74" s="29">
        <f>IFERROR(VLOOKUP($D74,Schedules!$A:$I,MATCH(Prediction!T$6,Schedules!$A$1:$H$1,0),FALSE),0)</f>
        <v>0</v>
      </c>
      <c r="U74" s="24">
        <f>IF(T74=0,0,SUMIFS(Output!$L:$L,Output!$A:$A,Prediction!$A74,Output!$C:$C,Prediction!T$5))</f>
        <v>0</v>
      </c>
      <c r="V74" s="24">
        <f t="shared" si="30"/>
        <v>0</v>
      </c>
      <c r="W74" s="24">
        <f t="shared" si="31"/>
        <v>0</v>
      </c>
      <c r="X74" s="30">
        <f>SUMIFS(Output!$L:$L,Output!$A:$A,Prediction!$A74,Output!$C:$C,Prediction!T$5)</f>
        <v>0</v>
      </c>
      <c r="Y74" s="25">
        <f>IFERROR(VLOOKUP($D74,Schedules!$A:$I,MATCH(Prediction!Y$6,Schedules!$A$1:$H$1,0),FALSE),0)</f>
        <v>0</v>
      </c>
      <c r="Z74" s="24">
        <f>IF(Y74=0,0,SUMIFS(Output!$L:$L,Output!$A:$A,Prediction!$A74,Output!$C:$C,Prediction!Y$5))</f>
        <v>0</v>
      </c>
      <c r="AA74" s="24">
        <f t="shared" si="41"/>
        <v>0</v>
      </c>
      <c r="AB74" s="24">
        <f t="shared" si="32"/>
        <v>0</v>
      </c>
      <c r="AC74" s="30">
        <f>SUMIFS(Output!$L:$L,Output!$A:$A,Prediction!$A74,Output!$C:$C,Prediction!Y$5)</f>
        <v>0</v>
      </c>
      <c r="AD74" s="29">
        <f>IFERROR(VLOOKUP($D74,Schedules!$A:$I,MATCH(Prediction!AD$6,Schedules!$A$1:$H$1,0),FALSE),0)</f>
        <v>0</v>
      </c>
      <c r="AE74" s="24">
        <f>IF(AD74=0,0,SUMIFS(Output!$L:$L,Output!$A:$A,Prediction!$A74,Output!$C:$C,Prediction!AD$5))</f>
        <v>0</v>
      </c>
      <c r="AF74" s="24">
        <f t="shared" si="42"/>
        <v>0</v>
      </c>
      <c r="AG74" s="24">
        <f t="shared" si="33"/>
        <v>0</v>
      </c>
      <c r="AH74" s="30">
        <f>SUMIFS(Output!$L:$L,Output!$A:$A,Prediction!$A74,Output!$C:$C,Prediction!AD$5)</f>
        <v>0</v>
      </c>
      <c r="AI74" s="29">
        <f>IFERROR(VLOOKUP($D74,Schedules!$A:$I,MATCH(Prediction!AI$6,Schedules!$A$1:$H$1,0),FALSE),0)</f>
        <v>0</v>
      </c>
      <c r="AJ74" s="24">
        <f>IF(AI74=0,0,SUMIFS(Output!$L:$L,Output!$A:$A,Prediction!$A74,Output!$C:$C,Prediction!AI$5))</f>
        <v>0</v>
      </c>
      <c r="AK74" s="24">
        <f t="shared" si="43"/>
        <v>0</v>
      </c>
      <c r="AL74" s="24">
        <f t="shared" si="34"/>
        <v>0</v>
      </c>
      <c r="AM74" s="30">
        <f>SUMIFS(Output!$L:$L,Output!$A:$A,Prediction!$A74,Output!$C:$C,Prediction!AI$5)</f>
        <v>0</v>
      </c>
      <c r="AN74">
        <f t="shared" si="35"/>
        <v>0</v>
      </c>
      <c r="AO74" s="3">
        <f t="shared" si="36"/>
        <v>0</v>
      </c>
      <c r="AP74" s="44"/>
      <c r="AQ74" s="3">
        <f t="shared" si="44"/>
        <v>0</v>
      </c>
      <c r="AR74" s="3">
        <f t="shared" si="37"/>
        <v>0</v>
      </c>
    </row>
    <row r="75" spans="1:44" x14ac:dyDescent="0.25">
      <c r="A75" s="9" t="str">
        <f t="array" ref="A75">IFERROR(INDEX(Output!A$1:A$2000,MATCH(0,COUNTIF(Prediction!$A$7:A74,Output!A$1:A$2000),0)),"")</f>
        <v/>
      </c>
      <c r="B75" t="str">
        <f>IFERROR(VLOOKUP($A75,Output!$A:$M,2,FALSE),"")</f>
        <v/>
      </c>
      <c r="C75" t="str">
        <f>IFERROR(VLOOKUP(B75,Departments!B:C,2,FALSE),"")</f>
        <v/>
      </c>
      <c r="D75" t="str">
        <f>IFERROR(VLOOKUP($A75,Output!$A:$M,13,FALSE),"")</f>
        <v/>
      </c>
      <c r="E75" s="29">
        <f>IFERROR(VLOOKUP($D75,Schedules!$A:$I,MATCH(Prediction!E$6,Schedules!$A$1:$H$1,0),FALSE),0)</f>
        <v>0</v>
      </c>
      <c r="F75" s="24">
        <f>IF(E75=0,0,SUMIFS(Output!$L:$L,Output!$A:$A,Prediction!$A75,Output!$C:$C,Prediction!E$5))</f>
        <v>0</v>
      </c>
      <c r="G75" s="24">
        <f t="shared" si="38"/>
        <v>0</v>
      </c>
      <c r="H75" s="45">
        <f t="shared" si="45"/>
        <v>0</v>
      </c>
      <c r="I75" s="30">
        <f>SUMIFS(Output!$L:$L,Output!$A:$A,Prediction!$A75,Output!$C:$C,Prediction!E$5)</f>
        <v>0</v>
      </c>
      <c r="J75" s="29">
        <f>IFERROR(VLOOKUP($D75,Schedules!$A:$I,MATCH(Prediction!J$6,Schedules!$A$1:$H$1,0),FALSE),0)</f>
        <v>0</v>
      </c>
      <c r="K75" s="24">
        <f>IF(J75=0,0,SUMIFS(Output!$L:$L,Output!$A:$A,Prediction!$A75,Output!$C:$C,Prediction!J$5))</f>
        <v>0</v>
      </c>
      <c r="L75" s="24">
        <f t="shared" si="39"/>
        <v>0</v>
      </c>
      <c r="M75" s="24">
        <f t="shared" si="28"/>
        <v>0</v>
      </c>
      <c r="N75" s="30">
        <f>SUMIFS(Output!$L:$L,Output!$A:$A,Prediction!$A75,Output!$C:$C,Prediction!J$5)</f>
        <v>0</v>
      </c>
      <c r="O75" s="29">
        <f>IFERROR(VLOOKUP($D75,Schedules!$A:$I,MATCH(Prediction!O$6,Schedules!$A$1:$H$1,0),FALSE),0)</f>
        <v>0</v>
      </c>
      <c r="P75" s="24">
        <f>IF(O75=0,0,SUMIFS(Output!$L:$L,Output!$A:$A,Prediction!$A75,Output!$C:$C,Prediction!O$5))</f>
        <v>0</v>
      </c>
      <c r="Q75" s="24">
        <f t="shared" si="40"/>
        <v>0</v>
      </c>
      <c r="R75" s="24">
        <f t="shared" si="29"/>
        <v>0</v>
      </c>
      <c r="S75" s="30">
        <f>SUMIFS(Output!$L:$L,Output!$A:$A,Prediction!$A75,Output!$C:$C,Prediction!O$5)</f>
        <v>0</v>
      </c>
      <c r="T75" s="29">
        <f>IFERROR(VLOOKUP($D75,Schedules!$A:$I,MATCH(Prediction!T$6,Schedules!$A$1:$H$1,0),FALSE),0)</f>
        <v>0</v>
      </c>
      <c r="U75" s="24">
        <f>IF(T75=0,0,SUMIFS(Output!$L:$L,Output!$A:$A,Prediction!$A75,Output!$C:$C,Prediction!T$5))</f>
        <v>0</v>
      </c>
      <c r="V75" s="24">
        <f t="shared" si="30"/>
        <v>0</v>
      </c>
      <c r="W75" s="24">
        <f t="shared" si="31"/>
        <v>0</v>
      </c>
      <c r="X75" s="30">
        <f>SUMIFS(Output!$L:$L,Output!$A:$A,Prediction!$A75,Output!$C:$C,Prediction!T$5)</f>
        <v>0</v>
      </c>
      <c r="Y75" s="25">
        <f>IFERROR(VLOOKUP($D75,Schedules!$A:$I,MATCH(Prediction!Y$6,Schedules!$A$1:$H$1,0),FALSE),0)</f>
        <v>0</v>
      </c>
      <c r="Z75" s="24">
        <f>IF(Y75=0,0,SUMIFS(Output!$L:$L,Output!$A:$A,Prediction!$A75,Output!$C:$C,Prediction!Y$5))</f>
        <v>0</v>
      </c>
      <c r="AA75" s="24">
        <f t="shared" si="41"/>
        <v>0</v>
      </c>
      <c r="AB75" s="24">
        <f t="shared" si="32"/>
        <v>0</v>
      </c>
      <c r="AC75" s="30">
        <f>SUMIFS(Output!$L:$L,Output!$A:$A,Prediction!$A75,Output!$C:$C,Prediction!Y$5)</f>
        <v>0</v>
      </c>
      <c r="AD75" s="29">
        <f>IFERROR(VLOOKUP($D75,Schedules!$A:$I,MATCH(Prediction!AD$6,Schedules!$A$1:$H$1,0),FALSE),0)</f>
        <v>0</v>
      </c>
      <c r="AE75" s="24">
        <f>IF(AD75=0,0,SUMIFS(Output!$L:$L,Output!$A:$A,Prediction!$A75,Output!$C:$C,Prediction!AD$5))</f>
        <v>0</v>
      </c>
      <c r="AF75" s="24">
        <f t="shared" si="42"/>
        <v>0</v>
      </c>
      <c r="AG75" s="24">
        <f t="shared" si="33"/>
        <v>0</v>
      </c>
      <c r="AH75" s="30">
        <f>SUMIFS(Output!$L:$L,Output!$A:$A,Prediction!$A75,Output!$C:$C,Prediction!AD$5)</f>
        <v>0</v>
      </c>
      <c r="AI75" s="29">
        <f>IFERROR(VLOOKUP($D75,Schedules!$A:$I,MATCH(Prediction!AI$6,Schedules!$A$1:$H$1,0),FALSE),0)</f>
        <v>0</v>
      </c>
      <c r="AJ75" s="24">
        <f>IF(AI75=0,0,SUMIFS(Output!$L:$L,Output!$A:$A,Prediction!$A75,Output!$C:$C,Prediction!AI$5))</f>
        <v>0</v>
      </c>
      <c r="AK75" s="24">
        <f t="shared" si="43"/>
        <v>0</v>
      </c>
      <c r="AL75" s="24">
        <f t="shared" si="34"/>
        <v>0</v>
      </c>
      <c r="AM75" s="30">
        <f>SUMIFS(Output!$L:$L,Output!$A:$A,Prediction!$A75,Output!$C:$C,Prediction!AI$5)</f>
        <v>0</v>
      </c>
      <c r="AN75">
        <f t="shared" si="35"/>
        <v>0</v>
      </c>
      <c r="AO75" s="3">
        <f t="shared" si="36"/>
        <v>0</v>
      </c>
      <c r="AP75" s="44"/>
      <c r="AQ75" s="3">
        <f t="shared" si="44"/>
        <v>0</v>
      </c>
      <c r="AR75" s="3">
        <f t="shared" si="37"/>
        <v>0</v>
      </c>
    </row>
    <row r="76" spans="1:44" x14ac:dyDescent="0.25">
      <c r="A76" s="9" t="str">
        <f t="array" ref="A76">IFERROR(INDEX(Output!A$1:A$2000,MATCH(0,COUNTIF(Prediction!$A$7:A75,Output!A$1:A$2000),0)),"")</f>
        <v/>
      </c>
      <c r="B76" t="str">
        <f>IFERROR(VLOOKUP($A76,Output!$A:$M,2,FALSE),"")</f>
        <v/>
      </c>
      <c r="C76" t="str">
        <f>IFERROR(VLOOKUP(B76,Departments!B:C,2,FALSE),"")</f>
        <v/>
      </c>
      <c r="D76" t="str">
        <f>IFERROR(VLOOKUP($A76,Output!$A:$M,13,FALSE),"")</f>
        <v/>
      </c>
      <c r="E76" s="29">
        <f>IFERROR(VLOOKUP($D76,Schedules!$A:$I,MATCH(Prediction!E$6,Schedules!$A$1:$H$1,0),FALSE),0)</f>
        <v>0</v>
      </c>
      <c r="F76" s="24">
        <f>IF(E76=0,0,SUMIFS(Output!$L:$L,Output!$A:$A,Prediction!$A76,Output!$C:$C,Prediction!E$5))</f>
        <v>0</v>
      </c>
      <c r="G76" s="24">
        <f t="shared" si="38"/>
        <v>0</v>
      </c>
      <c r="H76" s="45">
        <f t="shared" si="45"/>
        <v>0</v>
      </c>
      <c r="I76" s="30">
        <f>SUMIFS(Output!$L:$L,Output!$A:$A,Prediction!$A76,Output!$C:$C,Prediction!E$5)</f>
        <v>0</v>
      </c>
      <c r="J76" s="29">
        <f>IFERROR(VLOOKUP($D76,Schedules!$A:$I,MATCH(Prediction!J$6,Schedules!$A$1:$H$1,0),FALSE),0)</f>
        <v>0</v>
      </c>
      <c r="K76" s="24">
        <f>IF(J76=0,0,SUMIFS(Output!$L:$L,Output!$A:$A,Prediction!$A76,Output!$C:$C,Prediction!J$5))</f>
        <v>0</v>
      </c>
      <c r="L76" s="24">
        <f t="shared" si="39"/>
        <v>0</v>
      </c>
      <c r="M76" s="24">
        <f t="shared" si="28"/>
        <v>0</v>
      </c>
      <c r="N76" s="30">
        <f>SUMIFS(Output!$L:$L,Output!$A:$A,Prediction!$A76,Output!$C:$C,Prediction!J$5)</f>
        <v>0</v>
      </c>
      <c r="O76" s="29">
        <f>IFERROR(VLOOKUP($D76,Schedules!$A:$I,MATCH(Prediction!O$6,Schedules!$A$1:$H$1,0),FALSE),0)</f>
        <v>0</v>
      </c>
      <c r="P76" s="24">
        <f>IF(O76=0,0,SUMIFS(Output!$L:$L,Output!$A:$A,Prediction!$A76,Output!$C:$C,Prediction!O$5))</f>
        <v>0</v>
      </c>
      <c r="Q76" s="24">
        <f t="shared" si="40"/>
        <v>0</v>
      </c>
      <c r="R76" s="24">
        <f t="shared" si="29"/>
        <v>0</v>
      </c>
      <c r="S76" s="30">
        <f>SUMIFS(Output!$L:$L,Output!$A:$A,Prediction!$A76,Output!$C:$C,Prediction!O$5)</f>
        <v>0</v>
      </c>
      <c r="T76" s="29">
        <f>IFERROR(VLOOKUP($D76,Schedules!$A:$I,MATCH(Prediction!T$6,Schedules!$A$1:$H$1,0),FALSE),0)</f>
        <v>0</v>
      </c>
      <c r="U76" s="24">
        <f>IF(T76=0,0,SUMIFS(Output!$L:$L,Output!$A:$A,Prediction!$A76,Output!$C:$C,Prediction!T$5))</f>
        <v>0</v>
      </c>
      <c r="V76" s="24">
        <f t="shared" si="30"/>
        <v>0</v>
      </c>
      <c r="W76" s="24">
        <f t="shared" si="31"/>
        <v>0</v>
      </c>
      <c r="X76" s="30">
        <f>SUMIFS(Output!$L:$L,Output!$A:$A,Prediction!$A76,Output!$C:$C,Prediction!T$5)</f>
        <v>0</v>
      </c>
      <c r="Y76" s="25">
        <f>IFERROR(VLOOKUP($D76,Schedules!$A:$I,MATCH(Prediction!Y$6,Schedules!$A$1:$H$1,0),FALSE),0)</f>
        <v>0</v>
      </c>
      <c r="Z76" s="24">
        <f>IF(Y76=0,0,SUMIFS(Output!$L:$L,Output!$A:$A,Prediction!$A76,Output!$C:$C,Prediction!Y$5))</f>
        <v>0</v>
      </c>
      <c r="AA76" s="24">
        <f t="shared" si="41"/>
        <v>0</v>
      </c>
      <c r="AB76" s="24">
        <f t="shared" si="32"/>
        <v>0</v>
      </c>
      <c r="AC76" s="30">
        <f>SUMIFS(Output!$L:$L,Output!$A:$A,Prediction!$A76,Output!$C:$C,Prediction!Y$5)</f>
        <v>0</v>
      </c>
      <c r="AD76" s="29">
        <f>IFERROR(VLOOKUP($D76,Schedules!$A:$I,MATCH(Prediction!AD$6,Schedules!$A$1:$H$1,0),FALSE),0)</f>
        <v>0</v>
      </c>
      <c r="AE76" s="24">
        <f>IF(AD76=0,0,SUMIFS(Output!$L:$L,Output!$A:$A,Prediction!$A76,Output!$C:$C,Prediction!AD$5))</f>
        <v>0</v>
      </c>
      <c r="AF76" s="24">
        <f t="shared" si="42"/>
        <v>0</v>
      </c>
      <c r="AG76" s="24">
        <f t="shared" si="33"/>
        <v>0</v>
      </c>
      <c r="AH76" s="30">
        <f>SUMIFS(Output!$L:$L,Output!$A:$A,Prediction!$A76,Output!$C:$C,Prediction!AD$5)</f>
        <v>0</v>
      </c>
      <c r="AI76" s="29">
        <f>IFERROR(VLOOKUP($D76,Schedules!$A:$I,MATCH(Prediction!AI$6,Schedules!$A$1:$H$1,0),FALSE),0)</f>
        <v>0</v>
      </c>
      <c r="AJ76" s="24">
        <f>IF(AI76=0,0,SUMIFS(Output!$L:$L,Output!$A:$A,Prediction!$A76,Output!$C:$C,Prediction!AI$5))</f>
        <v>0</v>
      </c>
      <c r="AK76" s="24">
        <f t="shared" si="43"/>
        <v>0</v>
      </c>
      <c r="AL76" s="24">
        <f t="shared" si="34"/>
        <v>0</v>
      </c>
      <c r="AM76" s="30">
        <f>SUMIFS(Output!$L:$L,Output!$A:$A,Prediction!$A76,Output!$C:$C,Prediction!AI$5)</f>
        <v>0</v>
      </c>
      <c r="AN76">
        <f t="shared" si="35"/>
        <v>0</v>
      </c>
      <c r="AO76" s="3">
        <f t="shared" si="36"/>
        <v>0</v>
      </c>
      <c r="AP76" s="44"/>
      <c r="AQ76" s="3">
        <f t="shared" si="44"/>
        <v>0</v>
      </c>
      <c r="AR76" s="3">
        <f t="shared" si="37"/>
        <v>0</v>
      </c>
    </row>
    <row r="77" spans="1:44" x14ac:dyDescent="0.25">
      <c r="A77" s="9" t="str">
        <f t="array" ref="A77">IFERROR(INDEX(Output!A$1:A$2000,MATCH(0,COUNTIF(Prediction!$A$7:A76,Output!A$1:A$2000),0)),"")</f>
        <v/>
      </c>
      <c r="B77" t="str">
        <f>IFERROR(VLOOKUP($A77,Output!$A:$M,2,FALSE),"")</f>
        <v/>
      </c>
      <c r="C77" t="str">
        <f>IFERROR(VLOOKUP(B77,Departments!B:C,2,FALSE),"")</f>
        <v/>
      </c>
      <c r="D77" t="str">
        <f>IFERROR(VLOOKUP($A77,Output!$A:$M,13,FALSE),"")</f>
        <v/>
      </c>
      <c r="E77" s="29">
        <f>IFERROR(VLOOKUP($D77,Schedules!$A:$I,MATCH(Prediction!E$6,Schedules!$A$1:$H$1,0),FALSE),0)</f>
        <v>0</v>
      </c>
      <c r="F77" s="24">
        <f>IF(E77=0,0,SUMIFS(Output!$L:$L,Output!$A:$A,Prediction!$A77,Output!$C:$C,Prediction!E$5))</f>
        <v>0</v>
      </c>
      <c r="G77" s="24">
        <f t="shared" si="38"/>
        <v>0</v>
      </c>
      <c r="H77" s="45">
        <f t="shared" si="45"/>
        <v>0</v>
      </c>
      <c r="I77" s="30">
        <f>SUMIFS(Output!$L:$L,Output!$A:$A,Prediction!$A77,Output!$C:$C,Prediction!E$5)</f>
        <v>0</v>
      </c>
      <c r="J77" s="29">
        <f>IFERROR(VLOOKUP($D77,Schedules!$A:$I,MATCH(Prediction!J$6,Schedules!$A$1:$H$1,0),FALSE),0)</f>
        <v>0</v>
      </c>
      <c r="K77" s="24">
        <f>IF(J77=0,0,SUMIFS(Output!$L:$L,Output!$A:$A,Prediction!$A77,Output!$C:$C,Prediction!J$5))</f>
        <v>0</v>
      </c>
      <c r="L77" s="24">
        <f t="shared" si="39"/>
        <v>0</v>
      </c>
      <c r="M77" s="24">
        <f t="shared" si="28"/>
        <v>0</v>
      </c>
      <c r="N77" s="30">
        <f>SUMIFS(Output!$L:$L,Output!$A:$A,Prediction!$A77,Output!$C:$C,Prediction!J$5)</f>
        <v>0</v>
      </c>
      <c r="O77" s="29">
        <f>IFERROR(VLOOKUP($D77,Schedules!$A:$I,MATCH(Prediction!O$6,Schedules!$A$1:$H$1,0),FALSE),0)</f>
        <v>0</v>
      </c>
      <c r="P77" s="24">
        <f>IF(O77=0,0,SUMIFS(Output!$L:$L,Output!$A:$A,Prediction!$A77,Output!$C:$C,Prediction!O$5))</f>
        <v>0</v>
      </c>
      <c r="Q77" s="24">
        <f t="shared" si="40"/>
        <v>0</v>
      </c>
      <c r="R77" s="24">
        <f t="shared" si="29"/>
        <v>0</v>
      </c>
      <c r="S77" s="30">
        <f>SUMIFS(Output!$L:$L,Output!$A:$A,Prediction!$A77,Output!$C:$C,Prediction!O$5)</f>
        <v>0</v>
      </c>
      <c r="T77" s="29">
        <f>IFERROR(VLOOKUP($D77,Schedules!$A:$I,MATCH(Prediction!T$6,Schedules!$A$1:$H$1,0),FALSE),0)</f>
        <v>0</v>
      </c>
      <c r="U77" s="24">
        <f>IF(T77=0,0,SUMIFS(Output!$L:$L,Output!$A:$A,Prediction!$A77,Output!$C:$C,Prediction!T$5))</f>
        <v>0</v>
      </c>
      <c r="V77" s="24">
        <f t="shared" si="30"/>
        <v>0</v>
      </c>
      <c r="W77" s="24">
        <f t="shared" si="31"/>
        <v>0</v>
      </c>
      <c r="X77" s="30">
        <f>SUMIFS(Output!$L:$L,Output!$A:$A,Prediction!$A77,Output!$C:$C,Prediction!T$5)</f>
        <v>0</v>
      </c>
      <c r="Y77" s="25">
        <f>IFERROR(VLOOKUP($D77,Schedules!$A:$I,MATCH(Prediction!Y$6,Schedules!$A$1:$H$1,0),FALSE),0)</f>
        <v>0</v>
      </c>
      <c r="Z77" s="24">
        <f>IF(Y77=0,0,SUMIFS(Output!$L:$L,Output!$A:$A,Prediction!$A77,Output!$C:$C,Prediction!Y$5))</f>
        <v>0</v>
      </c>
      <c r="AA77" s="24">
        <f t="shared" si="41"/>
        <v>0</v>
      </c>
      <c r="AB77" s="24">
        <f t="shared" si="32"/>
        <v>0</v>
      </c>
      <c r="AC77" s="30">
        <f>SUMIFS(Output!$L:$L,Output!$A:$A,Prediction!$A77,Output!$C:$C,Prediction!Y$5)</f>
        <v>0</v>
      </c>
      <c r="AD77" s="29">
        <f>IFERROR(VLOOKUP($D77,Schedules!$A:$I,MATCH(Prediction!AD$6,Schedules!$A$1:$H$1,0),FALSE),0)</f>
        <v>0</v>
      </c>
      <c r="AE77" s="24">
        <f>IF(AD77=0,0,SUMIFS(Output!$L:$L,Output!$A:$A,Prediction!$A77,Output!$C:$C,Prediction!AD$5))</f>
        <v>0</v>
      </c>
      <c r="AF77" s="24">
        <f t="shared" si="42"/>
        <v>0</v>
      </c>
      <c r="AG77" s="24">
        <f t="shared" si="33"/>
        <v>0</v>
      </c>
      <c r="AH77" s="30">
        <f>SUMIFS(Output!$L:$L,Output!$A:$A,Prediction!$A77,Output!$C:$C,Prediction!AD$5)</f>
        <v>0</v>
      </c>
      <c r="AI77" s="29">
        <f>IFERROR(VLOOKUP($D77,Schedules!$A:$I,MATCH(Prediction!AI$6,Schedules!$A$1:$H$1,0),FALSE),0)</f>
        <v>0</v>
      </c>
      <c r="AJ77" s="24">
        <f>IF(AI77=0,0,SUMIFS(Output!$L:$L,Output!$A:$A,Prediction!$A77,Output!$C:$C,Prediction!AI$5))</f>
        <v>0</v>
      </c>
      <c r="AK77" s="24">
        <f t="shared" si="43"/>
        <v>0</v>
      </c>
      <c r="AL77" s="24">
        <f t="shared" si="34"/>
        <v>0</v>
      </c>
      <c r="AM77" s="30">
        <f>SUMIFS(Output!$L:$L,Output!$A:$A,Prediction!$A77,Output!$C:$C,Prediction!AI$5)</f>
        <v>0</v>
      </c>
      <c r="AN77">
        <f t="shared" si="35"/>
        <v>0</v>
      </c>
      <c r="AO77" s="3">
        <f t="shared" si="36"/>
        <v>0</v>
      </c>
      <c r="AP77" s="44"/>
      <c r="AQ77" s="3">
        <f t="shared" si="44"/>
        <v>0</v>
      </c>
      <c r="AR77" s="3">
        <f t="shared" si="37"/>
        <v>0</v>
      </c>
    </row>
    <row r="78" spans="1:44" x14ac:dyDescent="0.25">
      <c r="A78" s="9" t="str">
        <f t="array" ref="A78">IFERROR(INDEX(Output!A$1:A$2000,MATCH(0,COUNTIF(Prediction!$A$7:A77,Output!A$1:A$2000),0)),"")</f>
        <v/>
      </c>
      <c r="B78" t="str">
        <f>IFERROR(VLOOKUP($A78,Output!$A:$M,2,FALSE),"")</f>
        <v/>
      </c>
      <c r="C78" t="str">
        <f>IFERROR(VLOOKUP(B78,Departments!B:C,2,FALSE),"")</f>
        <v/>
      </c>
      <c r="D78" t="str">
        <f>IFERROR(VLOOKUP($A78,Output!$A:$M,13,FALSE),"")</f>
        <v/>
      </c>
      <c r="E78" s="29">
        <f>IFERROR(VLOOKUP($D78,Schedules!$A:$I,MATCH(Prediction!E$6,Schedules!$A$1:$H$1,0),FALSE),0)</f>
        <v>0</v>
      </c>
      <c r="F78" s="24">
        <f>IF(E78=0,0,SUMIFS(Output!$L:$L,Output!$A:$A,Prediction!$A78,Output!$C:$C,Prediction!E$5))</f>
        <v>0</v>
      </c>
      <c r="G78" s="24">
        <f t="shared" si="38"/>
        <v>0</v>
      </c>
      <c r="H78" s="45">
        <f t="shared" si="45"/>
        <v>0</v>
      </c>
      <c r="I78" s="30">
        <f>SUMIFS(Output!$L:$L,Output!$A:$A,Prediction!$A78,Output!$C:$C,Prediction!E$5)</f>
        <v>0</v>
      </c>
      <c r="J78" s="29">
        <f>IFERROR(VLOOKUP($D78,Schedules!$A:$I,MATCH(Prediction!J$6,Schedules!$A$1:$H$1,0),FALSE),0)</f>
        <v>0</v>
      </c>
      <c r="K78" s="24">
        <f>IF(J78=0,0,SUMIFS(Output!$L:$L,Output!$A:$A,Prediction!$A78,Output!$C:$C,Prediction!J$5))</f>
        <v>0</v>
      </c>
      <c r="L78" s="24">
        <f t="shared" si="39"/>
        <v>0</v>
      </c>
      <c r="M78" s="24">
        <f t="shared" si="28"/>
        <v>0</v>
      </c>
      <c r="N78" s="30">
        <f>SUMIFS(Output!$L:$L,Output!$A:$A,Prediction!$A78,Output!$C:$C,Prediction!J$5)</f>
        <v>0</v>
      </c>
      <c r="O78" s="29">
        <f>IFERROR(VLOOKUP($D78,Schedules!$A:$I,MATCH(Prediction!O$6,Schedules!$A$1:$H$1,0),FALSE),0)</f>
        <v>0</v>
      </c>
      <c r="P78" s="24">
        <f>IF(O78=0,0,SUMIFS(Output!$L:$L,Output!$A:$A,Prediction!$A78,Output!$C:$C,Prediction!O$5))</f>
        <v>0</v>
      </c>
      <c r="Q78" s="24">
        <f t="shared" si="40"/>
        <v>0</v>
      </c>
      <c r="R78" s="24">
        <f t="shared" si="29"/>
        <v>0</v>
      </c>
      <c r="S78" s="30">
        <f>SUMIFS(Output!$L:$L,Output!$A:$A,Prediction!$A78,Output!$C:$C,Prediction!O$5)</f>
        <v>0</v>
      </c>
      <c r="T78" s="29">
        <f>IFERROR(VLOOKUP($D78,Schedules!$A:$I,MATCH(Prediction!T$6,Schedules!$A$1:$H$1,0),FALSE),0)</f>
        <v>0</v>
      </c>
      <c r="U78" s="24">
        <f>IF(T78=0,0,SUMIFS(Output!$L:$L,Output!$A:$A,Prediction!$A78,Output!$C:$C,Prediction!T$5))</f>
        <v>0</v>
      </c>
      <c r="V78" s="24">
        <f t="shared" si="30"/>
        <v>0</v>
      </c>
      <c r="W78" s="24">
        <f t="shared" si="31"/>
        <v>0</v>
      </c>
      <c r="X78" s="30">
        <f>SUMIFS(Output!$L:$L,Output!$A:$A,Prediction!$A78,Output!$C:$C,Prediction!T$5)</f>
        <v>0</v>
      </c>
      <c r="Y78" s="25">
        <f>IFERROR(VLOOKUP($D78,Schedules!$A:$I,MATCH(Prediction!Y$6,Schedules!$A$1:$H$1,0),FALSE),0)</f>
        <v>0</v>
      </c>
      <c r="Z78" s="24">
        <f>IF(Y78=0,0,SUMIFS(Output!$L:$L,Output!$A:$A,Prediction!$A78,Output!$C:$C,Prediction!Y$5))</f>
        <v>0</v>
      </c>
      <c r="AA78" s="24">
        <f t="shared" si="41"/>
        <v>0</v>
      </c>
      <c r="AB78" s="24">
        <f t="shared" si="32"/>
        <v>0</v>
      </c>
      <c r="AC78" s="30">
        <f>SUMIFS(Output!$L:$L,Output!$A:$A,Prediction!$A78,Output!$C:$C,Prediction!Y$5)</f>
        <v>0</v>
      </c>
      <c r="AD78" s="29">
        <f>IFERROR(VLOOKUP($D78,Schedules!$A:$I,MATCH(Prediction!AD$6,Schedules!$A$1:$H$1,0),FALSE),0)</f>
        <v>0</v>
      </c>
      <c r="AE78" s="24">
        <f>IF(AD78=0,0,SUMIFS(Output!$L:$L,Output!$A:$A,Prediction!$A78,Output!$C:$C,Prediction!AD$5))</f>
        <v>0</v>
      </c>
      <c r="AF78" s="24">
        <f t="shared" si="42"/>
        <v>0</v>
      </c>
      <c r="AG78" s="24">
        <f t="shared" si="33"/>
        <v>0</v>
      </c>
      <c r="AH78" s="30">
        <f>SUMIFS(Output!$L:$L,Output!$A:$A,Prediction!$A78,Output!$C:$C,Prediction!AD$5)</f>
        <v>0</v>
      </c>
      <c r="AI78" s="29">
        <f>IFERROR(VLOOKUP($D78,Schedules!$A:$I,MATCH(Prediction!AI$6,Schedules!$A$1:$H$1,0),FALSE),0)</f>
        <v>0</v>
      </c>
      <c r="AJ78" s="24">
        <f>IF(AI78=0,0,SUMIFS(Output!$L:$L,Output!$A:$A,Prediction!$A78,Output!$C:$C,Prediction!AI$5))</f>
        <v>0</v>
      </c>
      <c r="AK78" s="24">
        <f t="shared" si="43"/>
        <v>0</v>
      </c>
      <c r="AL78" s="24">
        <f t="shared" si="34"/>
        <v>0</v>
      </c>
      <c r="AM78" s="30">
        <f>SUMIFS(Output!$L:$L,Output!$A:$A,Prediction!$A78,Output!$C:$C,Prediction!AI$5)</f>
        <v>0</v>
      </c>
      <c r="AN78">
        <f t="shared" si="35"/>
        <v>0</v>
      </c>
      <c r="AO78" s="3">
        <f t="shared" si="36"/>
        <v>0</v>
      </c>
      <c r="AP78" s="44"/>
      <c r="AQ78" s="3">
        <f t="shared" si="44"/>
        <v>0</v>
      </c>
      <c r="AR78" s="3">
        <f t="shared" si="37"/>
        <v>0</v>
      </c>
    </row>
    <row r="79" spans="1:44" x14ac:dyDescent="0.25">
      <c r="A79" s="9" t="str">
        <f t="array" ref="A79">IFERROR(INDEX(Output!A$1:A$2000,MATCH(0,COUNTIF(Prediction!$A$7:A78,Output!A$1:A$2000),0)),"")</f>
        <v/>
      </c>
      <c r="B79" t="str">
        <f>IFERROR(VLOOKUP($A79,Output!$A:$M,2,FALSE),"")</f>
        <v/>
      </c>
      <c r="C79" t="str">
        <f>IFERROR(VLOOKUP(B79,Departments!B:C,2,FALSE),"")</f>
        <v/>
      </c>
      <c r="D79" t="str">
        <f>IFERROR(VLOOKUP($A79,Output!$A:$M,13,FALSE),"")</f>
        <v/>
      </c>
      <c r="E79" s="29">
        <f>IFERROR(VLOOKUP($D79,Schedules!$A:$I,MATCH(Prediction!E$6,Schedules!$A$1:$H$1,0),FALSE),0)</f>
        <v>0</v>
      </c>
      <c r="F79" s="24">
        <f>IF(E79=0,0,SUMIFS(Output!$L:$L,Output!$A:$A,Prediction!$A79,Output!$C:$C,Prediction!E$5))</f>
        <v>0</v>
      </c>
      <c r="G79" s="24">
        <f t="shared" si="38"/>
        <v>0</v>
      </c>
      <c r="H79" s="45">
        <f t="shared" si="45"/>
        <v>0</v>
      </c>
      <c r="I79" s="30">
        <f>SUMIFS(Output!$L:$L,Output!$A:$A,Prediction!$A79,Output!$C:$C,Prediction!E$5)</f>
        <v>0</v>
      </c>
      <c r="J79" s="29">
        <f>IFERROR(VLOOKUP($D79,Schedules!$A:$I,MATCH(Prediction!J$6,Schedules!$A$1:$H$1,0),FALSE),0)</f>
        <v>0</v>
      </c>
      <c r="K79" s="24">
        <f>IF(J79=0,0,SUMIFS(Output!$L:$L,Output!$A:$A,Prediction!$A79,Output!$C:$C,Prediction!J$5))</f>
        <v>0</v>
      </c>
      <c r="L79" s="24">
        <f t="shared" si="39"/>
        <v>0</v>
      </c>
      <c r="M79" s="24">
        <f t="shared" si="28"/>
        <v>0</v>
      </c>
      <c r="N79" s="30">
        <f>SUMIFS(Output!$L:$L,Output!$A:$A,Prediction!$A79,Output!$C:$C,Prediction!J$5)</f>
        <v>0</v>
      </c>
      <c r="O79" s="29">
        <f>IFERROR(VLOOKUP($D79,Schedules!$A:$I,MATCH(Prediction!O$6,Schedules!$A$1:$H$1,0),FALSE),0)</f>
        <v>0</v>
      </c>
      <c r="P79" s="24">
        <f>IF(O79=0,0,SUMIFS(Output!$L:$L,Output!$A:$A,Prediction!$A79,Output!$C:$C,Prediction!O$5))</f>
        <v>0</v>
      </c>
      <c r="Q79" s="24">
        <f t="shared" si="40"/>
        <v>0</v>
      </c>
      <c r="R79" s="24">
        <f t="shared" si="29"/>
        <v>0</v>
      </c>
      <c r="S79" s="30">
        <f>SUMIFS(Output!$L:$L,Output!$A:$A,Prediction!$A79,Output!$C:$C,Prediction!O$5)</f>
        <v>0</v>
      </c>
      <c r="T79" s="29">
        <f>IFERROR(VLOOKUP($D79,Schedules!$A:$I,MATCH(Prediction!T$6,Schedules!$A$1:$H$1,0),FALSE),0)</f>
        <v>0</v>
      </c>
      <c r="U79" s="24">
        <f>IF(T79=0,0,SUMIFS(Output!$L:$L,Output!$A:$A,Prediction!$A79,Output!$C:$C,Prediction!T$5))</f>
        <v>0</v>
      </c>
      <c r="V79" s="24">
        <f t="shared" si="30"/>
        <v>0</v>
      </c>
      <c r="W79" s="24">
        <f t="shared" si="31"/>
        <v>0</v>
      </c>
      <c r="X79" s="30">
        <f>SUMIFS(Output!$L:$L,Output!$A:$A,Prediction!$A79,Output!$C:$C,Prediction!T$5)</f>
        <v>0</v>
      </c>
      <c r="Y79" s="25">
        <f>IFERROR(VLOOKUP($D79,Schedules!$A:$I,MATCH(Prediction!Y$6,Schedules!$A$1:$H$1,0),FALSE),0)</f>
        <v>0</v>
      </c>
      <c r="Z79" s="24">
        <f>IF(Y79=0,0,SUMIFS(Output!$L:$L,Output!$A:$A,Prediction!$A79,Output!$C:$C,Prediction!Y$5))</f>
        <v>0</v>
      </c>
      <c r="AA79" s="24">
        <f t="shared" si="41"/>
        <v>0</v>
      </c>
      <c r="AB79" s="24">
        <f t="shared" si="32"/>
        <v>0</v>
      </c>
      <c r="AC79" s="30">
        <f>SUMIFS(Output!$L:$L,Output!$A:$A,Prediction!$A79,Output!$C:$C,Prediction!Y$5)</f>
        <v>0</v>
      </c>
      <c r="AD79" s="29">
        <f>IFERROR(VLOOKUP($D79,Schedules!$A:$I,MATCH(Prediction!AD$6,Schedules!$A$1:$H$1,0),FALSE),0)</f>
        <v>0</v>
      </c>
      <c r="AE79" s="24">
        <f>IF(AD79=0,0,SUMIFS(Output!$L:$L,Output!$A:$A,Prediction!$A79,Output!$C:$C,Prediction!AD$5))</f>
        <v>0</v>
      </c>
      <c r="AF79" s="24">
        <f t="shared" si="42"/>
        <v>0</v>
      </c>
      <c r="AG79" s="24">
        <f t="shared" si="33"/>
        <v>0</v>
      </c>
      <c r="AH79" s="30">
        <f>SUMIFS(Output!$L:$L,Output!$A:$A,Prediction!$A79,Output!$C:$C,Prediction!AD$5)</f>
        <v>0</v>
      </c>
      <c r="AI79" s="29">
        <f>IFERROR(VLOOKUP($D79,Schedules!$A:$I,MATCH(Prediction!AI$6,Schedules!$A$1:$H$1,0),FALSE),0)</f>
        <v>0</v>
      </c>
      <c r="AJ79" s="24">
        <f>IF(AI79=0,0,SUMIFS(Output!$L:$L,Output!$A:$A,Prediction!$A79,Output!$C:$C,Prediction!AI$5))</f>
        <v>0</v>
      </c>
      <c r="AK79" s="24">
        <f t="shared" si="43"/>
        <v>0</v>
      </c>
      <c r="AL79" s="24">
        <f t="shared" si="34"/>
        <v>0</v>
      </c>
      <c r="AM79" s="30">
        <f>SUMIFS(Output!$L:$L,Output!$A:$A,Prediction!$A79,Output!$C:$C,Prediction!AI$5)</f>
        <v>0</v>
      </c>
      <c r="AN79">
        <f t="shared" si="35"/>
        <v>0</v>
      </c>
      <c r="AO79" s="3">
        <f t="shared" si="36"/>
        <v>0</v>
      </c>
      <c r="AP79" s="44"/>
      <c r="AQ79" s="3">
        <f t="shared" si="44"/>
        <v>0</v>
      </c>
      <c r="AR79" s="3">
        <f t="shared" si="37"/>
        <v>0</v>
      </c>
    </row>
    <row r="80" spans="1:44" x14ac:dyDescent="0.25">
      <c r="A80" s="9" t="str">
        <f t="array" ref="A80">IFERROR(INDEX(Output!A$1:A$2000,MATCH(0,COUNTIF(Prediction!$A$7:A79,Output!A$1:A$2000),0)),"")</f>
        <v/>
      </c>
      <c r="B80" t="str">
        <f>IFERROR(VLOOKUP($A80,Output!$A:$M,2,FALSE),"")</f>
        <v/>
      </c>
      <c r="C80" t="str">
        <f>IFERROR(VLOOKUP(B80,Departments!B:C,2,FALSE),"")</f>
        <v/>
      </c>
      <c r="D80" t="str">
        <f>IFERROR(VLOOKUP($A80,Output!$A:$M,13,FALSE),"")</f>
        <v/>
      </c>
      <c r="E80" s="29">
        <f>IFERROR(VLOOKUP($D80,Schedules!$A:$I,MATCH(Prediction!E$6,Schedules!$A$1:$H$1,0),FALSE),0)</f>
        <v>0</v>
      </c>
      <c r="F80" s="24">
        <f>IF(E80=0,0,SUMIFS(Output!$L:$L,Output!$A:$A,Prediction!$A80,Output!$C:$C,Prediction!E$5))</f>
        <v>0</v>
      </c>
      <c r="G80" s="24">
        <f t="shared" si="38"/>
        <v>0</v>
      </c>
      <c r="H80" s="45">
        <f t="shared" si="45"/>
        <v>0</v>
      </c>
      <c r="I80" s="30">
        <f>SUMIFS(Output!$L:$L,Output!$A:$A,Prediction!$A80,Output!$C:$C,Prediction!E$5)</f>
        <v>0</v>
      </c>
      <c r="J80" s="29">
        <f>IFERROR(VLOOKUP($D80,Schedules!$A:$I,MATCH(Prediction!J$6,Schedules!$A$1:$H$1,0),FALSE),0)</f>
        <v>0</v>
      </c>
      <c r="K80" s="24">
        <f>IF(J80=0,0,SUMIFS(Output!$L:$L,Output!$A:$A,Prediction!$A80,Output!$C:$C,Prediction!J$5))</f>
        <v>0</v>
      </c>
      <c r="L80" s="24">
        <f t="shared" si="39"/>
        <v>0</v>
      </c>
      <c r="M80" s="24">
        <f t="shared" si="28"/>
        <v>0</v>
      </c>
      <c r="N80" s="30">
        <f>SUMIFS(Output!$L:$L,Output!$A:$A,Prediction!$A80,Output!$C:$C,Prediction!J$5)</f>
        <v>0</v>
      </c>
      <c r="O80" s="29">
        <f>IFERROR(VLOOKUP($D80,Schedules!$A:$I,MATCH(Prediction!O$6,Schedules!$A$1:$H$1,0),FALSE),0)</f>
        <v>0</v>
      </c>
      <c r="P80" s="24">
        <f>IF(O80=0,0,SUMIFS(Output!$L:$L,Output!$A:$A,Prediction!$A80,Output!$C:$C,Prediction!O$5))</f>
        <v>0</v>
      </c>
      <c r="Q80" s="24">
        <f t="shared" si="40"/>
        <v>0</v>
      </c>
      <c r="R80" s="24">
        <f t="shared" si="29"/>
        <v>0</v>
      </c>
      <c r="S80" s="30">
        <f>SUMIFS(Output!$L:$L,Output!$A:$A,Prediction!$A80,Output!$C:$C,Prediction!O$5)</f>
        <v>0</v>
      </c>
      <c r="T80" s="29">
        <f>IFERROR(VLOOKUP($D80,Schedules!$A:$I,MATCH(Prediction!T$6,Schedules!$A$1:$H$1,0),FALSE),0)</f>
        <v>0</v>
      </c>
      <c r="U80" s="24">
        <f>IF(T80=0,0,SUMIFS(Output!$L:$L,Output!$A:$A,Prediction!$A80,Output!$C:$C,Prediction!T$5))</f>
        <v>0</v>
      </c>
      <c r="V80" s="24">
        <f t="shared" si="30"/>
        <v>0</v>
      </c>
      <c r="W80" s="24">
        <f t="shared" si="31"/>
        <v>0</v>
      </c>
      <c r="X80" s="30">
        <f>SUMIFS(Output!$L:$L,Output!$A:$A,Prediction!$A80,Output!$C:$C,Prediction!T$5)</f>
        <v>0</v>
      </c>
      <c r="Y80" s="25">
        <f>IFERROR(VLOOKUP($D80,Schedules!$A:$I,MATCH(Prediction!Y$6,Schedules!$A$1:$H$1,0),FALSE),0)</f>
        <v>0</v>
      </c>
      <c r="Z80" s="24">
        <f>IF(Y80=0,0,SUMIFS(Output!$L:$L,Output!$A:$A,Prediction!$A80,Output!$C:$C,Prediction!Y$5))</f>
        <v>0</v>
      </c>
      <c r="AA80" s="24">
        <f t="shared" si="41"/>
        <v>0</v>
      </c>
      <c r="AB80" s="24">
        <f t="shared" si="32"/>
        <v>0</v>
      </c>
      <c r="AC80" s="30">
        <f>SUMIFS(Output!$L:$L,Output!$A:$A,Prediction!$A80,Output!$C:$C,Prediction!Y$5)</f>
        <v>0</v>
      </c>
      <c r="AD80" s="29">
        <f>IFERROR(VLOOKUP($D80,Schedules!$A:$I,MATCH(Prediction!AD$6,Schedules!$A$1:$H$1,0),FALSE),0)</f>
        <v>0</v>
      </c>
      <c r="AE80" s="24">
        <f>IF(AD80=0,0,SUMIFS(Output!$L:$L,Output!$A:$A,Prediction!$A80,Output!$C:$C,Prediction!AD$5))</f>
        <v>0</v>
      </c>
      <c r="AF80" s="24">
        <f t="shared" si="42"/>
        <v>0</v>
      </c>
      <c r="AG80" s="24">
        <f t="shared" si="33"/>
        <v>0</v>
      </c>
      <c r="AH80" s="30">
        <f>SUMIFS(Output!$L:$L,Output!$A:$A,Prediction!$A80,Output!$C:$C,Prediction!AD$5)</f>
        <v>0</v>
      </c>
      <c r="AI80" s="29">
        <f>IFERROR(VLOOKUP($D80,Schedules!$A:$I,MATCH(Prediction!AI$6,Schedules!$A$1:$H$1,0),FALSE),0)</f>
        <v>0</v>
      </c>
      <c r="AJ80" s="24">
        <f>IF(AI80=0,0,SUMIFS(Output!$L:$L,Output!$A:$A,Prediction!$A80,Output!$C:$C,Prediction!AI$5))</f>
        <v>0</v>
      </c>
      <c r="AK80" s="24">
        <f t="shared" si="43"/>
        <v>0</v>
      </c>
      <c r="AL80" s="24">
        <f t="shared" si="34"/>
        <v>0</v>
      </c>
      <c r="AM80" s="30">
        <f>SUMIFS(Output!$L:$L,Output!$A:$A,Prediction!$A80,Output!$C:$C,Prediction!AI$5)</f>
        <v>0</v>
      </c>
      <c r="AN80">
        <f t="shared" si="35"/>
        <v>0</v>
      </c>
      <c r="AO80" s="3">
        <f t="shared" si="36"/>
        <v>0</v>
      </c>
      <c r="AP80" s="44"/>
      <c r="AQ80" s="3">
        <f t="shared" si="44"/>
        <v>0</v>
      </c>
      <c r="AR80" s="3">
        <f t="shared" si="37"/>
        <v>0</v>
      </c>
    </row>
    <row r="81" spans="1:44" x14ac:dyDescent="0.25">
      <c r="A81" s="9" t="str">
        <f t="array" ref="A81">IFERROR(INDEX(Output!A$1:A$2000,MATCH(0,COUNTIF(Prediction!$A$7:A80,Output!A$1:A$2000),0)),"")</f>
        <v/>
      </c>
      <c r="B81" t="str">
        <f>IFERROR(VLOOKUP($A81,Output!$A:$M,2,FALSE),"")</f>
        <v/>
      </c>
      <c r="C81" t="str">
        <f>IFERROR(VLOOKUP(B81,Departments!B:C,2,FALSE),"")</f>
        <v/>
      </c>
      <c r="D81" t="str">
        <f>IFERROR(VLOOKUP($A81,Output!$A:$M,13,FALSE),"")</f>
        <v/>
      </c>
      <c r="E81" s="29">
        <f>IFERROR(VLOOKUP($D81,Schedules!$A:$I,MATCH(Prediction!E$6,Schedules!$A$1:$H$1,0),FALSE),0)</f>
        <v>0</v>
      </c>
      <c r="F81" s="24">
        <f>IF(E81=0,0,SUMIFS(Output!$L:$L,Output!$A:$A,Prediction!$A81,Output!$C:$C,Prediction!E$5))</f>
        <v>0</v>
      </c>
      <c r="G81" s="24">
        <f t="shared" si="38"/>
        <v>0</v>
      </c>
      <c r="H81" s="45">
        <f t="shared" si="45"/>
        <v>0</v>
      </c>
      <c r="I81" s="30">
        <f>SUMIFS(Output!$L:$L,Output!$A:$A,Prediction!$A81,Output!$C:$C,Prediction!E$5)</f>
        <v>0</v>
      </c>
      <c r="J81" s="29">
        <f>IFERROR(VLOOKUP($D81,Schedules!$A:$I,MATCH(Prediction!J$6,Schedules!$A$1:$H$1,0),FALSE),0)</f>
        <v>0</v>
      </c>
      <c r="K81" s="24">
        <f>IF(J81=0,0,SUMIFS(Output!$L:$L,Output!$A:$A,Prediction!$A81,Output!$C:$C,Prediction!J$5))</f>
        <v>0</v>
      </c>
      <c r="L81" s="24">
        <f t="shared" si="39"/>
        <v>0</v>
      </c>
      <c r="M81" s="24">
        <f t="shared" si="28"/>
        <v>0</v>
      </c>
      <c r="N81" s="30">
        <f>SUMIFS(Output!$L:$L,Output!$A:$A,Prediction!$A81,Output!$C:$C,Prediction!J$5)</f>
        <v>0</v>
      </c>
      <c r="O81" s="29">
        <f>IFERROR(VLOOKUP($D81,Schedules!$A:$I,MATCH(Prediction!O$6,Schedules!$A$1:$H$1,0),FALSE),0)</f>
        <v>0</v>
      </c>
      <c r="P81" s="24">
        <f>IF(O81=0,0,SUMIFS(Output!$L:$L,Output!$A:$A,Prediction!$A81,Output!$C:$C,Prediction!O$5))</f>
        <v>0</v>
      </c>
      <c r="Q81" s="24">
        <f t="shared" si="40"/>
        <v>0</v>
      </c>
      <c r="R81" s="24">
        <f t="shared" si="29"/>
        <v>0</v>
      </c>
      <c r="S81" s="30">
        <f>SUMIFS(Output!$L:$L,Output!$A:$A,Prediction!$A81,Output!$C:$C,Prediction!O$5)</f>
        <v>0</v>
      </c>
      <c r="T81" s="29">
        <f>IFERROR(VLOOKUP($D81,Schedules!$A:$I,MATCH(Prediction!T$6,Schedules!$A$1:$H$1,0),FALSE),0)</f>
        <v>0</v>
      </c>
      <c r="U81" s="24">
        <f>IF(T81=0,0,SUMIFS(Output!$L:$L,Output!$A:$A,Prediction!$A81,Output!$C:$C,Prediction!T$5))</f>
        <v>0</v>
      </c>
      <c r="V81" s="24">
        <f t="shared" si="30"/>
        <v>0</v>
      </c>
      <c r="W81" s="24">
        <f t="shared" si="31"/>
        <v>0</v>
      </c>
      <c r="X81" s="30">
        <f>SUMIFS(Output!$L:$L,Output!$A:$A,Prediction!$A81,Output!$C:$C,Prediction!T$5)</f>
        <v>0</v>
      </c>
      <c r="Y81" s="25">
        <f>IFERROR(VLOOKUP($D81,Schedules!$A:$I,MATCH(Prediction!Y$6,Schedules!$A$1:$H$1,0),FALSE),0)</f>
        <v>0</v>
      </c>
      <c r="Z81" s="24">
        <f>IF(Y81=0,0,SUMIFS(Output!$L:$L,Output!$A:$A,Prediction!$A81,Output!$C:$C,Prediction!Y$5))</f>
        <v>0</v>
      </c>
      <c r="AA81" s="24">
        <f t="shared" si="41"/>
        <v>0</v>
      </c>
      <c r="AB81" s="24">
        <f t="shared" si="32"/>
        <v>0</v>
      </c>
      <c r="AC81" s="30">
        <f>SUMIFS(Output!$L:$L,Output!$A:$A,Prediction!$A81,Output!$C:$C,Prediction!Y$5)</f>
        <v>0</v>
      </c>
      <c r="AD81" s="29">
        <f>IFERROR(VLOOKUP($D81,Schedules!$A:$I,MATCH(Prediction!AD$6,Schedules!$A$1:$H$1,0),FALSE),0)</f>
        <v>0</v>
      </c>
      <c r="AE81" s="24">
        <f>IF(AD81=0,0,SUMIFS(Output!$L:$L,Output!$A:$A,Prediction!$A81,Output!$C:$C,Prediction!AD$5))</f>
        <v>0</v>
      </c>
      <c r="AF81" s="24">
        <f t="shared" si="42"/>
        <v>0</v>
      </c>
      <c r="AG81" s="24">
        <f t="shared" si="33"/>
        <v>0</v>
      </c>
      <c r="AH81" s="30">
        <f>SUMIFS(Output!$L:$L,Output!$A:$A,Prediction!$A81,Output!$C:$C,Prediction!AD$5)</f>
        <v>0</v>
      </c>
      <c r="AI81" s="29">
        <f>IFERROR(VLOOKUP($D81,Schedules!$A:$I,MATCH(Prediction!AI$6,Schedules!$A$1:$H$1,0),FALSE),0)</f>
        <v>0</v>
      </c>
      <c r="AJ81" s="24">
        <f>IF(AI81=0,0,SUMIFS(Output!$L:$L,Output!$A:$A,Prediction!$A81,Output!$C:$C,Prediction!AI$5))</f>
        <v>0</v>
      </c>
      <c r="AK81" s="24">
        <f t="shared" si="43"/>
        <v>0</v>
      </c>
      <c r="AL81" s="24">
        <f t="shared" si="34"/>
        <v>0</v>
      </c>
      <c r="AM81" s="30">
        <f>SUMIFS(Output!$L:$L,Output!$A:$A,Prediction!$A81,Output!$C:$C,Prediction!AI$5)</f>
        <v>0</v>
      </c>
      <c r="AN81">
        <f t="shared" si="35"/>
        <v>0</v>
      </c>
      <c r="AO81" s="3">
        <f t="shared" si="36"/>
        <v>0</v>
      </c>
      <c r="AP81" s="44"/>
      <c r="AQ81" s="3">
        <f t="shared" si="44"/>
        <v>0</v>
      </c>
      <c r="AR81" s="3">
        <f t="shared" si="37"/>
        <v>0</v>
      </c>
    </row>
    <row r="82" spans="1:44" x14ac:dyDescent="0.25">
      <c r="A82" s="9" t="str">
        <f t="array" ref="A82">IFERROR(INDEX(Output!A$1:A$2000,MATCH(0,COUNTIF(Prediction!$A$7:A81,Output!A$1:A$2000),0)),"")</f>
        <v/>
      </c>
      <c r="B82" t="str">
        <f>IFERROR(VLOOKUP($A82,Output!$A:$M,2,FALSE),"")</f>
        <v/>
      </c>
      <c r="C82" t="str">
        <f>IFERROR(VLOOKUP(B82,Departments!B:C,2,FALSE),"")</f>
        <v/>
      </c>
      <c r="D82" t="str">
        <f>IFERROR(VLOOKUP($A82,Output!$A:$M,13,FALSE),"")</f>
        <v/>
      </c>
      <c r="E82" s="29">
        <f>IFERROR(VLOOKUP($D82,Schedules!$A:$I,MATCH(Prediction!E$6,Schedules!$A$1:$H$1,0),FALSE),0)</f>
        <v>0</v>
      </c>
      <c r="F82" s="24">
        <f>IF(E82=0,0,SUMIFS(Output!$L:$L,Output!$A:$A,Prediction!$A82,Output!$C:$C,Prediction!E$5))</f>
        <v>0</v>
      </c>
      <c r="G82" s="24">
        <f t="shared" si="38"/>
        <v>0</v>
      </c>
      <c r="H82" s="45">
        <f t="shared" si="45"/>
        <v>0</v>
      </c>
      <c r="I82" s="30">
        <f>SUMIFS(Output!$L:$L,Output!$A:$A,Prediction!$A82,Output!$C:$C,Prediction!E$5)</f>
        <v>0</v>
      </c>
      <c r="J82" s="29">
        <f>IFERROR(VLOOKUP($D82,Schedules!$A:$I,MATCH(Prediction!J$6,Schedules!$A$1:$H$1,0),FALSE),0)</f>
        <v>0</v>
      </c>
      <c r="K82" s="24">
        <f>IF(J82=0,0,SUMIFS(Output!$L:$L,Output!$A:$A,Prediction!$A82,Output!$C:$C,Prediction!J$5))</f>
        <v>0</v>
      </c>
      <c r="L82" s="24">
        <f t="shared" si="39"/>
        <v>0</v>
      </c>
      <c r="M82" s="24">
        <f t="shared" si="28"/>
        <v>0</v>
      </c>
      <c r="N82" s="30">
        <f>SUMIFS(Output!$L:$L,Output!$A:$A,Prediction!$A82,Output!$C:$C,Prediction!J$5)</f>
        <v>0</v>
      </c>
      <c r="O82" s="29">
        <f>IFERROR(VLOOKUP($D82,Schedules!$A:$I,MATCH(Prediction!O$6,Schedules!$A$1:$H$1,0),FALSE),0)</f>
        <v>0</v>
      </c>
      <c r="P82" s="24">
        <f>IF(O82=0,0,SUMIFS(Output!$L:$L,Output!$A:$A,Prediction!$A82,Output!$C:$C,Prediction!O$5))</f>
        <v>0</v>
      </c>
      <c r="Q82" s="24">
        <f t="shared" si="40"/>
        <v>0</v>
      </c>
      <c r="R82" s="24">
        <f t="shared" si="29"/>
        <v>0</v>
      </c>
      <c r="S82" s="30">
        <f>SUMIFS(Output!$L:$L,Output!$A:$A,Prediction!$A82,Output!$C:$C,Prediction!O$5)</f>
        <v>0</v>
      </c>
      <c r="T82" s="29">
        <f>IFERROR(VLOOKUP($D82,Schedules!$A:$I,MATCH(Prediction!T$6,Schedules!$A$1:$H$1,0),FALSE),0)</f>
        <v>0</v>
      </c>
      <c r="U82" s="24">
        <f>IF(T82=0,0,SUMIFS(Output!$L:$L,Output!$A:$A,Prediction!$A82,Output!$C:$C,Prediction!T$5))</f>
        <v>0</v>
      </c>
      <c r="V82" s="24">
        <f t="shared" si="30"/>
        <v>0</v>
      </c>
      <c r="W82" s="24">
        <f t="shared" si="31"/>
        <v>0</v>
      </c>
      <c r="X82" s="30">
        <f>SUMIFS(Output!$L:$L,Output!$A:$A,Prediction!$A82,Output!$C:$C,Prediction!T$5)</f>
        <v>0</v>
      </c>
      <c r="Y82" s="25">
        <f>IFERROR(VLOOKUP($D82,Schedules!$A:$I,MATCH(Prediction!Y$6,Schedules!$A$1:$H$1,0),FALSE),0)</f>
        <v>0</v>
      </c>
      <c r="Z82" s="24">
        <f>IF(Y82=0,0,SUMIFS(Output!$L:$L,Output!$A:$A,Prediction!$A82,Output!$C:$C,Prediction!Y$5))</f>
        <v>0</v>
      </c>
      <c r="AA82" s="24">
        <f t="shared" si="41"/>
        <v>0</v>
      </c>
      <c r="AB82" s="24">
        <f t="shared" si="32"/>
        <v>0</v>
      </c>
      <c r="AC82" s="30">
        <f>SUMIFS(Output!$L:$L,Output!$A:$A,Prediction!$A82,Output!$C:$C,Prediction!Y$5)</f>
        <v>0</v>
      </c>
      <c r="AD82" s="29">
        <f>IFERROR(VLOOKUP($D82,Schedules!$A:$I,MATCH(Prediction!AD$6,Schedules!$A$1:$H$1,0),FALSE),0)</f>
        <v>0</v>
      </c>
      <c r="AE82" s="24">
        <f>IF(AD82=0,0,SUMIFS(Output!$L:$L,Output!$A:$A,Prediction!$A82,Output!$C:$C,Prediction!AD$5))</f>
        <v>0</v>
      </c>
      <c r="AF82" s="24">
        <f t="shared" si="42"/>
        <v>0</v>
      </c>
      <c r="AG82" s="24">
        <f t="shared" si="33"/>
        <v>0</v>
      </c>
      <c r="AH82" s="30">
        <f>SUMIFS(Output!$L:$L,Output!$A:$A,Prediction!$A82,Output!$C:$C,Prediction!AD$5)</f>
        <v>0</v>
      </c>
      <c r="AI82" s="29">
        <f>IFERROR(VLOOKUP($D82,Schedules!$A:$I,MATCH(Prediction!AI$6,Schedules!$A$1:$H$1,0),FALSE),0)</f>
        <v>0</v>
      </c>
      <c r="AJ82" s="24">
        <f>IF(AI82=0,0,SUMIFS(Output!$L:$L,Output!$A:$A,Prediction!$A82,Output!$C:$C,Prediction!AI$5))</f>
        <v>0</v>
      </c>
      <c r="AK82" s="24">
        <f t="shared" si="43"/>
        <v>0</v>
      </c>
      <c r="AL82" s="24">
        <f t="shared" si="34"/>
        <v>0</v>
      </c>
      <c r="AM82" s="30">
        <f>SUMIFS(Output!$L:$L,Output!$A:$A,Prediction!$A82,Output!$C:$C,Prediction!AI$5)</f>
        <v>0</v>
      </c>
      <c r="AN82">
        <f t="shared" si="35"/>
        <v>0</v>
      </c>
      <c r="AO82" s="3">
        <f t="shared" si="36"/>
        <v>0</v>
      </c>
      <c r="AP82" s="44"/>
      <c r="AQ82" s="3">
        <f t="shared" si="44"/>
        <v>0</v>
      </c>
      <c r="AR82" s="3">
        <f t="shared" si="37"/>
        <v>0</v>
      </c>
    </row>
    <row r="83" spans="1:44" x14ac:dyDescent="0.25">
      <c r="A83" s="9" t="str">
        <f t="array" ref="A83">IFERROR(INDEX(Output!A$1:A$2000,MATCH(0,COUNTIF(Prediction!$A$7:A82,Output!A$1:A$2000),0)),"")</f>
        <v/>
      </c>
      <c r="B83" t="str">
        <f>IFERROR(VLOOKUP($A83,Output!$A:$M,2,FALSE),"")</f>
        <v/>
      </c>
      <c r="C83" t="str">
        <f>IFERROR(VLOOKUP(B83,Departments!B:C,2,FALSE),"")</f>
        <v/>
      </c>
      <c r="D83" t="str">
        <f>IFERROR(VLOOKUP($A83,Output!$A:$M,13,FALSE),"")</f>
        <v/>
      </c>
      <c r="E83" s="29">
        <f>IFERROR(VLOOKUP($D83,Schedules!$A:$I,MATCH(Prediction!E$6,Schedules!$A$1:$H$1,0),FALSE),0)</f>
        <v>0</v>
      </c>
      <c r="F83" s="24">
        <f>IF(E83=0,0,SUMIFS(Output!$L:$L,Output!$A:$A,Prediction!$A83,Output!$C:$C,Prediction!E$5))</f>
        <v>0</v>
      </c>
      <c r="G83" s="24">
        <f t="shared" si="38"/>
        <v>0</v>
      </c>
      <c r="H83" s="45">
        <f t="shared" si="45"/>
        <v>0</v>
      </c>
      <c r="I83" s="30">
        <f>SUMIFS(Output!$L:$L,Output!$A:$A,Prediction!$A83,Output!$C:$C,Prediction!E$5)</f>
        <v>0</v>
      </c>
      <c r="J83" s="29">
        <f>IFERROR(VLOOKUP($D83,Schedules!$A:$I,MATCH(Prediction!J$6,Schedules!$A$1:$H$1,0),FALSE),0)</f>
        <v>0</v>
      </c>
      <c r="K83" s="24">
        <f>IF(J83=0,0,SUMIFS(Output!$L:$L,Output!$A:$A,Prediction!$A83,Output!$C:$C,Prediction!J$5))</f>
        <v>0</v>
      </c>
      <c r="L83" s="24">
        <f t="shared" si="39"/>
        <v>0</v>
      </c>
      <c r="M83" s="24">
        <f t="shared" si="28"/>
        <v>0</v>
      </c>
      <c r="N83" s="30">
        <f>SUMIFS(Output!$L:$L,Output!$A:$A,Prediction!$A83,Output!$C:$C,Prediction!J$5)</f>
        <v>0</v>
      </c>
      <c r="O83" s="29">
        <f>IFERROR(VLOOKUP($D83,Schedules!$A:$I,MATCH(Prediction!O$6,Schedules!$A$1:$H$1,0),FALSE),0)</f>
        <v>0</v>
      </c>
      <c r="P83" s="24">
        <f>IF(O83=0,0,SUMIFS(Output!$L:$L,Output!$A:$A,Prediction!$A83,Output!$C:$C,Prediction!O$5))</f>
        <v>0</v>
      </c>
      <c r="Q83" s="24">
        <f t="shared" si="40"/>
        <v>0</v>
      </c>
      <c r="R83" s="24">
        <f t="shared" si="29"/>
        <v>0</v>
      </c>
      <c r="S83" s="30">
        <f>SUMIFS(Output!$L:$L,Output!$A:$A,Prediction!$A83,Output!$C:$C,Prediction!O$5)</f>
        <v>0</v>
      </c>
      <c r="T83" s="29">
        <f>IFERROR(VLOOKUP($D83,Schedules!$A:$I,MATCH(Prediction!T$6,Schedules!$A$1:$H$1,0),FALSE),0)</f>
        <v>0</v>
      </c>
      <c r="U83" s="24">
        <f>IF(T83=0,0,SUMIFS(Output!$L:$L,Output!$A:$A,Prediction!$A83,Output!$C:$C,Prediction!T$5))</f>
        <v>0</v>
      </c>
      <c r="V83" s="24">
        <f t="shared" si="30"/>
        <v>0</v>
      </c>
      <c r="W83" s="24">
        <f t="shared" si="31"/>
        <v>0</v>
      </c>
      <c r="X83" s="30">
        <f>SUMIFS(Output!$L:$L,Output!$A:$A,Prediction!$A83,Output!$C:$C,Prediction!T$5)</f>
        <v>0</v>
      </c>
      <c r="Y83" s="25">
        <f>IFERROR(VLOOKUP($D83,Schedules!$A:$I,MATCH(Prediction!Y$6,Schedules!$A$1:$H$1,0),FALSE),0)</f>
        <v>0</v>
      </c>
      <c r="Z83" s="24">
        <f>IF(Y83=0,0,SUMIFS(Output!$L:$L,Output!$A:$A,Prediction!$A83,Output!$C:$C,Prediction!Y$5))</f>
        <v>0</v>
      </c>
      <c r="AA83" s="24">
        <f t="shared" si="41"/>
        <v>0</v>
      </c>
      <c r="AB83" s="24">
        <f t="shared" si="32"/>
        <v>0</v>
      </c>
      <c r="AC83" s="30">
        <f>SUMIFS(Output!$L:$L,Output!$A:$A,Prediction!$A83,Output!$C:$C,Prediction!Y$5)</f>
        <v>0</v>
      </c>
      <c r="AD83" s="29">
        <f>IFERROR(VLOOKUP($D83,Schedules!$A:$I,MATCH(Prediction!AD$6,Schedules!$A$1:$H$1,0),FALSE),0)</f>
        <v>0</v>
      </c>
      <c r="AE83" s="24">
        <f>IF(AD83=0,0,SUMIFS(Output!$L:$L,Output!$A:$A,Prediction!$A83,Output!$C:$C,Prediction!AD$5))</f>
        <v>0</v>
      </c>
      <c r="AF83" s="24">
        <f t="shared" si="42"/>
        <v>0</v>
      </c>
      <c r="AG83" s="24">
        <f t="shared" si="33"/>
        <v>0</v>
      </c>
      <c r="AH83" s="30">
        <f>SUMIFS(Output!$L:$L,Output!$A:$A,Prediction!$A83,Output!$C:$C,Prediction!AD$5)</f>
        <v>0</v>
      </c>
      <c r="AI83" s="29">
        <f>IFERROR(VLOOKUP($D83,Schedules!$A:$I,MATCH(Prediction!AI$6,Schedules!$A$1:$H$1,0),FALSE),0)</f>
        <v>0</v>
      </c>
      <c r="AJ83" s="24">
        <f>IF(AI83=0,0,SUMIFS(Output!$L:$L,Output!$A:$A,Prediction!$A83,Output!$C:$C,Prediction!AI$5))</f>
        <v>0</v>
      </c>
      <c r="AK83" s="24">
        <f t="shared" si="43"/>
        <v>0</v>
      </c>
      <c r="AL83" s="24">
        <f t="shared" si="34"/>
        <v>0</v>
      </c>
      <c r="AM83" s="30">
        <f>SUMIFS(Output!$L:$L,Output!$A:$A,Prediction!$A83,Output!$C:$C,Prediction!AI$5)</f>
        <v>0</v>
      </c>
      <c r="AN83">
        <f t="shared" si="35"/>
        <v>0</v>
      </c>
      <c r="AO83" s="3">
        <f t="shared" si="36"/>
        <v>0</v>
      </c>
      <c r="AP83" s="44"/>
      <c r="AQ83" s="3">
        <f t="shared" si="44"/>
        <v>0</v>
      </c>
      <c r="AR83" s="3">
        <f t="shared" si="37"/>
        <v>0</v>
      </c>
    </row>
    <row r="84" spans="1:44" x14ac:dyDescent="0.25">
      <c r="A84" s="9" t="str">
        <f t="array" ref="A84">IFERROR(INDEX(Output!A$1:A$2000,MATCH(0,COUNTIF(Prediction!$A$7:A83,Output!A$1:A$2000),0)),"")</f>
        <v/>
      </c>
      <c r="B84" t="str">
        <f>IFERROR(VLOOKUP($A84,Output!$A:$M,2,FALSE),"")</f>
        <v/>
      </c>
      <c r="C84" t="str">
        <f>IFERROR(VLOOKUP(B84,Departments!B:C,2,FALSE),"")</f>
        <v/>
      </c>
      <c r="D84" t="str">
        <f>IFERROR(VLOOKUP($A84,Output!$A:$M,13,FALSE),"")</f>
        <v/>
      </c>
      <c r="E84" s="29">
        <f>IFERROR(VLOOKUP($D84,Schedules!$A:$I,MATCH(Prediction!E$6,Schedules!$A$1:$H$1,0),FALSE),0)</f>
        <v>0</v>
      </c>
      <c r="F84" s="24">
        <f>IF(E84=0,0,SUMIFS(Output!$L:$L,Output!$A:$A,Prediction!$A84,Output!$C:$C,Prediction!E$5))</f>
        <v>0</v>
      </c>
      <c r="G84" s="24">
        <f t="shared" si="38"/>
        <v>0</v>
      </c>
      <c r="H84" s="45">
        <f t="shared" si="45"/>
        <v>0</v>
      </c>
      <c r="I84" s="30">
        <f>SUMIFS(Output!$L:$L,Output!$A:$A,Prediction!$A84,Output!$C:$C,Prediction!E$5)</f>
        <v>0</v>
      </c>
      <c r="J84" s="29">
        <f>IFERROR(VLOOKUP($D84,Schedules!$A:$I,MATCH(Prediction!J$6,Schedules!$A$1:$H$1,0),FALSE),0)</f>
        <v>0</v>
      </c>
      <c r="K84" s="24">
        <f>IF(J84=0,0,SUMIFS(Output!$L:$L,Output!$A:$A,Prediction!$A84,Output!$C:$C,Prediction!J$5))</f>
        <v>0</v>
      </c>
      <c r="L84" s="24">
        <f t="shared" si="39"/>
        <v>0</v>
      </c>
      <c r="M84" s="24">
        <f t="shared" si="28"/>
        <v>0</v>
      </c>
      <c r="N84" s="30">
        <f>SUMIFS(Output!$L:$L,Output!$A:$A,Prediction!$A84,Output!$C:$C,Prediction!J$5)</f>
        <v>0</v>
      </c>
      <c r="O84" s="29">
        <f>IFERROR(VLOOKUP($D84,Schedules!$A:$I,MATCH(Prediction!O$6,Schedules!$A$1:$H$1,0),FALSE),0)</f>
        <v>0</v>
      </c>
      <c r="P84" s="24">
        <f>IF(O84=0,0,SUMIFS(Output!$L:$L,Output!$A:$A,Prediction!$A84,Output!$C:$C,Prediction!O$5))</f>
        <v>0</v>
      </c>
      <c r="Q84" s="24">
        <f t="shared" si="40"/>
        <v>0</v>
      </c>
      <c r="R84" s="24">
        <f t="shared" si="29"/>
        <v>0</v>
      </c>
      <c r="S84" s="30">
        <f>SUMIFS(Output!$L:$L,Output!$A:$A,Prediction!$A84,Output!$C:$C,Prediction!O$5)</f>
        <v>0</v>
      </c>
      <c r="T84" s="29">
        <f>IFERROR(VLOOKUP($D84,Schedules!$A:$I,MATCH(Prediction!T$6,Schedules!$A$1:$H$1,0),FALSE),0)</f>
        <v>0</v>
      </c>
      <c r="U84" s="24">
        <f>IF(T84=0,0,SUMIFS(Output!$L:$L,Output!$A:$A,Prediction!$A84,Output!$C:$C,Prediction!T$5))</f>
        <v>0</v>
      </c>
      <c r="V84" s="24">
        <f t="shared" si="30"/>
        <v>0</v>
      </c>
      <c r="W84" s="24">
        <f t="shared" si="31"/>
        <v>0</v>
      </c>
      <c r="X84" s="30">
        <f>SUMIFS(Output!$L:$L,Output!$A:$A,Prediction!$A84,Output!$C:$C,Prediction!T$5)</f>
        <v>0</v>
      </c>
      <c r="Y84" s="25">
        <f>IFERROR(VLOOKUP($D84,Schedules!$A:$I,MATCH(Prediction!Y$6,Schedules!$A$1:$H$1,0),FALSE),0)</f>
        <v>0</v>
      </c>
      <c r="Z84" s="24">
        <f>IF(Y84=0,0,SUMIFS(Output!$L:$L,Output!$A:$A,Prediction!$A84,Output!$C:$C,Prediction!Y$5))</f>
        <v>0</v>
      </c>
      <c r="AA84" s="24">
        <f t="shared" si="41"/>
        <v>0</v>
      </c>
      <c r="AB84" s="24">
        <f t="shared" si="32"/>
        <v>0</v>
      </c>
      <c r="AC84" s="30">
        <f>SUMIFS(Output!$L:$L,Output!$A:$A,Prediction!$A84,Output!$C:$C,Prediction!Y$5)</f>
        <v>0</v>
      </c>
      <c r="AD84" s="29">
        <f>IFERROR(VLOOKUP($D84,Schedules!$A:$I,MATCH(Prediction!AD$6,Schedules!$A$1:$H$1,0),FALSE),0)</f>
        <v>0</v>
      </c>
      <c r="AE84" s="24">
        <f>IF(AD84=0,0,SUMIFS(Output!$L:$L,Output!$A:$A,Prediction!$A84,Output!$C:$C,Prediction!AD$5))</f>
        <v>0</v>
      </c>
      <c r="AF84" s="24">
        <f t="shared" si="42"/>
        <v>0</v>
      </c>
      <c r="AG84" s="24">
        <f t="shared" si="33"/>
        <v>0</v>
      </c>
      <c r="AH84" s="30">
        <f>SUMIFS(Output!$L:$L,Output!$A:$A,Prediction!$A84,Output!$C:$C,Prediction!AD$5)</f>
        <v>0</v>
      </c>
      <c r="AI84" s="29">
        <f>IFERROR(VLOOKUP($D84,Schedules!$A:$I,MATCH(Prediction!AI$6,Schedules!$A$1:$H$1,0),FALSE),0)</f>
        <v>0</v>
      </c>
      <c r="AJ84" s="24">
        <f>IF(AI84=0,0,SUMIFS(Output!$L:$L,Output!$A:$A,Prediction!$A84,Output!$C:$C,Prediction!AI$5))</f>
        <v>0</v>
      </c>
      <c r="AK84" s="24">
        <f t="shared" si="43"/>
        <v>0</v>
      </c>
      <c r="AL84" s="24">
        <f t="shared" si="34"/>
        <v>0</v>
      </c>
      <c r="AM84" s="30">
        <f>SUMIFS(Output!$L:$L,Output!$A:$A,Prediction!$A84,Output!$C:$C,Prediction!AI$5)</f>
        <v>0</v>
      </c>
      <c r="AN84">
        <f t="shared" si="35"/>
        <v>0</v>
      </c>
      <c r="AO84" s="3">
        <f t="shared" si="36"/>
        <v>0</v>
      </c>
      <c r="AP84" s="44"/>
      <c r="AQ84" s="3">
        <f t="shared" si="44"/>
        <v>0</v>
      </c>
      <c r="AR84" s="3">
        <f t="shared" si="37"/>
        <v>0</v>
      </c>
    </row>
    <row r="85" spans="1:44" x14ac:dyDescent="0.25">
      <c r="A85" s="9" t="str">
        <f t="array" ref="A85">IFERROR(INDEX(Output!A$1:A$2000,MATCH(0,COUNTIF(Prediction!$A$7:A84,Output!A$1:A$2000),0)),"")</f>
        <v/>
      </c>
      <c r="B85" t="str">
        <f>IFERROR(VLOOKUP($A85,Output!$A:$M,2,FALSE),"")</f>
        <v/>
      </c>
      <c r="C85" t="str">
        <f>IFERROR(VLOOKUP(B85,Departments!B:C,2,FALSE),"")</f>
        <v/>
      </c>
      <c r="D85" t="str">
        <f>IFERROR(VLOOKUP($A85,Output!$A:$M,13,FALSE),"")</f>
        <v/>
      </c>
      <c r="E85" s="29">
        <f>IFERROR(VLOOKUP($D85,Schedules!$A:$I,MATCH(Prediction!E$6,Schedules!$A$1:$H$1,0),FALSE),0)</f>
        <v>0</v>
      </c>
      <c r="F85" s="24">
        <f>IF(E85=0,0,SUMIFS(Output!$L:$L,Output!$A:$A,Prediction!$A85,Output!$C:$C,Prediction!E$5))</f>
        <v>0</v>
      </c>
      <c r="G85" s="24">
        <f t="shared" si="38"/>
        <v>0</v>
      </c>
      <c r="H85" s="45">
        <f t="shared" si="45"/>
        <v>0</v>
      </c>
      <c r="I85" s="30">
        <f>SUMIFS(Output!$L:$L,Output!$A:$A,Prediction!$A85,Output!$C:$C,Prediction!E$5)</f>
        <v>0</v>
      </c>
      <c r="J85" s="29">
        <f>IFERROR(VLOOKUP($D85,Schedules!$A:$I,MATCH(Prediction!J$6,Schedules!$A$1:$H$1,0),FALSE),0)</f>
        <v>0</v>
      </c>
      <c r="K85" s="24">
        <f>IF(J85=0,0,SUMIFS(Output!$L:$L,Output!$A:$A,Prediction!$A85,Output!$C:$C,Prediction!J$5))</f>
        <v>0</v>
      </c>
      <c r="L85" s="24">
        <f t="shared" si="39"/>
        <v>0</v>
      </c>
      <c r="M85" s="24">
        <f t="shared" si="28"/>
        <v>0</v>
      </c>
      <c r="N85" s="30">
        <f>SUMIFS(Output!$L:$L,Output!$A:$A,Prediction!$A85,Output!$C:$C,Prediction!J$5)</f>
        <v>0</v>
      </c>
      <c r="O85" s="29">
        <f>IFERROR(VLOOKUP($D85,Schedules!$A:$I,MATCH(Prediction!O$6,Schedules!$A$1:$H$1,0),FALSE),0)</f>
        <v>0</v>
      </c>
      <c r="P85" s="24">
        <f>IF(O85=0,0,SUMIFS(Output!$L:$L,Output!$A:$A,Prediction!$A85,Output!$C:$C,Prediction!O$5))</f>
        <v>0</v>
      </c>
      <c r="Q85" s="24">
        <f t="shared" si="40"/>
        <v>0</v>
      </c>
      <c r="R85" s="24">
        <f t="shared" si="29"/>
        <v>0</v>
      </c>
      <c r="S85" s="30">
        <f>SUMIFS(Output!$L:$L,Output!$A:$A,Prediction!$A85,Output!$C:$C,Prediction!O$5)</f>
        <v>0</v>
      </c>
      <c r="T85" s="29">
        <f>IFERROR(VLOOKUP($D85,Schedules!$A:$I,MATCH(Prediction!T$6,Schedules!$A$1:$H$1,0),FALSE),0)</f>
        <v>0</v>
      </c>
      <c r="U85" s="24">
        <f>IF(T85=0,0,SUMIFS(Output!$L:$L,Output!$A:$A,Prediction!$A85,Output!$C:$C,Prediction!T$5))</f>
        <v>0</v>
      </c>
      <c r="V85" s="24">
        <f t="shared" si="30"/>
        <v>0</v>
      </c>
      <c r="W85" s="24">
        <f t="shared" si="31"/>
        <v>0</v>
      </c>
      <c r="X85" s="30">
        <f>SUMIFS(Output!$L:$L,Output!$A:$A,Prediction!$A85,Output!$C:$C,Prediction!T$5)</f>
        <v>0</v>
      </c>
      <c r="Y85" s="25">
        <f>IFERROR(VLOOKUP($D85,Schedules!$A:$I,MATCH(Prediction!Y$6,Schedules!$A$1:$H$1,0),FALSE),0)</f>
        <v>0</v>
      </c>
      <c r="Z85" s="24">
        <f>IF(Y85=0,0,SUMIFS(Output!$L:$L,Output!$A:$A,Prediction!$A85,Output!$C:$C,Prediction!Y$5))</f>
        <v>0</v>
      </c>
      <c r="AA85" s="24">
        <f t="shared" si="41"/>
        <v>0</v>
      </c>
      <c r="AB85" s="24">
        <f t="shared" si="32"/>
        <v>0</v>
      </c>
      <c r="AC85" s="30">
        <f>SUMIFS(Output!$L:$L,Output!$A:$A,Prediction!$A85,Output!$C:$C,Prediction!Y$5)</f>
        <v>0</v>
      </c>
      <c r="AD85" s="29">
        <f>IFERROR(VLOOKUP($D85,Schedules!$A:$I,MATCH(Prediction!AD$6,Schedules!$A$1:$H$1,0),FALSE),0)</f>
        <v>0</v>
      </c>
      <c r="AE85" s="24">
        <f>IF(AD85=0,0,SUMIFS(Output!$L:$L,Output!$A:$A,Prediction!$A85,Output!$C:$C,Prediction!AD$5))</f>
        <v>0</v>
      </c>
      <c r="AF85" s="24">
        <f t="shared" si="42"/>
        <v>0</v>
      </c>
      <c r="AG85" s="24">
        <f t="shared" si="33"/>
        <v>0</v>
      </c>
      <c r="AH85" s="30">
        <f>SUMIFS(Output!$L:$L,Output!$A:$A,Prediction!$A85,Output!$C:$C,Prediction!AD$5)</f>
        <v>0</v>
      </c>
      <c r="AI85" s="29">
        <f>IFERROR(VLOOKUP($D85,Schedules!$A:$I,MATCH(Prediction!AI$6,Schedules!$A$1:$H$1,0),FALSE),0)</f>
        <v>0</v>
      </c>
      <c r="AJ85" s="24">
        <f>IF(AI85=0,0,SUMIFS(Output!$L:$L,Output!$A:$A,Prediction!$A85,Output!$C:$C,Prediction!AI$5))</f>
        <v>0</v>
      </c>
      <c r="AK85" s="24">
        <f t="shared" si="43"/>
        <v>0</v>
      </c>
      <c r="AL85" s="24">
        <f t="shared" si="34"/>
        <v>0</v>
      </c>
      <c r="AM85" s="30">
        <f>SUMIFS(Output!$L:$L,Output!$A:$A,Prediction!$A85,Output!$C:$C,Prediction!AI$5)</f>
        <v>0</v>
      </c>
      <c r="AN85">
        <f t="shared" si="35"/>
        <v>0</v>
      </c>
      <c r="AO85" s="3">
        <f t="shared" si="36"/>
        <v>0</v>
      </c>
      <c r="AP85" s="44"/>
      <c r="AQ85" s="3">
        <f t="shared" si="44"/>
        <v>0</v>
      </c>
      <c r="AR85" s="3">
        <f t="shared" si="37"/>
        <v>0</v>
      </c>
    </row>
    <row r="86" spans="1:44" x14ac:dyDescent="0.25">
      <c r="A86" s="9" t="str">
        <f t="array" ref="A86">IFERROR(INDEX(Output!A$1:A$2000,MATCH(0,COUNTIF(Prediction!$A$7:A85,Output!A$1:A$2000),0)),"")</f>
        <v/>
      </c>
      <c r="B86" t="str">
        <f>IFERROR(VLOOKUP($A86,Output!$A:$M,2,FALSE),"")</f>
        <v/>
      </c>
      <c r="C86" t="str">
        <f>IFERROR(VLOOKUP(B86,Departments!B:C,2,FALSE),"")</f>
        <v/>
      </c>
      <c r="D86" t="str">
        <f>IFERROR(VLOOKUP($A86,Output!$A:$M,13,FALSE),"")</f>
        <v/>
      </c>
      <c r="E86" s="29">
        <f>IFERROR(VLOOKUP($D86,Schedules!$A:$I,MATCH(Prediction!E$6,Schedules!$A$1:$H$1,0),FALSE),0)</f>
        <v>0</v>
      </c>
      <c r="F86" s="24">
        <f>IF(E86=0,0,SUMIFS(Output!$L:$L,Output!$A:$A,Prediction!$A86,Output!$C:$C,Prediction!E$5))</f>
        <v>0</v>
      </c>
      <c r="G86" s="24">
        <f t="shared" si="38"/>
        <v>0</v>
      </c>
      <c r="H86" s="45">
        <f t="shared" si="45"/>
        <v>0</v>
      </c>
      <c r="I86" s="30">
        <f>SUMIFS(Output!$L:$L,Output!$A:$A,Prediction!$A86,Output!$C:$C,Prediction!E$5)</f>
        <v>0</v>
      </c>
      <c r="J86" s="29">
        <f>IFERROR(VLOOKUP($D86,Schedules!$A:$I,MATCH(Prediction!J$6,Schedules!$A$1:$H$1,0),FALSE),0)</f>
        <v>0</v>
      </c>
      <c r="K86" s="24">
        <f>IF(J86=0,0,SUMIFS(Output!$L:$L,Output!$A:$A,Prediction!$A86,Output!$C:$C,Prediction!J$5))</f>
        <v>0</v>
      </c>
      <c r="L86" s="24">
        <f t="shared" si="39"/>
        <v>0</v>
      </c>
      <c r="M86" s="24">
        <f t="shared" si="28"/>
        <v>0</v>
      </c>
      <c r="N86" s="30">
        <f>SUMIFS(Output!$L:$L,Output!$A:$A,Prediction!$A86,Output!$C:$C,Prediction!J$5)</f>
        <v>0</v>
      </c>
      <c r="O86" s="29">
        <f>IFERROR(VLOOKUP($D86,Schedules!$A:$I,MATCH(Prediction!O$6,Schedules!$A$1:$H$1,0),FALSE),0)</f>
        <v>0</v>
      </c>
      <c r="P86" s="24">
        <f>IF(O86=0,0,SUMIFS(Output!$L:$L,Output!$A:$A,Prediction!$A86,Output!$C:$C,Prediction!O$5))</f>
        <v>0</v>
      </c>
      <c r="Q86" s="24">
        <f t="shared" si="40"/>
        <v>0</v>
      </c>
      <c r="R86" s="24">
        <f t="shared" si="29"/>
        <v>0</v>
      </c>
      <c r="S86" s="30">
        <f>SUMIFS(Output!$L:$L,Output!$A:$A,Prediction!$A86,Output!$C:$C,Prediction!O$5)</f>
        <v>0</v>
      </c>
      <c r="T86" s="29">
        <f>IFERROR(VLOOKUP($D86,Schedules!$A:$I,MATCH(Prediction!T$6,Schedules!$A$1:$H$1,0),FALSE),0)</f>
        <v>0</v>
      </c>
      <c r="U86" s="24">
        <f>IF(T86=0,0,SUMIFS(Output!$L:$L,Output!$A:$A,Prediction!$A86,Output!$C:$C,Prediction!T$5))</f>
        <v>0</v>
      </c>
      <c r="V86" s="24">
        <f t="shared" si="30"/>
        <v>0</v>
      </c>
      <c r="W86" s="24">
        <f t="shared" si="31"/>
        <v>0</v>
      </c>
      <c r="X86" s="30">
        <f>SUMIFS(Output!$L:$L,Output!$A:$A,Prediction!$A86,Output!$C:$C,Prediction!T$5)</f>
        <v>0</v>
      </c>
      <c r="Y86" s="25">
        <f>IFERROR(VLOOKUP($D86,Schedules!$A:$I,MATCH(Prediction!Y$6,Schedules!$A$1:$H$1,0),FALSE),0)</f>
        <v>0</v>
      </c>
      <c r="Z86" s="24">
        <f>IF(Y86=0,0,SUMIFS(Output!$L:$L,Output!$A:$A,Prediction!$A86,Output!$C:$C,Prediction!Y$5))</f>
        <v>0</v>
      </c>
      <c r="AA86" s="24">
        <f t="shared" si="41"/>
        <v>0</v>
      </c>
      <c r="AB86" s="24">
        <f t="shared" si="32"/>
        <v>0</v>
      </c>
      <c r="AC86" s="30">
        <f>SUMIFS(Output!$L:$L,Output!$A:$A,Prediction!$A86,Output!$C:$C,Prediction!Y$5)</f>
        <v>0</v>
      </c>
      <c r="AD86" s="29">
        <f>IFERROR(VLOOKUP($D86,Schedules!$A:$I,MATCH(Prediction!AD$6,Schedules!$A$1:$H$1,0),FALSE),0)</f>
        <v>0</v>
      </c>
      <c r="AE86" s="24">
        <f>IF(AD86=0,0,SUMIFS(Output!$L:$L,Output!$A:$A,Prediction!$A86,Output!$C:$C,Prediction!AD$5))</f>
        <v>0</v>
      </c>
      <c r="AF86" s="24">
        <f t="shared" si="42"/>
        <v>0</v>
      </c>
      <c r="AG86" s="24">
        <f t="shared" si="33"/>
        <v>0</v>
      </c>
      <c r="AH86" s="30">
        <f>SUMIFS(Output!$L:$L,Output!$A:$A,Prediction!$A86,Output!$C:$C,Prediction!AD$5)</f>
        <v>0</v>
      </c>
      <c r="AI86" s="29">
        <f>IFERROR(VLOOKUP($D86,Schedules!$A:$I,MATCH(Prediction!AI$6,Schedules!$A$1:$H$1,0),FALSE),0)</f>
        <v>0</v>
      </c>
      <c r="AJ86" s="24">
        <f>IF(AI86=0,0,SUMIFS(Output!$L:$L,Output!$A:$A,Prediction!$A86,Output!$C:$C,Prediction!AI$5))</f>
        <v>0</v>
      </c>
      <c r="AK86" s="24">
        <f t="shared" si="43"/>
        <v>0</v>
      </c>
      <c r="AL86" s="24">
        <f t="shared" si="34"/>
        <v>0</v>
      </c>
      <c r="AM86" s="30">
        <f>SUMIFS(Output!$L:$L,Output!$A:$A,Prediction!$A86,Output!$C:$C,Prediction!AI$5)</f>
        <v>0</v>
      </c>
      <c r="AN86">
        <f t="shared" si="35"/>
        <v>0</v>
      </c>
      <c r="AO86" s="3">
        <f t="shared" si="36"/>
        <v>0</v>
      </c>
      <c r="AP86" s="44"/>
      <c r="AQ86" s="3">
        <f t="shared" si="44"/>
        <v>0</v>
      </c>
      <c r="AR86" s="3">
        <f t="shared" si="37"/>
        <v>0</v>
      </c>
    </row>
    <row r="87" spans="1:44" x14ac:dyDescent="0.25">
      <c r="A87" s="9" t="str">
        <f t="array" ref="A87">IFERROR(INDEX(Output!A$1:A$2000,MATCH(0,COUNTIF(Prediction!$A$7:A86,Output!A$1:A$2000),0)),"")</f>
        <v/>
      </c>
      <c r="B87" t="str">
        <f>IFERROR(VLOOKUP($A87,Output!$A:$M,2,FALSE),"")</f>
        <v/>
      </c>
      <c r="C87" t="str">
        <f>IFERROR(VLOOKUP(B87,Departments!B:C,2,FALSE),"")</f>
        <v/>
      </c>
      <c r="D87" t="str">
        <f>IFERROR(VLOOKUP($A87,Output!$A:$M,13,FALSE),"")</f>
        <v/>
      </c>
      <c r="E87" s="29">
        <f>IFERROR(VLOOKUP($D87,Schedules!$A:$I,MATCH(Prediction!E$6,Schedules!$A$1:$H$1,0),FALSE),0)</f>
        <v>0</v>
      </c>
      <c r="F87" s="24">
        <f>IF(E87=0,0,SUMIFS(Output!$L:$L,Output!$A:$A,Prediction!$A87,Output!$C:$C,Prediction!E$5))</f>
        <v>0</v>
      </c>
      <c r="G87" s="24">
        <f t="shared" si="38"/>
        <v>0</v>
      </c>
      <c r="H87" s="45">
        <f t="shared" si="45"/>
        <v>0</v>
      </c>
      <c r="I87" s="30">
        <f>SUMIFS(Output!$L:$L,Output!$A:$A,Prediction!$A87,Output!$C:$C,Prediction!E$5)</f>
        <v>0</v>
      </c>
      <c r="J87" s="29">
        <f>IFERROR(VLOOKUP($D87,Schedules!$A:$I,MATCH(Prediction!J$6,Schedules!$A$1:$H$1,0),FALSE),0)</f>
        <v>0</v>
      </c>
      <c r="K87" s="24">
        <f>IF(J87=0,0,SUMIFS(Output!$L:$L,Output!$A:$A,Prediction!$A87,Output!$C:$C,Prediction!J$5))</f>
        <v>0</v>
      </c>
      <c r="L87" s="24">
        <f t="shared" si="39"/>
        <v>0</v>
      </c>
      <c r="M87" s="24">
        <f t="shared" si="28"/>
        <v>0</v>
      </c>
      <c r="N87" s="30">
        <f>SUMIFS(Output!$L:$L,Output!$A:$A,Prediction!$A87,Output!$C:$C,Prediction!J$5)</f>
        <v>0</v>
      </c>
      <c r="O87" s="29">
        <f>IFERROR(VLOOKUP($D87,Schedules!$A:$I,MATCH(Prediction!O$6,Schedules!$A$1:$H$1,0),FALSE),0)</f>
        <v>0</v>
      </c>
      <c r="P87" s="24">
        <f>IF(O87=0,0,SUMIFS(Output!$L:$L,Output!$A:$A,Prediction!$A87,Output!$C:$C,Prediction!O$5))</f>
        <v>0</v>
      </c>
      <c r="Q87" s="24">
        <f t="shared" si="40"/>
        <v>0</v>
      </c>
      <c r="R87" s="24">
        <f t="shared" si="29"/>
        <v>0</v>
      </c>
      <c r="S87" s="30">
        <f>SUMIFS(Output!$L:$L,Output!$A:$A,Prediction!$A87,Output!$C:$C,Prediction!O$5)</f>
        <v>0</v>
      </c>
      <c r="T87" s="29">
        <f>IFERROR(VLOOKUP($D87,Schedules!$A:$I,MATCH(Prediction!T$6,Schedules!$A$1:$H$1,0),FALSE),0)</f>
        <v>0</v>
      </c>
      <c r="U87" s="24">
        <f>IF(T87=0,0,SUMIFS(Output!$L:$L,Output!$A:$A,Prediction!$A87,Output!$C:$C,Prediction!T$5))</f>
        <v>0</v>
      </c>
      <c r="V87" s="24">
        <f t="shared" si="30"/>
        <v>0</v>
      </c>
      <c r="W87" s="24">
        <f t="shared" si="31"/>
        <v>0</v>
      </c>
      <c r="X87" s="30">
        <f>SUMIFS(Output!$L:$L,Output!$A:$A,Prediction!$A87,Output!$C:$C,Prediction!T$5)</f>
        <v>0</v>
      </c>
      <c r="Y87" s="25">
        <f>IFERROR(VLOOKUP($D87,Schedules!$A:$I,MATCH(Prediction!Y$6,Schedules!$A$1:$H$1,0),FALSE),0)</f>
        <v>0</v>
      </c>
      <c r="Z87" s="24">
        <f>IF(Y87=0,0,SUMIFS(Output!$L:$L,Output!$A:$A,Prediction!$A87,Output!$C:$C,Prediction!Y$5))</f>
        <v>0</v>
      </c>
      <c r="AA87" s="24">
        <f t="shared" si="41"/>
        <v>0</v>
      </c>
      <c r="AB87" s="24">
        <f t="shared" si="32"/>
        <v>0</v>
      </c>
      <c r="AC87" s="30">
        <f>SUMIFS(Output!$L:$L,Output!$A:$A,Prediction!$A87,Output!$C:$C,Prediction!Y$5)</f>
        <v>0</v>
      </c>
      <c r="AD87" s="29">
        <f>IFERROR(VLOOKUP($D87,Schedules!$A:$I,MATCH(Prediction!AD$6,Schedules!$A$1:$H$1,0),FALSE),0)</f>
        <v>0</v>
      </c>
      <c r="AE87" s="24">
        <f>IF(AD87=0,0,SUMIFS(Output!$L:$L,Output!$A:$A,Prediction!$A87,Output!$C:$C,Prediction!AD$5))</f>
        <v>0</v>
      </c>
      <c r="AF87" s="24">
        <f t="shared" si="42"/>
        <v>0</v>
      </c>
      <c r="AG87" s="24">
        <f t="shared" si="33"/>
        <v>0</v>
      </c>
      <c r="AH87" s="30">
        <f>SUMIFS(Output!$L:$L,Output!$A:$A,Prediction!$A87,Output!$C:$C,Prediction!AD$5)</f>
        <v>0</v>
      </c>
      <c r="AI87" s="29">
        <f>IFERROR(VLOOKUP($D87,Schedules!$A:$I,MATCH(Prediction!AI$6,Schedules!$A$1:$H$1,0),FALSE),0)</f>
        <v>0</v>
      </c>
      <c r="AJ87" s="24">
        <f>IF(AI87=0,0,SUMIFS(Output!$L:$L,Output!$A:$A,Prediction!$A87,Output!$C:$C,Prediction!AI$5))</f>
        <v>0</v>
      </c>
      <c r="AK87" s="24">
        <f t="shared" si="43"/>
        <v>0</v>
      </c>
      <c r="AL87" s="24">
        <f t="shared" si="34"/>
        <v>0</v>
      </c>
      <c r="AM87" s="30">
        <f>SUMIFS(Output!$L:$L,Output!$A:$A,Prediction!$A87,Output!$C:$C,Prediction!AI$5)</f>
        <v>0</v>
      </c>
      <c r="AN87">
        <f t="shared" si="35"/>
        <v>0</v>
      </c>
      <c r="AO87" s="3">
        <f t="shared" si="36"/>
        <v>0</v>
      </c>
      <c r="AP87" s="44"/>
      <c r="AQ87" s="3">
        <f t="shared" si="44"/>
        <v>0</v>
      </c>
      <c r="AR87" s="3">
        <f t="shared" si="37"/>
        <v>0</v>
      </c>
    </row>
    <row r="88" spans="1:44" x14ac:dyDescent="0.25">
      <c r="A88" s="9" t="str">
        <f t="array" ref="A88">IFERROR(INDEX(Output!A$1:A$2000,MATCH(0,COUNTIF(Prediction!$A$7:A87,Output!A$1:A$2000),0)),"")</f>
        <v/>
      </c>
      <c r="B88" t="str">
        <f>IFERROR(VLOOKUP($A88,Output!$A:$M,2,FALSE),"")</f>
        <v/>
      </c>
      <c r="C88" t="str">
        <f>IFERROR(VLOOKUP(B88,Departments!B:C,2,FALSE),"")</f>
        <v/>
      </c>
      <c r="D88" t="str">
        <f>IFERROR(VLOOKUP($A88,Output!$A:$M,13,FALSE),"")</f>
        <v/>
      </c>
      <c r="E88" s="29">
        <f>IFERROR(VLOOKUP($D88,Schedules!$A:$I,MATCH(Prediction!E$6,Schedules!$A$1:$H$1,0),FALSE),0)</f>
        <v>0</v>
      </c>
      <c r="F88" s="24">
        <f>IF(E88=0,0,SUMIFS(Output!$L:$L,Output!$A:$A,Prediction!$A88,Output!$C:$C,Prediction!E$5))</f>
        <v>0</v>
      </c>
      <c r="G88" s="24">
        <f t="shared" si="38"/>
        <v>0</v>
      </c>
      <c r="H88" s="45">
        <f t="shared" si="45"/>
        <v>0</v>
      </c>
      <c r="I88" s="30">
        <f>SUMIFS(Output!$L:$L,Output!$A:$A,Prediction!$A88,Output!$C:$C,Prediction!E$5)</f>
        <v>0</v>
      </c>
      <c r="J88" s="29">
        <f>IFERROR(VLOOKUP($D88,Schedules!$A:$I,MATCH(Prediction!J$6,Schedules!$A$1:$H$1,0),FALSE),0)</f>
        <v>0</v>
      </c>
      <c r="K88" s="24">
        <f>IF(J88=0,0,SUMIFS(Output!$L:$L,Output!$A:$A,Prediction!$A88,Output!$C:$C,Prediction!J$5))</f>
        <v>0</v>
      </c>
      <c r="L88" s="24">
        <f t="shared" si="39"/>
        <v>0</v>
      </c>
      <c r="M88" s="24">
        <f t="shared" si="28"/>
        <v>0</v>
      </c>
      <c r="N88" s="30">
        <f>SUMIFS(Output!$L:$L,Output!$A:$A,Prediction!$A88,Output!$C:$C,Prediction!J$5)</f>
        <v>0</v>
      </c>
      <c r="O88" s="29">
        <f>IFERROR(VLOOKUP($D88,Schedules!$A:$I,MATCH(Prediction!O$6,Schedules!$A$1:$H$1,0),FALSE),0)</f>
        <v>0</v>
      </c>
      <c r="P88" s="24">
        <f>IF(O88=0,0,SUMIFS(Output!$L:$L,Output!$A:$A,Prediction!$A88,Output!$C:$C,Prediction!O$5))</f>
        <v>0</v>
      </c>
      <c r="Q88" s="24">
        <f t="shared" si="40"/>
        <v>0</v>
      </c>
      <c r="R88" s="24">
        <f t="shared" si="29"/>
        <v>0</v>
      </c>
      <c r="S88" s="30">
        <f>SUMIFS(Output!$L:$L,Output!$A:$A,Prediction!$A88,Output!$C:$C,Prediction!O$5)</f>
        <v>0</v>
      </c>
      <c r="T88" s="29">
        <f>IFERROR(VLOOKUP($D88,Schedules!$A:$I,MATCH(Prediction!T$6,Schedules!$A$1:$H$1,0),FALSE),0)</f>
        <v>0</v>
      </c>
      <c r="U88" s="24">
        <f>IF(T88=0,0,SUMIFS(Output!$L:$L,Output!$A:$A,Prediction!$A88,Output!$C:$C,Prediction!T$5))</f>
        <v>0</v>
      </c>
      <c r="V88" s="24">
        <f t="shared" si="30"/>
        <v>0</v>
      </c>
      <c r="W88" s="24">
        <f t="shared" si="31"/>
        <v>0</v>
      </c>
      <c r="X88" s="30">
        <f>SUMIFS(Output!$L:$L,Output!$A:$A,Prediction!$A88,Output!$C:$C,Prediction!T$5)</f>
        <v>0</v>
      </c>
      <c r="Y88" s="25">
        <f>IFERROR(VLOOKUP($D88,Schedules!$A:$I,MATCH(Prediction!Y$6,Schedules!$A$1:$H$1,0),FALSE),0)</f>
        <v>0</v>
      </c>
      <c r="Z88" s="24">
        <f>IF(Y88=0,0,SUMIFS(Output!$L:$L,Output!$A:$A,Prediction!$A88,Output!$C:$C,Prediction!Y$5))</f>
        <v>0</v>
      </c>
      <c r="AA88" s="24">
        <f t="shared" si="41"/>
        <v>0</v>
      </c>
      <c r="AB88" s="24">
        <f t="shared" si="32"/>
        <v>0</v>
      </c>
      <c r="AC88" s="30">
        <f>SUMIFS(Output!$L:$L,Output!$A:$A,Prediction!$A88,Output!$C:$C,Prediction!Y$5)</f>
        <v>0</v>
      </c>
      <c r="AD88" s="29">
        <f>IFERROR(VLOOKUP($D88,Schedules!$A:$I,MATCH(Prediction!AD$6,Schedules!$A$1:$H$1,0),FALSE),0)</f>
        <v>0</v>
      </c>
      <c r="AE88" s="24">
        <f>IF(AD88=0,0,SUMIFS(Output!$L:$L,Output!$A:$A,Prediction!$A88,Output!$C:$C,Prediction!AD$5))</f>
        <v>0</v>
      </c>
      <c r="AF88" s="24">
        <f t="shared" si="42"/>
        <v>0</v>
      </c>
      <c r="AG88" s="24">
        <f t="shared" si="33"/>
        <v>0</v>
      </c>
      <c r="AH88" s="30">
        <f>SUMIFS(Output!$L:$L,Output!$A:$A,Prediction!$A88,Output!$C:$C,Prediction!AD$5)</f>
        <v>0</v>
      </c>
      <c r="AI88" s="29">
        <f>IFERROR(VLOOKUP($D88,Schedules!$A:$I,MATCH(Prediction!AI$6,Schedules!$A$1:$H$1,0),FALSE),0)</f>
        <v>0</v>
      </c>
      <c r="AJ88" s="24">
        <f>IF(AI88=0,0,SUMIFS(Output!$L:$L,Output!$A:$A,Prediction!$A88,Output!$C:$C,Prediction!AI$5))</f>
        <v>0</v>
      </c>
      <c r="AK88" s="24">
        <f t="shared" si="43"/>
        <v>0</v>
      </c>
      <c r="AL88" s="24">
        <f t="shared" si="34"/>
        <v>0</v>
      </c>
      <c r="AM88" s="30">
        <f>SUMIFS(Output!$L:$L,Output!$A:$A,Prediction!$A88,Output!$C:$C,Prediction!AI$5)</f>
        <v>0</v>
      </c>
      <c r="AN88">
        <f t="shared" si="35"/>
        <v>0</v>
      </c>
      <c r="AO88" s="3">
        <f t="shared" si="36"/>
        <v>0</v>
      </c>
      <c r="AP88" s="44"/>
      <c r="AQ88" s="3">
        <f t="shared" si="44"/>
        <v>0</v>
      </c>
      <c r="AR88" s="3">
        <f t="shared" si="37"/>
        <v>0</v>
      </c>
    </row>
    <row r="89" spans="1:44" x14ac:dyDescent="0.25">
      <c r="A89" s="9" t="str">
        <f t="array" ref="A89">IFERROR(INDEX(Output!A$1:A$2000,MATCH(0,COUNTIF(Prediction!$A$7:A88,Output!A$1:A$2000),0)),"")</f>
        <v/>
      </c>
      <c r="B89" t="str">
        <f>IFERROR(VLOOKUP($A89,Output!$A:$M,2,FALSE),"")</f>
        <v/>
      </c>
      <c r="C89" t="str">
        <f>IFERROR(VLOOKUP(B89,Departments!B:C,2,FALSE),"")</f>
        <v/>
      </c>
      <c r="D89" t="str">
        <f>IFERROR(VLOOKUP($A89,Output!$A:$M,13,FALSE),"")</f>
        <v/>
      </c>
      <c r="E89" s="29">
        <f>IFERROR(VLOOKUP($D89,Schedules!$A:$I,MATCH(Prediction!E$6,Schedules!$A$1:$H$1,0),FALSE),0)</f>
        <v>0</v>
      </c>
      <c r="F89" s="24">
        <f>IF(E89=0,0,SUMIFS(Output!$L:$L,Output!$A:$A,Prediction!$A89,Output!$C:$C,Prediction!E$5))</f>
        <v>0</v>
      </c>
      <c r="G89" s="24">
        <f t="shared" si="38"/>
        <v>0</v>
      </c>
      <c r="H89" s="45">
        <f t="shared" si="45"/>
        <v>0</v>
      </c>
      <c r="I89" s="30">
        <f>SUMIFS(Output!$L:$L,Output!$A:$A,Prediction!$A89,Output!$C:$C,Prediction!E$5)</f>
        <v>0</v>
      </c>
      <c r="J89" s="29">
        <f>IFERROR(VLOOKUP($D89,Schedules!$A:$I,MATCH(Prediction!J$6,Schedules!$A$1:$H$1,0),FALSE),0)</f>
        <v>0</v>
      </c>
      <c r="K89" s="24">
        <f>IF(J89=0,0,SUMIFS(Output!$L:$L,Output!$A:$A,Prediction!$A89,Output!$C:$C,Prediction!J$5))</f>
        <v>0</v>
      </c>
      <c r="L89" s="24">
        <f t="shared" si="39"/>
        <v>0</v>
      </c>
      <c r="M89" s="24">
        <f t="shared" si="28"/>
        <v>0</v>
      </c>
      <c r="N89" s="30">
        <f>SUMIFS(Output!$L:$L,Output!$A:$A,Prediction!$A89,Output!$C:$C,Prediction!J$5)</f>
        <v>0</v>
      </c>
      <c r="O89" s="29">
        <f>IFERROR(VLOOKUP($D89,Schedules!$A:$I,MATCH(Prediction!O$6,Schedules!$A$1:$H$1,0),FALSE),0)</f>
        <v>0</v>
      </c>
      <c r="P89" s="24">
        <f>IF(O89=0,0,SUMIFS(Output!$L:$L,Output!$A:$A,Prediction!$A89,Output!$C:$C,Prediction!O$5))</f>
        <v>0</v>
      </c>
      <c r="Q89" s="24">
        <f t="shared" si="40"/>
        <v>0</v>
      </c>
      <c r="R89" s="24">
        <f t="shared" si="29"/>
        <v>0</v>
      </c>
      <c r="S89" s="30">
        <f>SUMIFS(Output!$L:$L,Output!$A:$A,Prediction!$A89,Output!$C:$C,Prediction!O$5)</f>
        <v>0</v>
      </c>
      <c r="T89" s="29">
        <f>IFERROR(VLOOKUP($D89,Schedules!$A:$I,MATCH(Prediction!T$6,Schedules!$A$1:$H$1,0),FALSE),0)</f>
        <v>0</v>
      </c>
      <c r="U89" s="24">
        <f>IF(T89=0,0,SUMIFS(Output!$L:$L,Output!$A:$A,Prediction!$A89,Output!$C:$C,Prediction!T$5))</f>
        <v>0</v>
      </c>
      <c r="V89" s="24">
        <f t="shared" si="30"/>
        <v>0</v>
      </c>
      <c r="W89" s="24">
        <f t="shared" si="31"/>
        <v>0</v>
      </c>
      <c r="X89" s="30">
        <f>SUMIFS(Output!$L:$L,Output!$A:$A,Prediction!$A89,Output!$C:$C,Prediction!T$5)</f>
        <v>0</v>
      </c>
      <c r="Y89" s="25">
        <f>IFERROR(VLOOKUP($D89,Schedules!$A:$I,MATCH(Prediction!Y$6,Schedules!$A$1:$H$1,0),FALSE),0)</f>
        <v>0</v>
      </c>
      <c r="Z89" s="24">
        <f>IF(Y89=0,0,SUMIFS(Output!$L:$L,Output!$A:$A,Prediction!$A89,Output!$C:$C,Prediction!Y$5))</f>
        <v>0</v>
      </c>
      <c r="AA89" s="24">
        <f t="shared" si="41"/>
        <v>0</v>
      </c>
      <c r="AB89" s="24">
        <f t="shared" si="32"/>
        <v>0</v>
      </c>
      <c r="AC89" s="30">
        <f>SUMIFS(Output!$L:$L,Output!$A:$A,Prediction!$A89,Output!$C:$C,Prediction!Y$5)</f>
        <v>0</v>
      </c>
      <c r="AD89" s="29">
        <f>IFERROR(VLOOKUP($D89,Schedules!$A:$I,MATCH(Prediction!AD$6,Schedules!$A$1:$H$1,0),FALSE),0)</f>
        <v>0</v>
      </c>
      <c r="AE89" s="24">
        <f>IF(AD89=0,0,SUMIFS(Output!$L:$L,Output!$A:$A,Prediction!$A89,Output!$C:$C,Prediction!AD$5))</f>
        <v>0</v>
      </c>
      <c r="AF89" s="24">
        <f t="shared" si="42"/>
        <v>0</v>
      </c>
      <c r="AG89" s="24">
        <f t="shared" si="33"/>
        <v>0</v>
      </c>
      <c r="AH89" s="30">
        <f>SUMIFS(Output!$L:$L,Output!$A:$A,Prediction!$A89,Output!$C:$C,Prediction!AD$5)</f>
        <v>0</v>
      </c>
      <c r="AI89" s="29">
        <f>IFERROR(VLOOKUP($D89,Schedules!$A:$I,MATCH(Prediction!AI$6,Schedules!$A$1:$H$1,0),FALSE),0)</f>
        <v>0</v>
      </c>
      <c r="AJ89" s="24">
        <f>IF(AI89=0,0,SUMIFS(Output!$L:$L,Output!$A:$A,Prediction!$A89,Output!$C:$C,Prediction!AI$5))</f>
        <v>0</v>
      </c>
      <c r="AK89" s="24">
        <f t="shared" si="43"/>
        <v>0</v>
      </c>
      <c r="AL89" s="24">
        <f t="shared" si="34"/>
        <v>0</v>
      </c>
      <c r="AM89" s="30">
        <f>SUMIFS(Output!$L:$L,Output!$A:$A,Prediction!$A89,Output!$C:$C,Prediction!AI$5)</f>
        <v>0</v>
      </c>
      <c r="AN89">
        <f t="shared" si="35"/>
        <v>0</v>
      </c>
      <c r="AO89" s="3">
        <f t="shared" si="36"/>
        <v>0</v>
      </c>
      <c r="AP89" s="44"/>
      <c r="AQ89" s="3">
        <f t="shared" si="44"/>
        <v>0</v>
      </c>
      <c r="AR89" s="3">
        <f t="shared" si="37"/>
        <v>0</v>
      </c>
    </row>
    <row r="90" spans="1:44" x14ac:dyDescent="0.25">
      <c r="A90" s="9" t="str">
        <f t="array" ref="A90">IFERROR(INDEX(Output!A$1:A$2000,MATCH(0,COUNTIF(Prediction!$A$7:A89,Output!A$1:A$2000),0)),"")</f>
        <v/>
      </c>
      <c r="B90" t="str">
        <f>IFERROR(VLOOKUP($A90,Output!$A:$M,2,FALSE),"")</f>
        <v/>
      </c>
      <c r="C90" t="str">
        <f>IFERROR(VLOOKUP(B90,Departments!B:C,2,FALSE),"")</f>
        <v/>
      </c>
      <c r="D90" t="str">
        <f>IFERROR(VLOOKUP($A90,Output!$A:$M,13,FALSE),"")</f>
        <v/>
      </c>
      <c r="E90" s="29">
        <f>IFERROR(VLOOKUP($D90,Schedules!$A:$I,MATCH(Prediction!E$6,Schedules!$A$1:$H$1,0),FALSE),0)</f>
        <v>0</v>
      </c>
      <c r="F90" s="24">
        <f>IF(E90=0,0,SUMIFS(Output!$L:$L,Output!$A:$A,Prediction!$A90,Output!$C:$C,Prediction!E$5))</f>
        <v>0</v>
      </c>
      <c r="G90" s="24">
        <f t="shared" si="38"/>
        <v>0</v>
      </c>
      <c r="H90" s="45">
        <f t="shared" si="45"/>
        <v>0</v>
      </c>
      <c r="I90" s="30">
        <f>SUMIFS(Output!$L:$L,Output!$A:$A,Prediction!$A90,Output!$C:$C,Prediction!E$5)</f>
        <v>0</v>
      </c>
      <c r="J90" s="29">
        <f>IFERROR(VLOOKUP($D90,Schedules!$A:$I,MATCH(Prediction!J$6,Schedules!$A$1:$H$1,0),FALSE),0)</f>
        <v>0</v>
      </c>
      <c r="K90" s="24">
        <f>IF(J90=0,0,SUMIFS(Output!$L:$L,Output!$A:$A,Prediction!$A90,Output!$C:$C,Prediction!J$5))</f>
        <v>0</v>
      </c>
      <c r="L90" s="24">
        <f t="shared" si="39"/>
        <v>0</v>
      </c>
      <c r="M90" s="24">
        <f t="shared" si="28"/>
        <v>0</v>
      </c>
      <c r="N90" s="30">
        <f>SUMIFS(Output!$L:$L,Output!$A:$A,Prediction!$A90,Output!$C:$C,Prediction!J$5)</f>
        <v>0</v>
      </c>
      <c r="O90" s="29">
        <f>IFERROR(VLOOKUP($D90,Schedules!$A:$I,MATCH(Prediction!O$6,Schedules!$A$1:$H$1,0),FALSE),0)</f>
        <v>0</v>
      </c>
      <c r="P90" s="24">
        <f>IF(O90=0,0,SUMIFS(Output!$L:$L,Output!$A:$A,Prediction!$A90,Output!$C:$C,Prediction!O$5))</f>
        <v>0</v>
      </c>
      <c r="Q90" s="24">
        <f t="shared" si="40"/>
        <v>0</v>
      </c>
      <c r="R90" s="24">
        <f t="shared" si="29"/>
        <v>0</v>
      </c>
      <c r="S90" s="30">
        <f>SUMIFS(Output!$L:$L,Output!$A:$A,Prediction!$A90,Output!$C:$C,Prediction!O$5)</f>
        <v>0</v>
      </c>
      <c r="T90" s="29">
        <f>IFERROR(VLOOKUP($D90,Schedules!$A:$I,MATCH(Prediction!T$6,Schedules!$A$1:$H$1,0),FALSE),0)</f>
        <v>0</v>
      </c>
      <c r="U90" s="24">
        <f>IF(T90=0,0,SUMIFS(Output!$L:$L,Output!$A:$A,Prediction!$A90,Output!$C:$C,Prediction!T$5))</f>
        <v>0</v>
      </c>
      <c r="V90" s="24">
        <f t="shared" si="30"/>
        <v>0</v>
      </c>
      <c r="W90" s="24">
        <f t="shared" si="31"/>
        <v>0</v>
      </c>
      <c r="X90" s="30">
        <f>SUMIFS(Output!$L:$L,Output!$A:$A,Prediction!$A90,Output!$C:$C,Prediction!T$5)</f>
        <v>0</v>
      </c>
      <c r="Y90" s="25">
        <f>IFERROR(VLOOKUP($D90,Schedules!$A:$I,MATCH(Prediction!Y$6,Schedules!$A$1:$H$1,0),FALSE),0)</f>
        <v>0</v>
      </c>
      <c r="Z90" s="24">
        <f>IF(Y90=0,0,SUMIFS(Output!$L:$L,Output!$A:$A,Prediction!$A90,Output!$C:$C,Prediction!Y$5))</f>
        <v>0</v>
      </c>
      <c r="AA90" s="24">
        <f t="shared" si="41"/>
        <v>0</v>
      </c>
      <c r="AB90" s="24">
        <f t="shared" si="32"/>
        <v>0</v>
      </c>
      <c r="AC90" s="30">
        <f>SUMIFS(Output!$L:$L,Output!$A:$A,Prediction!$A90,Output!$C:$C,Prediction!Y$5)</f>
        <v>0</v>
      </c>
      <c r="AD90" s="29">
        <f>IFERROR(VLOOKUP($D90,Schedules!$A:$I,MATCH(Prediction!AD$6,Schedules!$A$1:$H$1,0),FALSE),0)</f>
        <v>0</v>
      </c>
      <c r="AE90" s="24">
        <f>IF(AD90=0,0,SUMIFS(Output!$L:$L,Output!$A:$A,Prediction!$A90,Output!$C:$C,Prediction!AD$5))</f>
        <v>0</v>
      </c>
      <c r="AF90" s="24">
        <f t="shared" si="42"/>
        <v>0</v>
      </c>
      <c r="AG90" s="24">
        <f t="shared" si="33"/>
        <v>0</v>
      </c>
      <c r="AH90" s="30">
        <f>SUMIFS(Output!$L:$L,Output!$A:$A,Prediction!$A90,Output!$C:$C,Prediction!AD$5)</f>
        <v>0</v>
      </c>
      <c r="AI90" s="29">
        <f>IFERROR(VLOOKUP($D90,Schedules!$A:$I,MATCH(Prediction!AI$6,Schedules!$A$1:$H$1,0),FALSE),0)</f>
        <v>0</v>
      </c>
      <c r="AJ90" s="24">
        <f>IF(AI90=0,0,SUMIFS(Output!$L:$L,Output!$A:$A,Prediction!$A90,Output!$C:$C,Prediction!AI$5))</f>
        <v>0</v>
      </c>
      <c r="AK90" s="24">
        <f t="shared" si="43"/>
        <v>0</v>
      </c>
      <c r="AL90" s="24">
        <f t="shared" si="34"/>
        <v>0</v>
      </c>
      <c r="AM90" s="30">
        <f>SUMIFS(Output!$L:$L,Output!$A:$A,Prediction!$A90,Output!$C:$C,Prediction!AI$5)</f>
        <v>0</v>
      </c>
      <c r="AN90">
        <f t="shared" si="35"/>
        <v>0</v>
      </c>
      <c r="AO90" s="3">
        <f t="shared" si="36"/>
        <v>0</v>
      </c>
      <c r="AP90" s="44"/>
      <c r="AQ90" s="3">
        <f t="shared" si="44"/>
        <v>0</v>
      </c>
      <c r="AR90" s="3">
        <f t="shared" si="37"/>
        <v>0</v>
      </c>
    </row>
    <row r="91" spans="1:44" x14ac:dyDescent="0.25">
      <c r="A91" s="9" t="str">
        <f t="array" ref="A91">IFERROR(INDEX(Output!A$1:A$2000,MATCH(0,COUNTIF(Prediction!$A$7:A90,Output!A$1:A$2000),0)),"")</f>
        <v/>
      </c>
      <c r="B91" t="str">
        <f>IFERROR(VLOOKUP($A91,Output!$A:$M,2,FALSE),"")</f>
        <v/>
      </c>
      <c r="C91" t="str">
        <f>IFERROR(VLOOKUP(B91,Departments!B:C,2,FALSE),"")</f>
        <v/>
      </c>
      <c r="D91" t="str">
        <f>IFERROR(VLOOKUP($A91,Output!$A:$M,13,FALSE),"")</f>
        <v/>
      </c>
      <c r="E91" s="29">
        <f>IFERROR(VLOOKUP($D91,Schedules!$A:$I,MATCH(Prediction!E$6,Schedules!$A$1:$H$1,0),FALSE),0)</f>
        <v>0</v>
      </c>
      <c r="F91" s="24">
        <f>IF(E91=0,0,SUMIFS(Output!$L:$L,Output!$A:$A,Prediction!$A91,Output!$C:$C,Prediction!E$5))</f>
        <v>0</v>
      </c>
      <c r="G91" s="24">
        <f t="shared" si="38"/>
        <v>0</v>
      </c>
      <c r="H91" s="45">
        <f t="shared" si="45"/>
        <v>0</v>
      </c>
      <c r="I91" s="30">
        <f>SUMIFS(Output!$L:$L,Output!$A:$A,Prediction!$A91,Output!$C:$C,Prediction!E$5)</f>
        <v>0</v>
      </c>
      <c r="J91" s="29">
        <f>IFERROR(VLOOKUP($D91,Schedules!$A:$I,MATCH(Prediction!J$6,Schedules!$A$1:$H$1,0),FALSE),0)</f>
        <v>0</v>
      </c>
      <c r="K91" s="24">
        <f>IF(J91=0,0,SUMIFS(Output!$L:$L,Output!$A:$A,Prediction!$A91,Output!$C:$C,Prediction!J$5))</f>
        <v>0</v>
      </c>
      <c r="L91" s="24">
        <f t="shared" si="39"/>
        <v>0</v>
      </c>
      <c r="M91" s="24">
        <f t="shared" si="28"/>
        <v>0</v>
      </c>
      <c r="N91" s="30">
        <f>SUMIFS(Output!$L:$L,Output!$A:$A,Prediction!$A91,Output!$C:$C,Prediction!J$5)</f>
        <v>0</v>
      </c>
      <c r="O91" s="29">
        <f>IFERROR(VLOOKUP($D91,Schedules!$A:$I,MATCH(Prediction!O$6,Schedules!$A$1:$H$1,0),FALSE),0)</f>
        <v>0</v>
      </c>
      <c r="P91" s="24">
        <f>IF(O91=0,0,SUMIFS(Output!$L:$L,Output!$A:$A,Prediction!$A91,Output!$C:$C,Prediction!O$5))</f>
        <v>0</v>
      </c>
      <c r="Q91" s="24">
        <f t="shared" si="40"/>
        <v>0</v>
      </c>
      <c r="R91" s="24">
        <f t="shared" si="29"/>
        <v>0</v>
      </c>
      <c r="S91" s="30">
        <f>SUMIFS(Output!$L:$L,Output!$A:$A,Prediction!$A91,Output!$C:$C,Prediction!O$5)</f>
        <v>0</v>
      </c>
      <c r="T91" s="29">
        <f>IFERROR(VLOOKUP($D91,Schedules!$A:$I,MATCH(Prediction!T$6,Schedules!$A$1:$H$1,0),FALSE),0)</f>
        <v>0</v>
      </c>
      <c r="U91" s="24">
        <f>IF(T91=0,0,SUMIFS(Output!$L:$L,Output!$A:$A,Prediction!$A91,Output!$C:$C,Prediction!T$5))</f>
        <v>0</v>
      </c>
      <c r="V91" s="24">
        <f t="shared" si="30"/>
        <v>0</v>
      </c>
      <c r="W91" s="24">
        <f t="shared" si="31"/>
        <v>0</v>
      </c>
      <c r="X91" s="30">
        <f>SUMIFS(Output!$L:$L,Output!$A:$A,Prediction!$A91,Output!$C:$C,Prediction!T$5)</f>
        <v>0</v>
      </c>
      <c r="Y91" s="25">
        <f>IFERROR(VLOOKUP($D91,Schedules!$A:$I,MATCH(Prediction!Y$6,Schedules!$A$1:$H$1,0),FALSE),0)</f>
        <v>0</v>
      </c>
      <c r="Z91" s="24">
        <f>IF(Y91=0,0,SUMIFS(Output!$L:$L,Output!$A:$A,Prediction!$A91,Output!$C:$C,Prediction!Y$5))</f>
        <v>0</v>
      </c>
      <c r="AA91" s="24">
        <f t="shared" si="41"/>
        <v>0</v>
      </c>
      <c r="AB91" s="24">
        <f t="shared" si="32"/>
        <v>0</v>
      </c>
      <c r="AC91" s="30">
        <f>SUMIFS(Output!$L:$L,Output!$A:$A,Prediction!$A91,Output!$C:$C,Prediction!Y$5)</f>
        <v>0</v>
      </c>
      <c r="AD91" s="29">
        <f>IFERROR(VLOOKUP($D91,Schedules!$A:$I,MATCH(Prediction!AD$6,Schedules!$A$1:$H$1,0),FALSE),0)</f>
        <v>0</v>
      </c>
      <c r="AE91" s="24">
        <f>IF(AD91=0,0,SUMIFS(Output!$L:$L,Output!$A:$A,Prediction!$A91,Output!$C:$C,Prediction!AD$5))</f>
        <v>0</v>
      </c>
      <c r="AF91" s="24">
        <f t="shared" si="42"/>
        <v>0</v>
      </c>
      <c r="AG91" s="24">
        <f t="shared" si="33"/>
        <v>0</v>
      </c>
      <c r="AH91" s="30">
        <f>SUMIFS(Output!$L:$L,Output!$A:$A,Prediction!$A91,Output!$C:$C,Prediction!AD$5)</f>
        <v>0</v>
      </c>
      <c r="AI91" s="29">
        <f>IFERROR(VLOOKUP($D91,Schedules!$A:$I,MATCH(Prediction!AI$6,Schedules!$A$1:$H$1,0),FALSE),0)</f>
        <v>0</v>
      </c>
      <c r="AJ91" s="24">
        <f>IF(AI91=0,0,SUMIFS(Output!$L:$L,Output!$A:$A,Prediction!$A91,Output!$C:$C,Prediction!AI$5))</f>
        <v>0</v>
      </c>
      <c r="AK91" s="24">
        <f t="shared" si="43"/>
        <v>0</v>
      </c>
      <c r="AL91" s="24">
        <f t="shared" si="34"/>
        <v>0</v>
      </c>
      <c r="AM91" s="30">
        <f>SUMIFS(Output!$L:$L,Output!$A:$A,Prediction!$A91,Output!$C:$C,Prediction!AI$5)</f>
        <v>0</v>
      </c>
      <c r="AN91">
        <f t="shared" si="35"/>
        <v>0</v>
      </c>
      <c r="AO91" s="3">
        <f t="shared" si="36"/>
        <v>0</v>
      </c>
      <c r="AP91" s="44"/>
      <c r="AQ91" s="3">
        <f t="shared" si="44"/>
        <v>0</v>
      </c>
      <c r="AR91" s="3">
        <f t="shared" si="37"/>
        <v>0</v>
      </c>
    </row>
    <row r="92" spans="1:44" x14ac:dyDescent="0.25">
      <c r="A92" s="9" t="str">
        <f t="array" ref="A92">IFERROR(INDEX(Output!A$1:A$2000,MATCH(0,COUNTIF(Prediction!$A$7:A91,Output!A$1:A$2000),0)),"")</f>
        <v/>
      </c>
      <c r="B92" t="str">
        <f>IFERROR(VLOOKUP($A92,Output!$A:$M,2,FALSE),"")</f>
        <v/>
      </c>
      <c r="C92" t="str">
        <f>IFERROR(VLOOKUP(B92,Departments!B:C,2,FALSE),"")</f>
        <v/>
      </c>
      <c r="D92" t="str">
        <f>IFERROR(VLOOKUP($A92,Output!$A:$M,13,FALSE),"")</f>
        <v/>
      </c>
      <c r="E92" s="29">
        <f>IFERROR(VLOOKUP($D92,Schedules!$A:$I,MATCH(Prediction!E$6,Schedules!$A$1:$H$1,0),FALSE),0)</f>
        <v>0</v>
      </c>
      <c r="F92" s="24">
        <f>IF(E92=0,0,SUMIFS(Output!$L:$L,Output!$A:$A,Prediction!$A92,Output!$C:$C,Prediction!E$5))</f>
        <v>0</v>
      </c>
      <c r="G92" s="24">
        <f t="shared" si="38"/>
        <v>0</v>
      </c>
      <c r="H92" s="45">
        <f t="shared" si="45"/>
        <v>0</v>
      </c>
      <c r="I92" s="30">
        <f>SUMIFS(Output!$L:$L,Output!$A:$A,Prediction!$A92,Output!$C:$C,Prediction!E$5)</f>
        <v>0</v>
      </c>
      <c r="J92" s="29">
        <f>IFERROR(VLOOKUP($D92,Schedules!$A:$I,MATCH(Prediction!J$6,Schedules!$A$1:$H$1,0),FALSE),0)</f>
        <v>0</v>
      </c>
      <c r="K92" s="24">
        <f>IF(J92=0,0,SUMIFS(Output!$L:$L,Output!$A:$A,Prediction!$A92,Output!$C:$C,Prediction!J$5))</f>
        <v>0</v>
      </c>
      <c r="L92" s="24">
        <f t="shared" si="39"/>
        <v>0</v>
      </c>
      <c r="M92" s="24">
        <f t="shared" si="28"/>
        <v>0</v>
      </c>
      <c r="N92" s="30">
        <f>SUMIFS(Output!$L:$L,Output!$A:$A,Prediction!$A92,Output!$C:$C,Prediction!J$5)</f>
        <v>0</v>
      </c>
      <c r="O92" s="29">
        <f>IFERROR(VLOOKUP($D92,Schedules!$A:$I,MATCH(Prediction!O$6,Schedules!$A$1:$H$1,0),FALSE),0)</f>
        <v>0</v>
      </c>
      <c r="P92" s="24">
        <f>IF(O92=0,0,SUMIFS(Output!$L:$L,Output!$A:$A,Prediction!$A92,Output!$C:$C,Prediction!O$5))</f>
        <v>0</v>
      </c>
      <c r="Q92" s="24">
        <f t="shared" si="40"/>
        <v>0</v>
      </c>
      <c r="R92" s="24">
        <f t="shared" si="29"/>
        <v>0</v>
      </c>
      <c r="S92" s="30">
        <f>SUMIFS(Output!$L:$L,Output!$A:$A,Prediction!$A92,Output!$C:$C,Prediction!O$5)</f>
        <v>0</v>
      </c>
      <c r="T92" s="29">
        <f>IFERROR(VLOOKUP($D92,Schedules!$A:$I,MATCH(Prediction!T$6,Schedules!$A$1:$H$1,0),FALSE),0)</f>
        <v>0</v>
      </c>
      <c r="U92" s="24">
        <f>IF(T92=0,0,SUMIFS(Output!$L:$L,Output!$A:$A,Prediction!$A92,Output!$C:$C,Prediction!T$5))</f>
        <v>0</v>
      </c>
      <c r="V92" s="24">
        <f t="shared" si="30"/>
        <v>0</v>
      </c>
      <c r="W92" s="24">
        <f t="shared" si="31"/>
        <v>0</v>
      </c>
      <c r="X92" s="30">
        <f>SUMIFS(Output!$L:$L,Output!$A:$A,Prediction!$A92,Output!$C:$C,Prediction!T$5)</f>
        <v>0</v>
      </c>
      <c r="Y92" s="25">
        <f>IFERROR(VLOOKUP($D92,Schedules!$A:$I,MATCH(Prediction!Y$6,Schedules!$A$1:$H$1,0),FALSE),0)</f>
        <v>0</v>
      </c>
      <c r="Z92" s="24">
        <f>IF(Y92=0,0,SUMIFS(Output!$L:$L,Output!$A:$A,Prediction!$A92,Output!$C:$C,Prediction!Y$5))</f>
        <v>0</v>
      </c>
      <c r="AA92" s="24">
        <f t="shared" si="41"/>
        <v>0</v>
      </c>
      <c r="AB92" s="24">
        <f t="shared" si="32"/>
        <v>0</v>
      </c>
      <c r="AC92" s="30">
        <f>SUMIFS(Output!$L:$L,Output!$A:$A,Prediction!$A92,Output!$C:$C,Prediction!Y$5)</f>
        <v>0</v>
      </c>
      <c r="AD92" s="29">
        <f>IFERROR(VLOOKUP($D92,Schedules!$A:$I,MATCH(Prediction!AD$6,Schedules!$A$1:$H$1,0),FALSE),0)</f>
        <v>0</v>
      </c>
      <c r="AE92" s="24">
        <f>IF(AD92=0,0,SUMIFS(Output!$L:$L,Output!$A:$A,Prediction!$A92,Output!$C:$C,Prediction!AD$5))</f>
        <v>0</v>
      </c>
      <c r="AF92" s="24">
        <f t="shared" si="42"/>
        <v>0</v>
      </c>
      <c r="AG92" s="24">
        <f t="shared" si="33"/>
        <v>0</v>
      </c>
      <c r="AH92" s="30">
        <f>SUMIFS(Output!$L:$L,Output!$A:$A,Prediction!$A92,Output!$C:$C,Prediction!AD$5)</f>
        <v>0</v>
      </c>
      <c r="AI92" s="29">
        <f>IFERROR(VLOOKUP($D92,Schedules!$A:$I,MATCH(Prediction!AI$6,Schedules!$A$1:$H$1,0),FALSE),0)</f>
        <v>0</v>
      </c>
      <c r="AJ92" s="24">
        <f>IF(AI92=0,0,SUMIFS(Output!$L:$L,Output!$A:$A,Prediction!$A92,Output!$C:$C,Prediction!AI$5))</f>
        <v>0</v>
      </c>
      <c r="AK92" s="24">
        <f t="shared" si="43"/>
        <v>0</v>
      </c>
      <c r="AL92" s="24">
        <f t="shared" si="34"/>
        <v>0</v>
      </c>
      <c r="AM92" s="30">
        <f>SUMIFS(Output!$L:$L,Output!$A:$A,Prediction!$A92,Output!$C:$C,Prediction!AI$5)</f>
        <v>0</v>
      </c>
      <c r="AN92">
        <f t="shared" si="35"/>
        <v>0</v>
      </c>
      <c r="AO92" s="3">
        <f t="shared" si="36"/>
        <v>0</v>
      </c>
      <c r="AP92" s="44"/>
      <c r="AQ92" s="3">
        <f t="shared" si="44"/>
        <v>0</v>
      </c>
      <c r="AR92" s="3">
        <f t="shared" si="37"/>
        <v>0</v>
      </c>
    </row>
    <row r="93" spans="1:44" x14ac:dyDescent="0.25">
      <c r="A93" s="9" t="str">
        <f t="array" ref="A93">IFERROR(INDEX(Output!A$1:A$2000,MATCH(0,COUNTIF(Prediction!$A$7:A92,Output!A$1:A$2000),0)),"")</f>
        <v/>
      </c>
      <c r="B93" t="str">
        <f>IFERROR(VLOOKUP($A93,Output!$A:$M,2,FALSE),"")</f>
        <v/>
      </c>
      <c r="C93" t="str">
        <f>IFERROR(VLOOKUP(B93,Departments!B:C,2,FALSE),"")</f>
        <v/>
      </c>
      <c r="D93" t="str">
        <f>IFERROR(VLOOKUP($A93,Output!$A:$M,13,FALSE),"")</f>
        <v/>
      </c>
      <c r="E93" s="29">
        <f>IFERROR(VLOOKUP($D93,Schedules!$A:$I,MATCH(Prediction!E$6,Schedules!$A$1:$H$1,0),FALSE),0)</f>
        <v>0</v>
      </c>
      <c r="F93" s="24">
        <f>IF(E93=0,0,SUMIFS(Output!$L:$L,Output!$A:$A,Prediction!$A93,Output!$C:$C,Prediction!E$5))</f>
        <v>0</v>
      </c>
      <c r="G93" s="24">
        <f t="shared" si="38"/>
        <v>0</v>
      </c>
      <c r="H93" s="45">
        <f t="shared" si="45"/>
        <v>0</v>
      </c>
      <c r="I93" s="30">
        <f>SUMIFS(Output!$L:$L,Output!$A:$A,Prediction!$A93,Output!$C:$C,Prediction!E$5)</f>
        <v>0</v>
      </c>
      <c r="J93" s="29">
        <f>IFERROR(VLOOKUP($D93,Schedules!$A:$I,MATCH(Prediction!J$6,Schedules!$A$1:$H$1,0),FALSE),0)</f>
        <v>0</v>
      </c>
      <c r="K93" s="24">
        <f>IF(J93=0,0,SUMIFS(Output!$L:$L,Output!$A:$A,Prediction!$A93,Output!$C:$C,Prediction!J$5))</f>
        <v>0</v>
      </c>
      <c r="L93" s="24">
        <f t="shared" si="39"/>
        <v>0</v>
      </c>
      <c r="M93" s="24">
        <f t="shared" si="28"/>
        <v>0</v>
      </c>
      <c r="N93" s="30">
        <f>SUMIFS(Output!$L:$L,Output!$A:$A,Prediction!$A93,Output!$C:$C,Prediction!J$5)</f>
        <v>0</v>
      </c>
      <c r="O93" s="29">
        <f>IFERROR(VLOOKUP($D93,Schedules!$A:$I,MATCH(Prediction!O$6,Schedules!$A$1:$H$1,0),FALSE),0)</f>
        <v>0</v>
      </c>
      <c r="P93" s="24">
        <f>IF(O93=0,0,SUMIFS(Output!$L:$L,Output!$A:$A,Prediction!$A93,Output!$C:$C,Prediction!O$5))</f>
        <v>0</v>
      </c>
      <c r="Q93" s="24">
        <f t="shared" si="40"/>
        <v>0</v>
      </c>
      <c r="R93" s="24">
        <f t="shared" si="29"/>
        <v>0</v>
      </c>
      <c r="S93" s="30">
        <f>SUMIFS(Output!$L:$L,Output!$A:$A,Prediction!$A93,Output!$C:$C,Prediction!O$5)</f>
        <v>0</v>
      </c>
      <c r="T93" s="29">
        <f>IFERROR(VLOOKUP($D93,Schedules!$A:$I,MATCH(Prediction!T$6,Schedules!$A$1:$H$1,0),FALSE),0)</f>
        <v>0</v>
      </c>
      <c r="U93" s="24">
        <f>IF(T93=0,0,SUMIFS(Output!$L:$L,Output!$A:$A,Prediction!$A93,Output!$C:$C,Prediction!T$5))</f>
        <v>0</v>
      </c>
      <c r="V93" s="24">
        <f t="shared" si="30"/>
        <v>0</v>
      </c>
      <c r="W93" s="24">
        <f t="shared" si="31"/>
        <v>0</v>
      </c>
      <c r="X93" s="30">
        <f>SUMIFS(Output!$L:$L,Output!$A:$A,Prediction!$A93,Output!$C:$C,Prediction!T$5)</f>
        <v>0</v>
      </c>
      <c r="Y93" s="25">
        <f>IFERROR(VLOOKUP($D93,Schedules!$A:$I,MATCH(Prediction!Y$6,Schedules!$A$1:$H$1,0),FALSE),0)</f>
        <v>0</v>
      </c>
      <c r="Z93" s="24">
        <f>IF(Y93=0,0,SUMIFS(Output!$L:$L,Output!$A:$A,Prediction!$A93,Output!$C:$C,Prediction!Y$5))</f>
        <v>0</v>
      </c>
      <c r="AA93" s="24">
        <f t="shared" si="41"/>
        <v>0</v>
      </c>
      <c r="AB93" s="24">
        <f t="shared" si="32"/>
        <v>0</v>
      </c>
      <c r="AC93" s="30">
        <f>SUMIFS(Output!$L:$L,Output!$A:$A,Prediction!$A93,Output!$C:$C,Prediction!Y$5)</f>
        <v>0</v>
      </c>
      <c r="AD93" s="29">
        <f>IFERROR(VLOOKUP($D93,Schedules!$A:$I,MATCH(Prediction!AD$6,Schedules!$A$1:$H$1,0),FALSE),0)</f>
        <v>0</v>
      </c>
      <c r="AE93" s="24">
        <f>IF(AD93=0,0,SUMIFS(Output!$L:$L,Output!$A:$A,Prediction!$A93,Output!$C:$C,Prediction!AD$5))</f>
        <v>0</v>
      </c>
      <c r="AF93" s="24">
        <f t="shared" si="42"/>
        <v>0</v>
      </c>
      <c r="AG93" s="24">
        <f t="shared" si="33"/>
        <v>0</v>
      </c>
      <c r="AH93" s="30">
        <f>SUMIFS(Output!$L:$L,Output!$A:$A,Prediction!$A93,Output!$C:$C,Prediction!AD$5)</f>
        <v>0</v>
      </c>
      <c r="AI93" s="29">
        <f>IFERROR(VLOOKUP($D93,Schedules!$A:$I,MATCH(Prediction!AI$6,Schedules!$A$1:$H$1,0),FALSE),0)</f>
        <v>0</v>
      </c>
      <c r="AJ93" s="24">
        <f>IF(AI93=0,0,SUMIFS(Output!$L:$L,Output!$A:$A,Prediction!$A93,Output!$C:$C,Prediction!AI$5))</f>
        <v>0</v>
      </c>
      <c r="AK93" s="24">
        <f t="shared" si="43"/>
        <v>0</v>
      </c>
      <c r="AL93" s="24">
        <f t="shared" si="34"/>
        <v>0</v>
      </c>
      <c r="AM93" s="30">
        <f>SUMIFS(Output!$L:$L,Output!$A:$A,Prediction!$A93,Output!$C:$C,Prediction!AI$5)</f>
        <v>0</v>
      </c>
      <c r="AN93">
        <f t="shared" si="35"/>
        <v>0</v>
      </c>
      <c r="AO93" s="3">
        <f t="shared" si="36"/>
        <v>0</v>
      </c>
      <c r="AP93" s="44"/>
      <c r="AQ93" s="3">
        <f t="shared" si="44"/>
        <v>0</v>
      </c>
      <c r="AR93" s="3">
        <f t="shared" si="37"/>
        <v>0</v>
      </c>
    </row>
    <row r="94" spans="1:44" x14ac:dyDescent="0.25">
      <c r="A94" s="9" t="str">
        <f t="array" ref="A94">IFERROR(INDEX(Output!A$1:A$2000,MATCH(0,COUNTIF(Prediction!$A$7:A93,Output!A$1:A$2000),0)),"")</f>
        <v/>
      </c>
      <c r="B94" t="str">
        <f>IFERROR(VLOOKUP($A94,Output!$A:$M,2,FALSE),"")</f>
        <v/>
      </c>
      <c r="C94" t="str">
        <f>IFERROR(VLOOKUP(B94,Departments!B:C,2,FALSE),"")</f>
        <v/>
      </c>
      <c r="D94" t="str">
        <f>IFERROR(VLOOKUP($A94,Output!$A:$M,13,FALSE),"")</f>
        <v/>
      </c>
      <c r="E94" s="29">
        <f>IFERROR(VLOOKUP($D94,Schedules!$A:$I,MATCH(Prediction!E$6,Schedules!$A$1:$H$1,0),FALSE),0)</f>
        <v>0</v>
      </c>
      <c r="F94" s="24">
        <f>IF(E94=0,0,SUMIFS(Output!$L:$L,Output!$A:$A,Prediction!$A94,Output!$C:$C,Prediction!E$5))</f>
        <v>0</v>
      </c>
      <c r="G94" s="24">
        <f t="shared" si="38"/>
        <v>0</v>
      </c>
      <c r="H94" s="45">
        <f t="shared" si="45"/>
        <v>0</v>
      </c>
      <c r="I94" s="30">
        <f>SUMIFS(Output!$L:$L,Output!$A:$A,Prediction!$A94,Output!$C:$C,Prediction!E$5)</f>
        <v>0</v>
      </c>
      <c r="J94" s="29">
        <f>IFERROR(VLOOKUP($D94,Schedules!$A:$I,MATCH(Prediction!J$6,Schedules!$A$1:$H$1,0),FALSE),0)</f>
        <v>0</v>
      </c>
      <c r="K94" s="24">
        <f>IF(J94=0,0,SUMIFS(Output!$L:$L,Output!$A:$A,Prediction!$A94,Output!$C:$C,Prediction!J$5))</f>
        <v>0</v>
      </c>
      <c r="L94" s="24">
        <f t="shared" si="39"/>
        <v>0</v>
      </c>
      <c r="M94" s="24">
        <f t="shared" si="28"/>
        <v>0</v>
      </c>
      <c r="N94" s="30">
        <f>SUMIFS(Output!$L:$L,Output!$A:$A,Prediction!$A94,Output!$C:$C,Prediction!J$5)</f>
        <v>0</v>
      </c>
      <c r="O94" s="29">
        <f>IFERROR(VLOOKUP($D94,Schedules!$A:$I,MATCH(Prediction!O$6,Schedules!$A$1:$H$1,0),FALSE),0)</f>
        <v>0</v>
      </c>
      <c r="P94" s="24">
        <f>IF(O94=0,0,SUMIFS(Output!$L:$L,Output!$A:$A,Prediction!$A94,Output!$C:$C,Prediction!O$5))</f>
        <v>0</v>
      </c>
      <c r="Q94" s="24">
        <f t="shared" si="40"/>
        <v>0</v>
      </c>
      <c r="R94" s="24">
        <f t="shared" si="29"/>
        <v>0</v>
      </c>
      <c r="S94" s="30">
        <f>SUMIFS(Output!$L:$L,Output!$A:$A,Prediction!$A94,Output!$C:$C,Prediction!O$5)</f>
        <v>0</v>
      </c>
      <c r="T94" s="29">
        <f>IFERROR(VLOOKUP($D94,Schedules!$A:$I,MATCH(Prediction!T$6,Schedules!$A$1:$H$1,0),FALSE),0)</f>
        <v>0</v>
      </c>
      <c r="U94" s="24">
        <f>IF(T94=0,0,SUMIFS(Output!$L:$L,Output!$A:$A,Prediction!$A94,Output!$C:$C,Prediction!T$5))</f>
        <v>0</v>
      </c>
      <c r="V94" s="24">
        <f t="shared" si="30"/>
        <v>0</v>
      </c>
      <c r="W94" s="24">
        <f t="shared" si="31"/>
        <v>0</v>
      </c>
      <c r="X94" s="30">
        <f>SUMIFS(Output!$L:$L,Output!$A:$A,Prediction!$A94,Output!$C:$C,Prediction!T$5)</f>
        <v>0</v>
      </c>
      <c r="Y94" s="25">
        <f>IFERROR(VLOOKUP($D94,Schedules!$A:$I,MATCH(Prediction!Y$6,Schedules!$A$1:$H$1,0),FALSE),0)</f>
        <v>0</v>
      </c>
      <c r="Z94" s="24">
        <f>IF(Y94=0,0,SUMIFS(Output!$L:$L,Output!$A:$A,Prediction!$A94,Output!$C:$C,Prediction!Y$5))</f>
        <v>0</v>
      </c>
      <c r="AA94" s="24">
        <f t="shared" si="41"/>
        <v>0</v>
      </c>
      <c r="AB94" s="24">
        <f t="shared" si="32"/>
        <v>0</v>
      </c>
      <c r="AC94" s="30">
        <f>SUMIFS(Output!$L:$L,Output!$A:$A,Prediction!$A94,Output!$C:$C,Prediction!Y$5)</f>
        <v>0</v>
      </c>
      <c r="AD94" s="29">
        <f>IFERROR(VLOOKUP($D94,Schedules!$A:$I,MATCH(Prediction!AD$6,Schedules!$A$1:$H$1,0),FALSE),0)</f>
        <v>0</v>
      </c>
      <c r="AE94" s="24">
        <f>IF(AD94=0,0,SUMIFS(Output!$L:$L,Output!$A:$A,Prediction!$A94,Output!$C:$C,Prediction!AD$5))</f>
        <v>0</v>
      </c>
      <c r="AF94" s="24">
        <f t="shared" si="42"/>
        <v>0</v>
      </c>
      <c r="AG94" s="24">
        <f t="shared" si="33"/>
        <v>0</v>
      </c>
      <c r="AH94" s="30">
        <f>SUMIFS(Output!$L:$L,Output!$A:$A,Prediction!$A94,Output!$C:$C,Prediction!AD$5)</f>
        <v>0</v>
      </c>
      <c r="AI94" s="29">
        <f>IFERROR(VLOOKUP($D94,Schedules!$A:$I,MATCH(Prediction!AI$6,Schedules!$A$1:$H$1,0),FALSE),0)</f>
        <v>0</v>
      </c>
      <c r="AJ94" s="24">
        <f>IF(AI94=0,0,SUMIFS(Output!$L:$L,Output!$A:$A,Prediction!$A94,Output!$C:$C,Prediction!AI$5))</f>
        <v>0</v>
      </c>
      <c r="AK94" s="24">
        <f t="shared" si="43"/>
        <v>0</v>
      </c>
      <c r="AL94" s="24">
        <f t="shared" si="34"/>
        <v>0</v>
      </c>
      <c r="AM94" s="30">
        <f>SUMIFS(Output!$L:$L,Output!$A:$A,Prediction!$A94,Output!$C:$C,Prediction!AI$5)</f>
        <v>0</v>
      </c>
      <c r="AN94">
        <f t="shared" si="35"/>
        <v>0</v>
      </c>
      <c r="AO94" s="3">
        <f t="shared" si="36"/>
        <v>0</v>
      </c>
      <c r="AP94" s="44"/>
      <c r="AQ94" s="3">
        <f t="shared" si="44"/>
        <v>0</v>
      </c>
      <c r="AR94" s="3">
        <f t="shared" si="37"/>
        <v>0</v>
      </c>
    </row>
    <row r="95" spans="1:44" x14ac:dyDescent="0.25">
      <c r="A95" s="9" t="str">
        <f t="array" ref="A95">IFERROR(INDEX(Output!A$1:A$2000,MATCH(0,COUNTIF(Prediction!$A$7:A94,Output!A$1:A$2000),0)),"")</f>
        <v/>
      </c>
      <c r="B95" t="str">
        <f>IFERROR(VLOOKUP($A95,Output!$A:$M,2,FALSE),"")</f>
        <v/>
      </c>
      <c r="C95" t="str">
        <f>IFERROR(VLOOKUP(B95,Departments!B:C,2,FALSE),"")</f>
        <v/>
      </c>
      <c r="D95" t="str">
        <f>IFERROR(VLOOKUP($A95,Output!$A:$M,13,FALSE),"")</f>
        <v/>
      </c>
      <c r="E95" s="29">
        <f>IFERROR(VLOOKUP($D95,Schedules!$A:$I,MATCH(Prediction!E$6,Schedules!$A$1:$H$1,0),FALSE),0)</f>
        <v>0</v>
      </c>
      <c r="F95" s="24">
        <f>IF(E95=0,0,SUMIFS(Output!$L:$L,Output!$A:$A,Prediction!$A95,Output!$C:$C,Prediction!E$5))</f>
        <v>0</v>
      </c>
      <c r="G95" s="24">
        <f t="shared" si="38"/>
        <v>0</v>
      </c>
      <c r="H95" s="45">
        <f t="shared" si="45"/>
        <v>0</v>
      </c>
      <c r="I95" s="30">
        <f>SUMIFS(Output!$L:$L,Output!$A:$A,Prediction!$A95,Output!$C:$C,Prediction!E$5)</f>
        <v>0</v>
      </c>
      <c r="J95" s="29">
        <f>IFERROR(VLOOKUP($D95,Schedules!$A:$I,MATCH(Prediction!J$6,Schedules!$A$1:$H$1,0),FALSE),0)</f>
        <v>0</v>
      </c>
      <c r="K95" s="24">
        <f>IF(J95=0,0,SUMIFS(Output!$L:$L,Output!$A:$A,Prediction!$A95,Output!$C:$C,Prediction!J$5))</f>
        <v>0</v>
      </c>
      <c r="L95" s="24">
        <f t="shared" si="39"/>
        <v>0</v>
      </c>
      <c r="M95" s="24">
        <f t="shared" si="28"/>
        <v>0</v>
      </c>
      <c r="N95" s="30">
        <f>SUMIFS(Output!$L:$L,Output!$A:$A,Prediction!$A95,Output!$C:$C,Prediction!J$5)</f>
        <v>0</v>
      </c>
      <c r="O95" s="29">
        <f>IFERROR(VLOOKUP($D95,Schedules!$A:$I,MATCH(Prediction!O$6,Schedules!$A$1:$H$1,0),FALSE),0)</f>
        <v>0</v>
      </c>
      <c r="P95" s="24">
        <f>IF(O95=0,0,SUMIFS(Output!$L:$L,Output!$A:$A,Prediction!$A95,Output!$C:$C,Prediction!O$5))</f>
        <v>0</v>
      </c>
      <c r="Q95" s="24">
        <f t="shared" si="40"/>
        <v>0</v>
      </c>
      <c r="R95" s="24">
        <f t="shared" si="29"/>
        <v>0</v>
      </c>
      <c r="S95" s="30">
        <f>SUMIFS(Output!$L:$L,Output!$A:$A,Prediction!$A95,Output!$C:$C,Prediction!O$5)</f>
        <v>0</v>
      </c>
      <c r="T95" s="29">
        <f>IFERROR(VLOOKUP($D95,Schedules!$A:$I,MATCH(Prediction!T$6,Schedules!$A$1:$H$1,0),FALSE),0)</f>
        <v>0</v>
      </c>
      <c r="U95" s="24">
        <f>IF(T95=0,0,SUMIFS(Output!$L:$L,Output!$A:$A,Prediction!$A95,Output!$C:$C,Prediction!T$5))</f>
        <v>0</v>
      </c>
      <c r="V95" s="24">
        <f t="shared" si="30"/>
        <v>0</v>
      </c>
      <c r="W95" s="24">
        <f t="shared" si="31"/>
        <v>0</v>
      </c>
      <c r="X95" s="30">
        <f>SUMIFS(Output!$L:$L,Output!$A:$A,Prediction!$A95,Output!$C:$C,Prediction!T$5)</f>
        <v>0</v>
      </c>
      <c r="Y95" s="25">
        <f>IFERROR(VLOOKUP($D95,Schedules!$A:$I,MATCH(Prediction!Y$6,Schedules!$A$1:$H$1,0),FALSE),0)</f>
        <v>0</v>
      </c>
      <c r="Z95" s="24">
        <f>IF(Y95=0,0,SUMIFS(Output!$L:$L,Output!$A:$A,Prediction!$A95,Output!$C:$C,Prediction!Y$5))</f>
        <v>0</v>
      </c>
      <c r="AA95" s="24">
        <f t="shared" si="41"/>
        <v>0</v>
      </c>
      <c r="AB95" s="24">
        <f t="shared" si="32"/>
        <v>0</v>
      </c>
      <c r="AC95" s="30">
        <f>SUMIFS(Output!$L:$L,Output!$A:$A,Prediction!$A95,Output!$C:$C,Prediction!Y$5)</f>
        <v>0</v>
      </c>
      <c r="AD95" s="29">
        <f>IFERROR(VLOOKUP($D95,Schedules!$A:$I,MATCH(Prediction!AD$6,Schedules!$A$1:$H$1,0),FALSE),0)</f>
        <v>0</v>
      </c>
      <c r="AE95" s="24">
        <f>IF(AD95=0,0,SUMIFS(Output!$L:$L,Output!$A:$A,Prediction!$A95,Output!$C:$C,Prediction!AD$5))</f>
        <v>0</v>
      </c>
      <c r="AF95" s="24">
        <f t="shared" si="42"/>
        <v>0</v>
      </c>
      <c r="AG95" s="24">
        <f t="shared" si="33"/>
        <v>0</v>
      </c>
      <c r="AH95" s="30">
        <f>SUMIFS(Output!$L:$L,Output!$A:$A,Prediction!$A95,Output!$C:$C,Prediction!AD$5)</f>
        <v>0</v>
      </c>
      <c r="AI95" s="29">
        <f>IFERROR(VLOOKUP($D95,Schedules!$A:$I,MATCH(Prediction!AI$6,Schedules!$A$1:$H$1,0),FALSE),0)</f>
        <v>0</v>
      </c>
      <c r="AJ95" s="24">
        <f>IF(AI95=0,0,SUMIFS(Output!$L:$L,Output!$A:$A,Prediction!$A95,Output!$C:$C,Prediction!AI$5))</f>
        <v>0</v>
      </c>
      <c r="AK95" s="24">
        <f t="shared" si="43"/>
        <v>0</v>
      </c>
      <c r="AL95" s="24">
        <f t="shared" si="34"/>
        <v>0</v>
      </c>
      <c r="AM95" s="30">
        <f>SUMIFS(Output!$L:$L,Output!$A:$A,Prediction!$A95,Output!$C:$C,Prediction!AI$5)</f>
        <v>0</v>
      </c>
      <c r="AN95">
        <f t="shared" si="35"/>
        <v>0</v>
      </c>
      <c r="AO95" s="3">
        <f t="shared" si="36"/>
        <v>0</v>
      </c>
      <c r="AP95" s="44"/>
      <c r="AQ95" s="3">
        <f t="shared" si="44"/>
        <v>0</v>
      </c>
      <c r="AR95" s="3">
        <f t="shared" si="37"/>
        <v>0</v>
      </c>
    </row>
    <row r="96" spans="1:44" x14ac:dyDescent="0.25">
      <c r="A96" s="9" t="str">
        <f t="array" ref="A96">IFERROR(INDEX(Output!A$1:A$2000,MATCH(0,COUNTIF(Prediction!$A$7:A95,Output!A$1:A$2000),0)),"")</f>
        <v/>
      </c>
      <c r="B96" t="str">
        <f>IFERROR(VLOOKUP($A96,Output!$A:$M,2,FALSE),"")</f>
        <v/>
      </c>
      <c r="C96" t="str">
        <f>IFERROR(VLOOKUP(B96,Departments!B:C,2,FALSE),"")</f>
        <v/>
      </c>
      <c r="D96" t="str">
        <f>IFERROR(VLOOKUP($A96,Output!$A:$M,13,FALSE),"")</f>
        <v/>
      </c>
      <c r="E96" s="29">
        <f>IFERROR(VLOOKUP($D96,Schedules!$A:$I,MATCH(Prediction!E$6,Schedules!$A$1:$H$1,0),FALSE),0)</f>
        <v>0</v>
      </c>
      <c r="F96" s="24">
        <f>IF(E96=0,0,SUMIFS(Output!$L:$L,Output!$A:$A,Prediction!$A96,Output!$C:$C,Prediction!E$5))</f>
        <v>0</v>
      </c>
      <c r="G96" s="24">
        <f t="shared" si="38"/>
        <v>0</v>
      </c>
      <c r="H96" s="45">
        <f t="shared" si="45"/>
        <v>0</v>
      </c>
      <c r="I96" s="30">
        <f>SUMIFS(Output!$L:$L,Output!$A:$A,Prediction!$A96,Output!$C:$C,Prediction!E$5)</f>
        <v>0</v>
      </c>
      <c r="J96" s="29">
        <f>IFERROR(VLOOKUP($D96,Schedules!$A:$I,MATCH(Prediction!J$6,Schedules!$A$1:$H$1,0),FALSE),0)</f>
        <v>0</v>
      </c>
      <c r="K96" s="24">
        <f>IF(J96=0,0,SUMIFS(Output!$L:$L,Output!$A:$A,Prediction!$A96,Output!$C:$C,Prediction!J$5))</f>
        <v>0</v>
      </c>
      <c r="L96" s="24">
        <f t="shared" si="39"/>
        <v>0</v>
      </c>
      <c r="M96" s="24">
        <f t="shared" si="28"/>
        <v>0</v>
      </c>
      <c r="N96" s="30">
        <f>SUMIFS(Output!$L:$L,Output!$A:$A,Prediction!$A96,Output!$C:$C,Prediction!J$5)</f>
        <v>0</v>
      </c>
      <c r="O96" s="29">
        <f>IFERROR(VLOOKUP($D96,Schedules!$A:$I,MATCH(Prediction!O$6,Schedules!$A$1:$H$1,0),FALSE),0)</f>
        <v>0</v>
      </c>
      <c r="P96" s="24">
        <f>IF(O96=0,0,SUMIFS(Output!$L:$L,Output!$A:$A,Prediction!$A96,Output!$C:$C,Prediction!O$5))</f>
        <v>0</v>
      </c>
      <c r="Q96" s="24">
        <f t="shared" si="40"/>
        <v>0</v>
      </c>
      <c r="R96" s="24">
        <f t="shared" si="29"/>
        <v>0</v>
      </c>
      <c r="S96" s="30">
        <f>SUMIFS(Output!$L:$L,Output!$A:$A,Prediction!$A96,Output!$C:$C,Prediction!O$5)</f>
        <v>0</v>
      </c>
      <c r="T96" s="29">
        <f>IFERROR(VLOOKUP($D96,Schedules!$A:$I,MATCH(Prediction!T$6,Schedules!$A$1:$H$1,0),FALSE),0)</f>
        <v>0</v>
      </c>
      <c r="U96" s="24">
        <f>IF(T96=0,0,SUMIFS(Output!$L:$L,Output!$A:$A,Prediction!$A96,Output!$C:$C,Prediction!T$5))</f>
        <v>0</v>
      </c>
      <c r="V96" s="24">
        <f t="shared" si="30"/>
        <v>0</v>
      </c>
      <c r="W96" s="24">
        <f t="shared" si="31"/>
        <v>0</v>
      </c>
      <c r="X96" s="30">
        <f>SUMIFS(Output!$L:$L,Output!$A:$A,Prediction!$A96,Output!$C:$C,Prediction!T$5)</f>
        <v>0</v>
      </c>
      <c r="Y96" s="25">
        <f>IFERROR(VLOOKUP($D96,Schedules!$A:$I,MATCH(Prediction!Y$6,Schedules!$A$1:$H$1,0),FALSE),0)</f>
        <v>0</v>
      </c>
      <c r="Z96" s="24">
        <f>IF(Y96=0,0,SUMIFS(Output!$L:$L,Output!$A:$A,Prediction!$A96,Output!$C:$C,Prediction!Y$5))</f>
        <v>0</v>
      </c>
      <c r="AA96" s="24">
        <f t="shared" si="41"/>
        <v>0</v>
      </c>
      <c r="AB96" s="24">
        <f t="shared" si="32"/>
        <v>0</v>
      </c>
      <c r="AC96" s="30">
        <f>SUMIFS(Output!$L:$L,Output!$A:$A,Prediction!$A96,Output!$C:$C,Prediction!Y$5)</f>
        <v>0</v>
      </c>
      <c r="AD96" s="29">
        <f>IFERROR(VLOOKUP($D96,Schedules!$A:$I,MATCH(Prediction!AD$6,Schedules!$A$1:$H$1,0),FALSE),0)</f>
        <v>0</v>
      </c>
      <c r="AE96" s="24">
        <f>IF(AD96=0,0,SUMIFS(Output!$L:$L,Output!$A:$A,Prediction!$A96,Output!$C:$C,Prediction!AD$5))</f>
        <v>0</v>
      </c>
      <c r="AF96" s="24">
        <f t="shared" si="42"/>
        <v>0</v>
      </c>
      <c r="AG96" s="24">
        <f t="shared" si="33"/>
        <v>0</v>
      </c>
      <c r="AH96" s="30">
        <f>SUMIFS(Output!$L:$L,Output!$A:$A,Prediction!$A96,Output!$C:$C,Prediction!AD$5)</f>
        <v>0</v>
      </c>
      <c r="AI96" s="29">
        <f>IFERROR(VLOOKUP($D96,Schedules!$A:$I,MATCH(Prediction!AI$6,Schedules!$A$1:$H$1,0),FALSE),0)</f>
        <v>0</v>
      </c>
      <c r="AJ96" s="24">
        <f>IF(AI96=0,0,SUMIFS(Output!$L:$L,Output!$A:$A,Prediction!$A96,Output!$C:$C,Prediction!AI$5))</f>
        <v>0</v>
      </c>
      <c r="AK96" s="24">
        <f t="shared" si="43"/>
        <v>0</v>
      </c>
      <c r="AL96" s="24">
        <f t="shared" si="34"/>
        <v>0</v>
      </c>
      <c r="AM96" s="30">
        <f>SUMIFS(Output!$L:$L,Output!$A:$A,Prediction!$A96,Output!$C:$C,Prediction!AI$5)</f>
        <v>0</v>
      </c>
      <c r="AN96">
        <f t="shared" si="35"/>
        <v>0</v>
      </c>
      <c r="AO96" s="3">
        <f t="shared" si="36"/>
        <v>0</v>
      </c>
      <c r="AP96" s="44"/>
      <c r="AQ96" s="3">
        <f t="shared" si="44"/>
        <v>0</v>
      </c>
      <c r="AR96" s="3">
        <f t="shared" si="37"/>
        <v>0</v>
      </c>
    </row>
    <row r="97" spans="1:44" x14ac:dyDescent="0.25">
      <c r="A97" s="9" t="str">
        <f t="array" ref="A97">IFERROR(INDEX(Output!A$1:A$2000,MATCH(0,COUNTIF(Prediction!$A$7:A96,Output!A$1:A$2000),0)),"")</f>
        <v/>
      </c>
      <c r="B97" t="str">
        <f>IFERROR(VLOOKUP($A97,Output!$A:$M,2,FALSE),"")</f>
        <v/>
      </c>
      <c r="C97" t="str">
        <f>IFERROR(VLOOKUP(B97,Departments!B:C,2,FALSE),"")</f>
        <v/>
      </c>
      <c r="D97" t="str">
        <f>IFERROR(VLOOKUP($A97,Output!$A:$M,13,FALSE),"")</f>
        <v/>
      </c>
      <c r="E97" s="29">
        <f>IFERROR(VLOOKUP($D97,Schedules!$A:$I,MATCH(Prediction!E$6,Schedules!$A$1:$H$1,0),FALSE),0)</f>
        <v>0</v>
      </c>
      <c r="F97" s="24">
        <f>IF(E97=0,0,SUMIFS(Output!$L:$L,Output!$A:$A,Prediction!$A97,Output!$C:$C,Prediction!E$5))</f>
        <v>0</v>
      </c>
      <c r="G97" s="24">
        <f t="shared" si="38"/>
        <v>0</v>
      </c>
      <c r="H97" s="45">
        <f t="shared" si="45"/>
        <v>0</v>
      </c>
      <c r="I97" s="30">
        <f>SUMIFS(Output!$L:$L,Output!$A:$A,Prediction!$A97,Output!$C:$C,Prediction!E$5)</f>
        <v>0</v>
      </c>
      <c r="J97" s="29">
        <f>IFERROR(VLOOKUP($D97,Schedules!$A:$I,MATCH(Prediction!J$6,Schedules!$A$1:$H$1,0),FALSE),0)</f>
        <v>0</v>
      </c>
      <c r="K97" s="24">
        <f>IF(J97=0,0,SUMIFS(Output!$L:$L,Output!$A:$A,Prediction!$A97,Output!$C:$C,Prediction!J$5))</f>
        <v>0</v>
      </c>
      <c r="L97" s="24">
        <f t="shared" si="39"/>
        <v>0</v>
      </c>
      <c r="M97" s="24">
        <f t="shared" si="28"/>
        <v>0</v>
      </c>
      <c r="N97" s="30">
        <f>SUMIFS(Output!$L:$L,Output!$A:$A,Prediction!$A97,Output!$C:$C,Prediction!J$5)</f>
        <v>0</v>
      </c>
      <c r="O97" s="29">
        <f>IFERROR(VLOOKUP($D97,Schedules!$A:$I,MATCH(Prediction!O$6,Schedules!$A$1:$H$1,0),FALSE),0)</f>
        <v>0</v>
      </c>
      <c r="P97" s="24">
        <f>IF(O97=0,0,SUMIFS(Output!$L:$L,Output!$A:$A,Prediction!$A97,Output!$C:$C,Prediction!O$5))</f>
        <v>0</v>
      </c>
      <c r="Q97" s="24">
        <f t="shared" si="40"/>
        <v>0</v>
      </c>
      <c r="R97" s="24">
        <f t="shared" si="29"/>
        <v>0</v>
      </c>
      <c r="S97" s="30">
        <f>SUMIFS(Output!$L:$L,Output!$A:$A,Prediction!$A97,Output!$C:$C,Prediction!O$5)</f>
        <v>0</v>
      </c>
      <c r="T97" s="29">
        <f>IFERROR(VLOOKUP($D97,Schedules!$A:$I,MATCH(Prediction!T$6,Schedules!$A$1:$H$1,0),FALSE),0)</f>
        <v>0</v>
      </c>
      <c r="U97" s="24">
        <f>IF(T97=0,0,SUMIFS(Output!$L:$L,Output!$A:$A,Prediction!$A97,Output!$C:$C,Prediction!T$5))</f>
        <v>0</v>
      </c>
      <c r="V97" s="24">
        <f t="shared" si="30"/>
        <v>0</v>
      </c>
      <c r="W97" s="24">
        <f t="shared" si="31"/>
        <v>0</v>
      </c>
      <c r="X97" s="30">
        <f>SUMIFS(Output!$L:$L,Output!$A:$A,Prediction!$A97,Output!$C:$C,Prediction!T$5)</f>
        <v>0</v>
      </c>
      <c r="Y97" s="25">
        <f>IFERROR(VLOOKUP($D97,Schedules!$A:$I,MATCH(Prediction!Y$6,Schedules!$A$1:$H$1,0),FALSE),0)</f>
        <v>0</v>
      </c>
      <c r="Z97" s="24">
        <f>IF(Y97=0,0,SUMIFS(Output!$L:$L,Output!$A:$A,Prediction!$A97,Output!$C:$C,Prediction!Y$5))</f>
        <v>0</v>
      </c>
      <c r="AA97" s="24">
        <f t="shared" si="41"/>
        <v>0</v>
      </c>
      <c r="AB97" s="24">
        <f t="shared" si="32"/>
        <v>0</v>
      </c>
      <c r="AC97" s="30">
        <f>SUMIFS(Output!$L:$L,Output!$A:$A,Prediction!$A97,Output!$C:$C,Prediction!Y$5)</f>
        <v>0</v>
      </c>
      <c r="AD97" s="29">
        <f>IFERROR(VLOOKUP($D97,Schedules!$A:$I,MATCH(Prediction!AD$6,Schedules!$A$1:$H$1,0),FALSE),0)</f>
        <v>0</v>
      </c>
      <c r="AE97" s="24">
        <f>IF(AD97=0,0,SUMIFS(Output!$L:$L,Output!$A:$A,Prediction!$A97,Output!$C:$C,Prediction!AD$5))</f>
        <v>0</v>
      </c>
      <c r="AF97" s="24">
        <f t="shared" si="42"/>
        <v>0</v>
      </c>
      <c r="AG97" s="24">
        <f t="shared" si="33"/>
        <v>0</v>
      </c>
      <c r="AH97" s="30">
        <f>SUMIFS(Output!$L:$L,Output!$A:$A,Prediction!$A97,Output!$C:$C,Prediction!AD$5)</f>
        <v>0</v>
      </c>
      <c r="AI97" s="29">
        <f>IFERROR(VLOOKUP($D97,Schedules!$A:$I,MATCH(Prediction!AI$6,Schedules!$A$1:$H$1,0),FALSE),0)</f>
        <v>0</v>
      </c>
      <c r="AJ97" s="24">
        <f>IF(AI97=0,0,SUMIFS(Output!$L:$L,Output!$A:$A,Prediction!$A97,Output!$C:$C,Prediction!AI$5))</f>
        <v>0</v>
      </c>
      <c r="AK97" s="24">
        <f t="shared" si="43"/>
        <v>0</v>
      </c>
      <c r="AL97" s="24">
        <f t="shared" si="34"/>
        <v>0</v>
      </c>
      <c r="AM97" s="30">
        <f>SUMIFS(Output!$L:$L,Output!$A:$A,Prediction!$A97,Output!$C:$C,Prediction!AI$5)</f>
        <v>0</v>
      </c>
      <c r="AN97">
        <f t="shared" si="35"/>
        <v>0</v>
      </c>
      <c r="AO97" s="3">
        <f t="shared" si="36"/>
        <v>0</v>
      </c>
      <c r="AP97" s="44"/>
      <c r="AQ97" s="3">
        <f t="shared" si="44"/>
        <v>0</v>
      </c>
      <c r="AR97" s="3">
        <f t="shared" si="37"/>
        <v>0</v>
      </c>
    </row>
    <row r="98" spans="1:44" x14ac:dyDescent="0.25">
      <c r="A98" s="9" t="str">
        <f t="array" ref="A98">IFERROR(INDEX(Output!A$1:A$2000,MATCH(0,COUNTIF(Prediction!$A$7:A97,Output!A$1:A$2000),0)),"")</f>
        <v/>
      </c>
      <c r="B98" t="str">
        <f>IFERROR(VLOOKUP($A98,Output!$A:$M,2,FALSE),"")</f>
        <v/>
      </c>
      <c r="C98" t="str">
        <f>IFERROR(VLOOKUP(B98,Departments!B:C,2,FALSE),"")</f>
        <v/>
      </c>
      <c r="D98" t="str">
        <f>IFERROR(VLOOKUP($A98,Output!$A:$M,13,FALSE),"")</f>
        <v/>
      </c>
      <c r="E98" s="29">
        <f>IFERROR(VLOOKUP($D98,Schedules!$A:$I,MATCH(Prediction!E$6,Schedules!$A$1:$H$1,0),FALSE),0)</f>
        <v>0</v>
      </c>
      <c r="F98" s="24">
        <f>IF(E98=0,0,SUMIFS(Output!$L:$L,Output!$A:$A,Prediction!$A98,Output!$C:$C,Prediction!E$5))</f>
        <v>0</v>
      </c>
      <c r="G98" s="24">
        <f t="shared" si="38"/>
        <v>0</v>
      </c>
      <c r="H98" s="45">
        <f t="shared" si="45"/>
        <v>0</v>
      </c>
      <c r="I98" s="30">
        <f>SUMIFS(Output!$L:$L,Output!$A:$A,Prediction!$A98,Output!$C:$C,Prediction!E$5)</f>
        <v>0</v>
      </c>
      <c r="J98" s="29">
        <f>IFERROR(VLOOKUP($D98,Schedules!$A:$I,MATCH(Prediction!J$6,Schedules!$A$1:$H$1,0),FALSE),0)</f>
        <v>0</v>
      </c>
      <c r="K98" s="24">
        <f>IF(J98=0,0,SUMIFS(Output!$L:$L,Output!$A:$A,Prediction!$A98,Output!$C:$C,Prediction!J$5))</f>
        <v>0</v>
      </c>
      <c r="L98" s="24">
        <f t="shared" si="39"/>
        <v>0</v>
      </c>
      <c r="M98" s="24">
        <f t="shared" si="28"/>
        <v>0</v>
      </c>
      <c r="N98" s="30">
        <f>SUMIFS(Output!$L:$L,Output!$A:$A,Prediction!$A98,Output!$C:$C,Prediction!J$5)</f>
        <v>0</v>
      </c>
      <c r="O98" s="29">
        <f>IFERROR(VLOOKUP($D98,Schedules!$A:$I,MATCH(Prediction!O$6,Schedules!$A$1:$H$1,0),FALSE),0)</f>
        <v>0</v>
      </c>
      <c r="P98" s="24">
        <f>IF(O98=0,0,SUMIFS(Output!$L:$L,Output!$A:$A,Prediction!$A98,Output!$C:$C,Prediction!O$5))</f>
        <v>0</v>
      </c>
      <c r="Q98" s="24">
        <f t="shared" si="40"/>
        <v>0</v>
      </c>
      <c r="R98" s="24">
        <f t="shared" si="29"/>
        <v>0</v>
      </c>
      <c r="S98" s="30">
        <f>SUMIFS(Output!$L:$L,Output!$A:$A,Prediction!$A98,Output!$C:$C,Prediction!O$5)</f>
        <v>0</v>
      </c>
      <c r="T98" s="29">
        <f>IFERROR(VLOOKUP($D98,Schedules!$A:$I,MATCH(Prediction!T$6,Schedules!$A$1:$H$1,0),FALSE),0)</f>
        <v>0</v>
      </c>
      <c r="U98" s="24">
        <f>IF(T98=0,0,SUMIFS(Output!$L:$L,Output!$A:$A,Prediction!$A98,Output!$C:$C,Prediction!T$5))</f>
        <v>0</v>
      </c>
      <c r="V98" s="24">
        <f t="shared" si="30"/>
        <v>0</v>
      </c>
      <c r="W98" s="24">
        <f t="shared" si="31"/>
        <v>0</v>
      </c>
      <c r="X98" s="30">
        <f>SUMIFS(Output!$L:$L,Output!$A:$A,Prediction!$A98,Output!$C:$C,Prediction!T$5)</f>
        <v>0</v>
      </c>
      <c r="Y98" s="25">
        <f>IFERROR(VLOOKUP($D98,Schedules!$A:$I,MATCH(Prediction!Y$6,Schedules!$A$1:$H$1,0),FALSE),0)</f>
        <v>0</v>
      </c>
      <c r="Z98" s="24">
        <f>IF(Y98=0,0,SUMIFS(Output!$L:$L,Output!$A:$A,Prediction!$A98,Output!$C:$C,Prediction!Y$5))</f>
        <v>0</v>
      </c>
      <c r="AA98" s="24">
        <f t="shared" si="41"/>
        <v>0</v>
      </c>
      <c r="AB98" s="24">
        <f t="shared" si="32"/>
        <v>0</v>
      </c>
      <c r="AC98" s="30">
        <f>SUMIFS(Output!$L:$L,Output!$A:$A,Prediction!$A98,Output!$C:$C,Prediction!Y$5)</f>
        <v>0</v>
      </c>
      <c r="AD98" s="29">
        <f>IFERROR(VLOOKUP($D98,Schedules!$A:$I,MATCH(Prediction!AD$6,Schedules!$A$1:$H$1,0),FALSE),0)</f>
        <v>0</v>
      </c>
      <c r="AE98" s="24">
        <f>IF(AD98=0,0,SUMIFS(Output!$L:$L,Output!$A:$A,Prediction!$A98,Output!$C:$C,Prediction!AD$5))</f>
        <v>0</v>
      </c>
      <c r="AF98" s="24">
        <f t="shared" si="42"/>
        <v>0</v>
      </c>
      <c r="AG98" s="24">
        <f t="shared" si="33"/>
        <v>0</v>
      </c>
      <c r="AH98" s="30">
        <f>SUMIFS(Output!$L:$L,Output!$A:$A,Prediction!$A98,Output!$C:$C,Prediction!AD$5)</f>
        <v>0</v>
      </c>
      <c r="AI98" s="29">
        <f>IFERROR(VLOOKUP($D98,Schedules!$A:$I,MATCH(Prediction!AI$6,Schedules!$A$1:$H$1,0),FALSE),0)</f>
        <v>0</v>
      </c>
      <c r="AJ98" s="24">
        <f>IF(AI98=0,0,SUMIFS(Output!$L:$L,Output!$A:$A,Prediction!$A98,Output!$C:$C,Prediction!AI$5))</f>
        <v>0</v>
      </c>
      <c r="AK98" s="24">
        <f t="shared" si="43"/>
        <v>0</v>
      </c>
      <c r="AL98" s="24">
        <f t="shared" si="34"/>
        <v>0</v>
      </c>
      <c r="AM98" s="30">
        <f>SUMIFS(Output!$L:$L,Output!$A:$A,Prediction!$A98,Output!$C:$C,Prediction!AI$5)</f>
        <v>0</v>
      </c>
      <c r="AN98">
        <f t="shared" si="35"/>
        <v>0</v>
      </c>
      <c r="AO98" s="3">
        <f t="shared" si="36"/>
        <v>0</v>
      </c>
      <c r="AP98" s="44"/>
      <c r="AQ98" s="3">
        <f t="shared" si="44"/>
        <v>0</v>
      </c>
      <c r="AR98" s="3">
        <f t="shared" si="37"/>
        <v>0</v>
      </c>
    </row>
    <row r="99" spans="1:44" x14ac:dyDescent="0.25">
      <c r="A99" s="9" t="str">
        <f t="array" ref="A99">IFERROR(INDEX(Output!A$1:A$2000,MATCH(0,COUNTIF(Prediction!$A$7:A98,Output!A$1:A$2000),0)),"")</f>
        <v/>
      </c>
      <c r="B99" t="str">
        <f>IFERROR(VLOOKUP($A99,Output!$A:$M,2,FALSE),"")</f>
        <v/>
      </c>
      <c r="C99" t="str">
        <f>IFERROR(VLOOKUP(B99,Departments!B:C,2,FALSE),"")</f>
        <v/>
      </c>
      <c r="D99" t="str">
        <f>IFERROR(VLOOKUP($A99,Output!$A:$M,13,FALSE),"")</f>
        <v/>
      </c>
      <c r="E99" s="29">
        <f>IFERROR(VLOOKUP($D99,Schedules!$A:$I,MATCH(Prediction!E$6,Schedules!$A$1:$H$1,0),FALSE),0)</f>
        <v>0</v>
      </c>
      <c r="F99" s="24">
        <f>IF(E99=0,0,SUMIFS(Output!$L:$L,Output!$A:$A,Prediction!$A99,Output!$C:$C,Prediction!E$5))</f>
        <v>0</v>
      </c>
      <c r="G99" s="24">
        <f t="shared" si="38"/>
        <v>0</v>
      </c>
      <c r="H99" s="45">
        <f t="shared" si="45"/>
        <v>0</v>
      </c>
      <c r="I99" s="30">
        <f>SUMIFS(Output!$L:$L,Output!$A:$A,Prediction!$A99,Output!$C:$C,Prediction!E$5)</f>
        <v>0</v>
      </c>
      <c r="J99" s="29">
        <f>IFERROR(VLOOKUP($D99,Schedules!$A:$I,MATCH(Prediction!J$6,Schedules!$A$1:$H$1,0),FALSE),0)</f>
        <v>0</v>
      </c>
      <c r="K99" s="24">
        <f>IF(J99=0,0,SUMIFS(Output!$L:$L,Output!$A:$A,Prediction!$A99,Output!$C:$C,Prediction!J$5))</f>
        <v>0</v>
      </c>
      <c r="L99" s="24">
        <f t="shared" si="39"/>
        <v>0</v>
      </c>
      <c r="M99" s="24">
        <f t="shared" si="28"/>
        <v>0</v>
      </c>
      <c r="N99" s="30">
        <f>SUMIFS(Output!$L:$L,Output!$A:$A,Prediction!$A99,Output!$C:$C,Prediction!J$5)</f>
        <v>0</v>
      </c>
      <c r="O99" s="29">
        <f>IFERROR(VLOOKUP($D99,Schedules!$A:$I,MATCH(Prediction!O$6,Schedules!$A$1:$H$1,0),FALSE),0)</f>
        <v>0</v>
      </c>
      <c r="P99" s="24">
        <f>IF(O99=0,0,SUMIFS(Output!$L:$L,Output!$A:$A,Prediction!$A99,Output!$C:$C,Prediction!O$5))</f>
        <v>0</v>
      </c>
      <c r="Q99" s="24">
        <f t="shared" si="40"/>
        <v>0</v>
      </c>
      <c r="R99" s="24">
        <f t="shared" si="29"/>
        <v>0</v>
      </c>
      <c r="S99" s="30">
        <f>SUMIFS(Output!$L:$L,Output!$A:$A,Prediction!$A99,Output!$C:$C,Prediction!O$5)</f>
        <v>0</v>
      </c>
      <c r="T99" s="29">
        <f>IFERROR(VLOOKUP($D99,Schedules!$A:$I,MATCH(Prediction!T$6,Schedules!$A$1:$H$1,0),FALSE),0)</f>
        <v>0</v>
      </c>
      <c r="U99" s="24">
        <f>IF(T99=0,0,SUMIFS(Output!$L:$L,Output!$A:$A,Prediction!$A99,Output!$C:$C,Prediction!T$5))</f>
        <v>0</v>
      </c>
      <c r="V99" s="24">
        <f t="shared" si="30"/>
        <v>0</v>
      </c>
      <c r="W99" s="24">
        <f t="shared" si="31"/>
        <v>0</v>
      </c>
      <c r="X99" s="30">
        <f>SUMIFS(Output!$L:$L,Output!$A:$A,Prediction!$A99,Output!$C:$C,Prediction!T$5)</f>
        <v>0</v>
      </c>
      <c r="Y99" s="25">
        <f>IFERROR(VLOOKUP($D99,Schedules!$A:$I,MATCH(Prediction!Y$6,Schedules!$A$1:$H$1,0),FALSE),0)</f>
        <v>0</v>
      </c>
      <c r="Z99" s="24">
        <f>IF(Y99=0,0,SUMIFS(Output!$L:$L,Output!$A:$A,Prediction!$A99,Output!$C:$C,Prediction!Y$5))</f>
        <v>0</v>
      </c>
      <c r="AA99" s="24">
        <f t="shared" si="41"/>
        <v>0</v>
      </c>
      <c r="AB99" s="24">
        <f t="shared" si="32"/>
        <v>0</v>
      </c>
      <c r="AC99" s="30">
        <f>SUMIFS(Output!$L:$L,Output!$A:$A,Prediction!$A99,Output!$C:$C,Prediction!Y$5)</f>
        <v>0</v>
      </c>
      <c r="AD99" s="29">
        <f>IFERROR(VLOOKUP($D99,Schedules!$A:$I,MATCH(Prediction!AD$6,Schedules!$A$1:$H$1,0),FALSE),0)</f>
        <v>0</v>
      </c>
      <c r="AE99" s="24">
        <f>IF(AD99=0,0,SUMIFS(Output!$L:$L,Output!$A:$A,Prediction!$A99,Output!$C:$C,Prediction!AD$5))</f>
        <v>0</v>
      </c>
      <c r="AF99" s="24">
        <f t="shared" si="42"/>
        <v>0</v>
      </c>
      <c r="AG99" s="24">
        <f t="shared" si="33"/>
        <v>0</v>
      </c>
      <c r="AH99" s="30">
        <f>SUMIFS(Output!$L:$L,Output!$A:$A,Prediction!$A99,Output!$C:$C,Prediction!AD$5)</f>
        <v>0</v>
      </c>
      <c r="AI99" s="29">
        <f>IFERROR(VLOOKUP($D99,Schedules!$A:$I,MATCH(Prediction!AI$6,Schedules!$A$1:$H$1,0),FALSE),0)</f>
        <v>0</v>
      </c>
      <c r="AJ99" s="24">
        <f>IF(AI99=0,0,SUMIFS(Output!$L:$L,Output!$A:$A,Prediction!$A99,Output!$C:$C,Prediction!AI$5))</f>
        <v>0</v>
      </c>
      <c r="AK99" s="24">
        <f t="shared" si="43"/>
        <v>0</v>
      </c>
      <c r="AL99" s="24">
        <f t="shared" si="34"/>
        <v>0</v>
      </c>
      <c r="AM99" s="30">
        <f>SUMIFS(Output!$L:$L,Output!$A:$A,Prediction!$A99,Output!$C:$C,Prediction!AI$5)</f>
        <v>0</v>
      </c>
      <c r="AN99">
        <f t="shared" si="35"/>
        <v>0</v>
      </c>
      <c r="AO99" s="3">
        <f t="shared" si="36"/>
        <v>0</v>
      </c>
      <c r="AP99" s="44"/>
      <c r="AQ99" s="3">
        <f t="shared" si="44"/>
        <v>0</v>
      </c>
      <c r="AR99" s="3">
        <f t="shared" si="37"/>
        <v>0</v>
      </c>
    </row>
    <row r="100" spans="1:44" x14ac:dyDescent="0.25">
      <c r="A100" s="9" t="str">
        <f t="array" ref="A100">IFERROR(INDEX(Output!A$1:A$2000,MATCH(0,COUNTIF(Prediction!$A$7:A99,Output!A$1:A$2000),0)),"")</f>
        <v/>
      </c>
      <c r="B100" t="str">
        <f>IFERROR(VLOOKUP($A100,Output!$A:$M,2,FALSE),"")</f>
        <v/>
      </c>
      <c r="C100" t="str">
        <f>IFERROR(VLOOKUP(B100,Departments!B:C,2,FALSE),"")</f>
        <v/>
      </c>
      <c r="D100" t="str">
        <f>IFERROR(VLOOKUP($A100,Output!$A:$M,13,FALSE),"")</f>
        <v/>
      </c>
      <c r="E100" s="29">
        <f>IFERROR(VLOOKUP($D100,Schedules!$A:$I,MATCH(Prediction!E$6,Schedules!$A$1:$H$1,0),FALSE),0)</f>
        <v>0</v>
      </c>
      <c r="F100" s="24">
        <f>IF(E100=0,0,SUMIFS(Output!$L:$L,Output!$A:$A,Prediction!$A100,Output!$C:$C,Prediction!E$5))</f>
        <v>0</v>
      </c>
      <c r="G100" s="24">
        <f t="shared" si="38"/>
        <v>0</v>
      </c>
      <c r="H100" s="45">
        <f t="shared" si="45"/>
        <v>0</v>
      </c>
      <c r="I100" s="30">
        <f>SUMIFS(Output!$L:$L,Output!$A:$A,Prediction!$A100,Output!$C:$C,Prediction!E$5)</f>
        <v>0</v>
      </c>
      <c r="J100" s="29">
        <f>IFERROR(VLOOKUP($D100,Schedules!$A:$I,MATCH(Prediction!J$6,Schedules!$A$1:$H$1,0),FALSE),0)</f>
        <v>0</v>
      </c>
      <c r="K100" s="24">
        <f>IF(J100=0,0,SUMIFS(Output!$L:$L,Output!$A:$A,Prediction!$A100,Output!$C:$C,Prediction!J$5))</f>
        <v>0</v>
      </c>
      <c r="L100" s="24">
        <f t="shared" si="39"/>
        <v>0</v>
      </c>
      <c r="M100" s="24">
        <f t="shared" si="28"/>
        <v>0</v>
      </c>
      <c r="N100" s="30">
        <f>SUMIFS(Output!$L:$L,Output!$A:$A,Prediction!$A100,Output!$C:$C,Prediction!J$5)</f>
        <v>0</v>
      </c>
      <c r="O100" s="29">
        <f>IFERROR(VLOOKUP($D100,Schedules!$A:$I,MATCH(Prediction!O$6,Schedules!$A$1:$H$1,0),FALSE),0)</f>
        <v>0</v>
      </c>
      <c r="P100" s="24">
        <f>IF(O100=0,0,SUMIFS(Output!$L:$L,Output!$A:$A,Prediction!$A100,Output!$C:$C,Prediction!O$5))</f>
        <v>0</v>
      </c>
      <c r="Q100" s="24">
        <f t="shared" si="40"/>
        <v>0</v>
      </c>
      <c r="R100" s="24">
        <f t="shared" si="29"/>
        <v>0</v>
      </c>
      <c r="S100" s="30">
        <f>SUMIFS(Output!$L:$L,Output!$A:$A,Prediction!$A100,Output!$C:$C,Prediction!O$5)</f>
        <v>0</v>
      </c>
      <c r="T100" s="29">
        <f>IFERROR(VLOOKUP($D100,Schedules!$A:$I,MATCH(Prediction!T$6,Schedules!$A$1:$H$1,0),FALSE),0)</f>
        <v>0</v>
      </c>
      <c r="U100" s="24">
        <f>IF(T100=0,0,SUMIFS(Output!$L:$L,Output!$A:$A,Prediction!$A100,Output!$C:$C,Prediction!T$5))</f>
        <v>0</v>
      </c>
      <c r="V100" s="24">
        <f t="shared" si="30"/>
        <v>0</v>
      </c>
      <c r="W100" s="24">
        <f t="shared" si="31"/>
        <v>0</v>
      </c>
      <c r="X100" s="30">
        <f>SUMIFS(Output!$L:$L,Output!$A:$A,Prediction!$A100,Output!$C:$C,Prediction!T$5)</f>
        <v>0</v>
      </c>
      <c r="Y100" s="25">
        <f>IFERROR(VLOOKUP($D100,Schedules!$A:$I,MATCH(Prediction!Y$6,Schedules!$A$1:$H$1,0),FALSE),0)</f>
        <v>0</v>
      </c>
      <c r="Z100" s="24">
        <f>IF(Y100=0,0,SUMIFS(Output!$L:$L,Output!$A:$A,Prediction!$A100,Output!$C:$C,Prediction!Y$5))</f>
        <v>0</v>
      </c>
      <c r="AA100" s="24">
        <f t="shared" si="41"/>
        <v>0</v>
      </c>
      <c r="AB100" s="24">
        <f t="shared" si="32"/>
        <v>0</v>
      </c>
      <c r="AC100" s="30">
        <f>SUMIFS(Output!$L:$L,Output!$A:$A,Prediction!$A100,Output!$C:$C,Prediction!Y$5)</f>
        <v>0</v>
      </c>
      <c r="AD100" s="29">
        <f>IFERROR(VLOOKUP($D100,Schedules!$A:$I,MATCH(Prediction!AD$6,Schedules!$A$1:$H$1,0),FALSE),0)</f>
        <v>0</v>
      </c>
      <c r="AE100" s="24">
        <f>IF(AD100=0,0,SUMIFS(Output!$L:$L,Output!$A:$A,Prediction!$A100,Output!$C:$C,Prediction!AD$5))</f>
        <v>0</v>
      </c>
      <c r="AF100" s="24">
        <f t="shared" si="42"/>
        <v>0</v>
      </c>
      <c r="AG100" s="24">
        <f t="shared" si="33"/>
        <v>0</v>
      </c>
      <c r="AH100" s="30">
        <f>SUMIFS(Output!$L:$L,Output!$A:$A,Prediction!$A100,Output!$C:$C,Prediction!AD$5)</f>
        <v>0</v>
      </c>
      <c r="AI100" s="29">
        <f>IFERROR(VLOOKUP($D100,Schedules!$A:$I,MATCH(Prediction!AI$6,Schedules!$A$1:$H$1,0),FALSE),0)</f>
        <v>0</v>
      </c>
      <c r="AJ100" s="24">
        <f>IF(AI100=0,0,SUMIFS(Output!$L:$L,Output!$A:$A,Prediction!$A100,Output!$C:$C,Prediction!AI$5))</f>
        <v>0</v>
      </c>
      <c r="AK100" s="24">
        <f t="shared" si="43"/>
        <v>0</v>
      </c>
      <c r="AL100" s="24">
        <f t="shared" si="34"/>
        <v>0</v>
      </c>
      <c r="AM100" s="30">
        <f>SUMIFS(Output!$L:$L,Output!$A:$A,Prediction!$A100,Output!$C:$C,Prediction!AI$5)</f>
        <v>0</v>
      </c>
      <c r="AN100">
        <f t="shared" si="35"/>
        <v>0</v>
      </c>
      <c r="AO100" s="3">
        <f t="shared" si="36"/>
        <v>0</v>
      </c>
      <c r="AP100" s="44"/>
      <c r="AQ100" s="3">
        <f t="shared" si="44"/>
        <v>0</v>
      </c>
      <c r="AR100" s="3">
        <f t="shared" si="37"/>
        <v>0</v>
      </c>
    </row>
    <row r="101" spans="1:44" x14ac:dyDescent="0.25">
      <c r="A101" s="9" t="str">
        <f t="array" ref="A101">IFERROR(INDEX(Output!A$1:A$2000,MATCH(0,COUNTIF(Prediction!$A$7:A100,Output!A$1:A$2000),0)),"")</f>
        <v/>
      </c>
      <c r="B101" t="str">
        <f>IFERROR(VLOOKUP($A101,Output!$A:$M,2,FALSE),"")</f>
        <v/>
      </c>
      <c r="C101" t="str">
        <f>IFERROR(VLOOKUP(B101,Departments!B:C,2,FALSE),"")</f>
        <v/>
      </c>
      <c r="D101" t="str">
        <f>IFERROR(VLOOKUP($A101,Output!$A:$M,13,FALSE),"")</f>
        <v/>
      </c>
      <c r="E101" s="29">
        <f>IFERROR(VLOOKUP($D101,Schedules!$A:$I,MATCH(Prediction!E$6,Schedules!$A$1:$H$1,0),FALSE),0)</f>
        <v>0</v>
      </c>
      <c r="F101" s="24">
        <f>IF(E101=0,0,SUMIFS(Output!$L:$L,Output!$A:$A,Prediction!$A101,Output!$C:$C,Prediction!E$5))</f>
        <v>0</v>
      </c>
      <c r="G101" s="24">
        <f t="shared" si="38"/>
        <v>0</v>
      </c>
      <c r="H101" s="45">
        <f t="shared" si="45"/>
        <v>0</v>
      </c>
      <c r="I101" s="30">
        <f>SUMIFS(Output!$L:$L,Output!$A:$A,Prediction!$A101,Output!$C:$C,Prediction!E$5)</f>
        <v>0</v>
      </c>
      <c r="J101" s="29">
        <f>IFERROR(VLOOKUP($D101,Schedules!$A:$I,MATCH(Prediction!J$6,Schedules!$A$1:$H$1,0),FALSE),0)</f>
        <v>0</v>
      </c>
      <c r="K101" s="24">
        <f>IF(J101=0,0,SUMIFS(Output!$L:$L,Output!$A:$A,Prediction!$A101,Output!$C:$C,Prediction!J$5))</f>
        <v>0</v>
      </c>
      <c r="L101" s="24">
        <f t="shared" si="39"/>
        <v>0</v>
      </c>
      <c r="M101" s="24">
        <f t="shared" si="28"/>
        <v>0</v>
      </c>
      <c r="N101" s="30">
        <f>SUMIFS(Output!$L:$L,Output!$A:$A,Prediction!$A101,Output!$C:$C,Prediction!J$5)</f>
        <v>0</v>
      </c>
      <c r="O101" s="29">
        <f>IFERROR(VLOOKUP($D101,Schedules!$A:$I,MATCH(Prediction!O$6,Schedules!$A$1:$H$1,0),FALSE),0)</f>
        <v>0</v>
      </c>
      <c r="P101" s="24">
        <f>IF(O101=0,0,SUMIFS(Output!$L:$L,Output!$A:$A,Prediction!$A101,Output!$C:$C,Prediction!O$5))</f>
        <v>0</v>
      </c>
      <c r="Q101" s="24">
        <f t="shared" si="40"/>
        <v>0</v>
      </c>
      <c r="R101" s="24">
        <f t="shared" si="29"/>
        <v>0</v>
      </c>
      <c r="S101" s="30">
        <f>SUMIFS(Output!$L:$L,Output!$A:$A,Prediction!$A101,Output!$C:$C,Prediction!O$5)</f>
        <v>0</v>
      </c>
      <c r="T101" s="29">
        <f>IFERROR(VLOOKUP($D101,Schedules!$A:$I,MATCH(Prediction!T$6,Schedules!$A$1:$H$1,0),FALSE),0)</f>
        <v>0</v>
      </c>
      <c r="U101" s="24">
        <f>IF(T101=0,0,SUMIFS(Output!$L:$L,Output!$A:$A,Prediction!$A101,Output!$C:$C,Prediction!T$5))</f>
        <v>0</v>
      </c>
      <c r="V101" s="24">
        <f t="shared" si="30"/>
        <v>0</v>
      </c>
      <c r="W101" s="24">
        <f t="shared" si="31"/>
        <v>0</v>
      </c>
      <c r="X101" s="30">
        <f>SUMIFS(Output!$L:$L,Output!$A:$A,Prediction!$A101,Output!$C:$C,Prediction!T$5)</f>
        <v>0</v>
      </c>
      <c r="Y101" s="25">
        <f>IFERROR(VLOOKUP($D101,Schedules!$A:$I,MATCH(Prediction!Y$6,Schedules!$A$1:$H$1,0),FALSE),0)</f>
        <v>0</v>
      </c>
      <c r="Z101" s="24">
        <f>IF(Y101=0,0,SUMIFS(Output!$L:$L,Output!$A:$A,Prediction!$A101,Output!$C:$C,Prediction!Y$5))</f>
        <v>0</v>
      </c>
      <c r="AA101" s="24">
        <f t="shared" si="41"/>
        <v>0</v>
      </c>
      <c r="AB101" s="24">
        <f t="shared" si="32"/>
        <v>0</v>
      </c>
      <c r="AC101" s="30">
        <f>SUMIFS(Output!$L:$L,Output!$A:$A,Prediction!$A101,Output!$C:$C,Prediction!Y$5)</f>
        <v>0</v>
      </c>
      <c r="AD101" s="29">
        <f>IFERROR(VLOOKUP($D101,Schedules!$A:$I,MATCH(Prediction!AD$6,Schedules!$A$1:$H$1,0),FALSE),0)</f>
        <v>0</v>
      </c>
      <c r="AE101" s="24">
        <f>IF(AD101=0,0,SUMIFS(Output!$L:$L,Output!$A:$A,Prediction!$A101,Output!$C:$C,Prediction!AD$5))</f>
        <v>0</v>
      </c>
      <c r="AF101" s="24">
        <f t="shared" si="42"/>
        <v>0</v>
      </c>
      <c r="AG101" s="24">
        <f t="shared" si="33"/>
        <v>0</v>
      </c>
      <c r="AH101" s="30">
        <f>SUMIFS(Output!$L:$L,Output!$A:$A,Prediction!$A101,Output!$C:$C,Prediction!AD$5)</f>
        <v>0</v>
      </c>
      <c r="AI101" s="29">
        <f>IFERROR(VLOOKUP($D101,Schedules!$A:$I,MATCH(Prediction!AI$6,Schedules!$A$1:$H$1,0),FALSE),0)</f>
        <v>0</v>
      </c>
      <c r="AJ101" s="24">
        <f>IF(AI101=0,0,SUMIFS(Output!$L:$L,Output!$A:$A,Prediction!$A101,Output!$C:$C,Prediction!AI$5))</f>
        <v>0</v>
      </c>
      <c r="AK101" s="24">
        <f t="shared" si="43"/>
        <v>0</v>
      </c>
      <c r="AL101" s="24">
        <f t="shared" si="34"/>
        <v>0</v>
      </c>
      <c r="AM101" s="30">
        <f>SUMIFS(Output!$L:$L,Output!$A:$A,Prediction!$A101,Output!$C:$C,Prediction!AI$5)</f>
        <v>0</v>
      </c>
      <c r="AN101">
        <f t="shared" si="35"/>
        <v>0</v>
      </c>
      <c r="AO101" s="3">
        <f t="shared" si="36"/>
        <v>0</v>
      </c>
      <c r="AP101" s="44"/>
      <c r="AQ101" s="3">
        <f t="shared" si="44"/>
        <v>0</v>
      </c>
      <c r="AR101" s="3">
        <f t="shared" si="37"/>
        <v>0</v>
      </c>
    </row>
    <row r="102" spans="1:44" x14ac:dyDescent="0.25">
      <c r="A102" s="9" t="str">
        <f t="array" ref="A102">IFERROR(INDEX(Output!A$1:A$2000,MATCH(0,COUNTIF(Prediction!$A$7:A101,Output!A$1:A$2000),0)),"")</f>
        <v/>
      </c>
      <c r="B102" t="str">
        <f>IFERROR(VLOOKUP($A102,Output!$A:$M,2,FALSE),"")</f>
        <v/>
      </c>
      <c r="C102" t="str">
        <f>IFERROR(VLOOKUP(B102,Departments!B:C,2,FALSE),"")</f>
        <v/>
      </c>
      <c r="D102" t="str">
        <f>IFERROR(VLOOKUP($A102,Output!$A:$M,13,FALSE),"")</f>
        <v/>
      </c>
      <c r="E102" s="29">
        <f>IFERROR(VLOOKUP($D102,Schedules!$A:$I,MATCH(Prediction!E$6,Schedules!$A$1:$H$1,0),FALSE),0)</f>
        <v>0</v>
      </c>
      <c r="F102" s="24">
        <f>IF(E102=0,0,SUMIFS(Output!$L:$L,Output!$A:$A,Prediction!$A102,Output!$C:$C,Prediction!E$5))</f>
        <v>0</v>
      </c>
      <c r="G102" s="24">
        <f t="shared" si="38"/>
        <v>0</v>
      </c>
      <c r="H102" s="45">
        <f t="shared" si="45"/>
        <v>0</v>
      </c>
      <c r="I102" s="30">
        <f>SUMIFS(Output!$L:$L,Output!$A:$A,Prediction!$A102,Output!$C:$C,Prediction!E$5)</f>
        <v>0</v>
      </c>
      <c r="J102" s="29">
        <f>IFERROR(VLOOKUP($D102,Schedules!$A:$I,MATCH(Prediction!J$6,Schedules!$A$1:$H$1,0),FALSE),0)</f>
        <v>0</v>
      </c>
      <c r="K102" s="24">
        <f>IF(J102=0,0,SUMIFS(Output!$L:$L,Output!$A:$A,Prediction!$A102,Output!$C:$C,Prediction!J$5))</f>
        <v>0</v>
      </c>
      <c r="L102" s="24">
        <f t="shared" si="39"/>
        <v>0</v>
      </c>
      <c r="M102" s="24">
        <f t="shared" si="28"/>
        <v>0</v>
      </c>
      <c r="N102" s="30">
        <f>SUMIFS(Output!$L:$L,Output!$A:$A,Prediction!$A102,Output!$C:$C,Prediction!J$5)</f>
        <v>0</v>
      </c>
      <c r="O102" s="29">
        <f>IFERROR(VLOOKUP($D102,Schedules!$A:$I,MATCH(Prediction!O$6,Schedules!$A$1:$H$1,0),FALSE),0)</f>
        <v>0</v>
      </c>
      <c r="P102" s="24">
        <f>IF(O102=0,0,SUMIFS(Output!$L:$L,Output!$A:$A,Prediction!$A102,Output!$C:$C,Prediction!O$5))</f>
        <v>0</v>
      </c>
      <c r="Q102" s="24">
        <f t="shared" si="40"/>
        <v>0</v>
      </c>
      <c r="R102" s="24">
        <f t="shared" si="29"/>
        <v>0</v>
      </c>
      <c r="S102" s="30">
        <f>SUMIFS(Output!$L:$L,Output!$A:$A,Prediction!$A102,Output!$C:$C,Prediction!O$5)</f>
        <v>0</v>
      </c>
      <c r="T102" s="29">
        <f>IFERROR(VLOOKUP($D102,Schedules!$A:$I,MATCH(Prediction!T$6,Schedules!$A$1:$H$1,0),FALSE),0)</f>
        <v>0</v>
      </c>
      <c r="U102" s="24">
        <f>IF(T102=0,0,SUMIFS(Output!$L:$L,Output!$A:$A,Prediction!$A102,Output!$C:$C,Prediction!T$5))</f>
        <v>0</v>
      </c>
      <c r="V102" s="24">
        <f t="shared" si="30"/>
        <v>0</v>
      </c>
      <c r="W102" s="24">
        <f t="shared" si="31"/>
        <v>0</v>
      </c>
      <c r="X102" s="30">
        <f>SUMIFS(Output!$L:$L,Output!$A:$A,Prediction!$A102,Output!$C:$C,Prediction!T$5)</f>
        <v>0</v>
      </c>
      <c r="Y102" s="25">
        <f>IFERROR(VLOOKUP($D102,Schedules!$A:$I,MATCH(Prediction!Y$6,Schedules!$A$1:$H$1,0),FALSE),0)</f>
        <v>0</v>
      </c>
      <c r="Z102" s="24">
        <f>IF(Y102=0,0,SUMIFS(Output!$L:$L,Output!$A:$A,Prediction!$A102,Output!$C:$C,Prediction!Y$5))</f>
        <v>0</v>
      </c>
      <c r="AA102" s="24">
        <f t="shared" si="41"/>
        <v>0</v>
      </c>
      <c r="AB102" s="24">
        <f t="shared" si="32"/>
        <v>0</v>
      </c>
      <c r="AC102" s="30">
        <f>SUMIFS(Output!$L:$L,Output!$A:$A,Prediction!$A102,Output!$C:$C,Prediction!Y$5)</f>
        <v>0</v>
      </c>
      <c r="AD102" s="29">
        <f>IFERROR(VLOOKUP($D102,Schedules!$A:$I,MATCH(Prediction!AD$6,Schedules!$A$1:$H$1,0),FALSE),0)</f>
        <v>0</v>
      </c>
      <c r="AE102" s="24">
        <f>IF(AD102=0,0,SUMIFS(Output!$L:$L,Output!$A:$A,Prediction!$A102,Output!$C:$C,Prediction!AD$5))</f>
        <v>0</v>
      </c>
      <c r="AF102" s="24">
        <f t="shared" si="42"/>
        <v>0</v>
      </c>
      <c r="AG102" s="24">
        <f t="shared" si="33"/>
        <v>0</v>
      </c>
      <c r="AH102" s="30">
        <f>SUMIFS(Output!$L:$L,Output!$A:$A,Prediction!$A102,Output!$C:$C,Prediction!AD$5)</f>
        <v>0</v>
      </c>
      <c r="AI102" s="29">
        <f>IFERROR(VLOOKUP($D102,Schedules!$A:$I,MATCH(Prediction!AI$6,Schedules!$A$1:$H$1,0),FALSE),0)</f>
        <v>0</v>
      </c>
      <c r="AJ102" s="24">
        <f>IF(AI102=0,0,SUMIFS(Output!$L:$L,Output!$A:$A,Prediction!$A102,Output!$C:$C,Prediction!AI$5))</f>
        <v>0</v>
      </c>
      <c r="AK102" s="24">
        <f t="shared" si="43"/>
        <v>0</v>
      </c>
      <c r="AL102" s="24">
        <f t="shared" si="34"/>
        <v>0</v>
      </c>
      <c r="AM102" s="30">
        <f>SUMIFS(Output!$L:$L,Output!$A:$A,Prediction!$A102,Output!$C:$C,Prediction!AI$5)</f>
        <v>0</v>
      </c>
      <c r="AN102">
        <f t="shared" si="35"/>
        <v>0</v>
      </c>
      <c r="AO102" s="3">
        <f t="shared" si="36"/>
        <v>0</v>
      </c>
      <c r="AP102" s="44"/>
      <c r="AQ102" s="3">
        <f t="shared" si="44"/>
        <v>0</v>
      </c>
      <c r="AR102" s="3">
        <f t="shared" si="37"/>
        <v>0</v>
      </c>
    </row>
    <row r="103" spans="1:44" x14ac:dyDescent="0.25">
      <c r="A103" s="9" t="str">
        <f t="array" ref="A103">IFERROR(INDEX(Output!A$1:A$2000,MATCH(0,COUNTIF(Prediction!$A$7:A102,Output!A$1:A$2000),0)),"")</f>
        <v/>
      </c>
      <c r="B103" t="str">
        <f>IFERROR(VLOOKUP($A103,Output!$A:$M,2,FALSE),"")</f>
        <v/>
      </c>
      <c r="C103" t="str">
        <f>IFERROR(VLOOKUP(B103,Departments!B:C,2,FALSE),"")</f>
        <v/>
      </c>
      <c r="D103" t="str">
        <f>IFERROR(VLOOKUP($A103,Output!$A:$M,13,FALSE),"")</f>
        <v/>
      </c>
      <c r="E103" s="29">
        <f>IFERROR(VLOOKUP($D103,Schedules!$A:$I,MATCH(Prediction!E$6,Schedules!$A$1:$H$1,0),FALSE),0)</f>
        <v>0</v>
      </c>
      <c r="F103" s="24">
        <f>IF(E103=0,0,SUMIFS(Output!$L:$L,Output!$A:$A,Prediction!$A103,Output!$C:$C,Prediction!E$5))</f>
        <v>0</v>
      </c>
      <c r="G103" s="24">
        <f t="shared" si="38"/>
        <v>0</v>
      </c>
      <c r="H103" s="45">
        <f t="shared" si="45"/>
        <v>0</v>
      </c>
      <c r="I103" s="30">
        <f>SUMIFS(Output!$L:$L,Output!$A:$A,Prediction!$A103,Output!$C:$C,Prediction!E$5)</f>
        <v>0</v>
      </c>
      <c r="J103" s="29">
        <f>IFERROR(VLOOKUP($D103,Schedules!$A:$I,MATCH(Prediction!J$6,Schedules!$A$1:$H$1,0),FALSE),0)</f>
        <v>0</v>
      </c>
      <c r="K103" s="24">
        <f>IF(J103=0,0,SUMIFS(Output!$L:$L,Output!$A:$A,Prediction!$A103,Output!$C:$C,Prediction!J$5))</f>
        <v>0</v>
      </c>
      <c r="L103" s="24">
        <f t="shared" si="39"/>
        <v>0</v>
      </c>
      <c r="M103" s="24">
        <f t="shared" si="28"/>
        <v>0</v>
      </c>
      <c r="N103" s="30">
        <f>SUMIFS(Output!$L:$L,Output!$A:$A,Prediction!$A103,Output!$C:$C,Prediction!J$5)</f>
        <v>0</v>
      </c>
      <c r="O103" s="29">
        <f>IFERROR(VLOOKUP($D103,Schedules!$A:$I,MATCH(Prediction!O$6,Schedules!$A$1:$H$1,0),FALSE),0)</f>
        <v>0</v>
      </c>
      <c r="P103" s="24">
        <f>IF(O103=0,0,SUMIFS(Output!$L:$L,Output!$A:$A,Prediction!$A103,Output!$C:$C,Prediction!O$5))</f>
        <v>0</v>
      </c>
      <c r="Q103" s="24">
        <f t="shared" si="40"/>
        <v>0</v>
      </c>
      <c r="R103" s="24">
        <f t="shared" si="29"/>
        <v>0</v>
      </c>
      <c r="S103" s="30">
        <f>SUMIFS(Output!$L:$L,Output!$A:$A,Prediction!$A103,Output!$C:$C,Prediction!O$5)</f>
        <v>0</v>
      </c>
      <c r="T103" s="29">
        <f>IFERROR(VLOOKUP($D103,Schedules!$A:$I,MATCH(Prediction!T$6,Schedules!$A$1:$H$1,0),FALSE),0)</f>
        <v>0</v>
      </c>
      <c r="U103" s="24">
        <f>IF(T103=0,0,SUMIFS(Output!$L:$L,Output!$A:$A,Prediction!$A103,Output!$C:$C,Prediction!T$5))</f>
        <v>0</v>
      </c>
      <c r="V103" s="24">
        <f t="shared" si="30"/>
        <v>0</v>
      </c>
      <c r="W103" s="24">
        <f t="shared" si="31"/>
        <v>0</v>
      </c>
      <c r="X103" s="30">
        <f>SUMIFS(Output!$L:$L,Output!$A:$A,Prediction!$A103,Output!$C:$C,Prediction!T$5)</f>
        <v>0</v>
      </c>
      <c r="Y103" s="25">
        <f>IFERROR(VLOOKUP($D103,Schedules!$A:$I,MATCH(Prediction!Y$6,Schedules!$A$1:$H$1,0),FALSE),0)</f>
        <v>0</v>
      </c>
      <c r="Z103" s="24">
        <f>IF(Y103=0,0,SUMIFS(Output!$L:$L,Output!$A:$A,Prediction!$A103,Output!$C:$C,Prediction!Y$5))</f>
        <v>0</v>
      </c>
      <c r="AA103" s="24">
        <f t="shared" si="41"/>
        <v>0</v>
      </c>
      <c r="AB103" s="24">
        <f t="shared" si="32"/>
        <v>0</v>
      </c>
      <c r="AC103" s="30">
        <f>SUMIFS(Output!$L:$L,Output!$A:$A,Prediction!$A103,Output!$C:$C,Prediction!Y$5)</f>
        <v>0</v>
      </c>
      <c r="AD103" s="29">
        <f>IFERROR(VLOOKUP($D103,Schedules!$A:$I,MATCH(Prediction!AD$6,Schedules!$A$1:$H$1,0),FALSE),0)</f>
        <v>0</v>
      </c>
      <c r="AE103" s="24">
        <f>IF(AD103=0,0,SUMIFS(Output!$L:$L,Output!$A:$A,Prediction!$A103,Output!$C:$C,Prediction!AD$5))</f>
        <v>0</v>
      </c>
      <c r="AF103" s="24">
        <f t="shared" si="42"/>
        <v>0</v>
      </c>
      <c r="AG103" s="24">
        <f t="shared" si="33"/>
        <v>0</v>
      </c>
      <c r="AH103" s="30">
        <f>SUMIFS(Output!$L:$L,Output!$A:$A,Prediction!$A103,Output!$C:$C,Prediction!AD$5)</f>
        <v>0</v>
      </c>
      <c r="AI103" s="29">
        <f>IFERROR(VLOOKUP($D103,Schedules!$A:$I,MATCH(Prediction!AI$6,Schedules!$A$1:$H$1,0),FALSE),0)</f>
        <v>0</v>
      </c>
      <c r="AJ103" s="24">
        <f>IF(AI103=0,0,SUMIFS(Output!$L:$L,Output!$A:$A,Prediction!$A103,Output!$C:$C,Prediction!AI$5))</f>
        <v>0</v>
      </c>
      <c r="AK103" s="24">
        <f t="shared" si="43"/>
        <v>0</v>
      </c>
      <c r="AL103" s="24">
        <f t="shared" si="34"/>
        <v>0</v>
      </c>
      <c r="AM103" s="30">
        <f>SUMIFS(Output!$L:$L,Output!$A:$A,Prediction!$A103,Output!$C:$C,Prediction!AI$5)</f>
        <v>0</v>
      </c>
      <c r="AN103">
        <f t="shared" si="35"/>
        <v>0</v>
      </c>
      <c r="AO103" s="3">
        <f t="shared" si="36"/>
        <v>0</v>
      </c>
      <c r="AP103" s="44"/>
      <c r="AQ103" s="3">
        <f t="shared" si="44"/>
        <v>0</v>
      </c>
      <c r="AR103" s="3">
        <f t="shared" si="37"/>
        <v>0</v>
      </c>
    </row>
    <row r="104" spans="1:44" x14ac:dyDescent="0.25">
      <c r="A104" s="9" t="str">
        <f t="array" ref="A104">IFERROR(INDEX(Output!A$1:A$2000,MATCH(0,COUNTIF(Prediction!$A$7:A103,Output!A$1:A$2000),0)),"")</f>
        <v/>
      </c>
      <c r="B104" t="str">
        <f>IFERROR(VLOOKUP($A104,Output!$A:$M,2,FALSE),"")</f>
        <v/>
      </c>
      <c r="C104" t="str">
        <f>IFERROR(VLOOKUP(B104,Departments!B:C,2,FALSE),"")</f>
        <v/>
      </c>
      <c r="D104" t="str">
        <f>IFERROR(VLOOKUP($A104,Output!$A:$M,13,FALSE),"")</f>
        <v/>
      </c>
      <c r="E104" s="29">
        <f>IFERROR(VLOOKUP($D104,Schedules!$A:$I,MATCH(Prediction!E$6,Schedules!$A$1:$H$1,0),FALSE),0)</f>
        <v>0</v>
      </c>
      <c r="F104" s="24">
        <f>IF(E104=0,0,SUMIFS(Output!$L:$L,Output!$A:$A,Prediction!$A104,Output!$C:$C,Prediction!E$5))</f>
        <v>0</v>
      </c>
      <c r="G104" s="24">
        <f t="shared" si="38"/>
        <v>0</v>
      </c>
      <c r="H104" s="45">
        <f t="shared" si="45"/>
        <v>0</v>
      </c>
      <c r="I104" s="30">
        <f>SUMIFS(Output!$L:$L,Output!$A:$A,Prediction!$A104,Output!$C:$C,Prediction!E$5)</f>
        <v>0</v>
      </c>
      <c r="J104" s="29">
        <f>IFERROR(VLOOKUP($D104,Schedules!$A:$I,MATCH(Prediction!J$6,Schedules!$A$1:$H$1,0),FALSE),0)</f>
        <v>0</v>
      </c>
      <c r="K104" s="24">
        <f>IF(J104=0,0,SUMIFS(Output!$L:$L,Output!$A:$A,Prediction!$A104,Output!$C:$C,Prediction!J$5))</f>
        <v>0</v>
      </c>
      <c r="L104" s="24">
        <f t="shared" si="39"/>
        <v>0</v>
      </c>
      <c r="M104" s="24">
        <f t="shared" ref="M104:M135" si="46">IF(AND($J$5&gt;$B$3,J104&gt;0),J104,0)</f>
        <v>0</v>
      </c>
      <c r="N104" s="30">
        <f>SUMIFS(Output!$L:$L,Output!$A:$A,Prediction!$A104,Output!$C:$C,Prediction!J$5)</f>
        <v>0</v>
      </c>
      <c r="O104" s="29">
        <f>IFERROR(VLOOKUP($D104,Schedules!$A:$I,MATCH(Prediction!O$6,Schedules!$A$1:$H$1,0),FALSE),0)</f>
        <v>0</v>
      </c>
      <c r="P104" s="24">
        <f>IF(O104=0,0,SUMIFS(Output!$L:$L,Output!$A:$A,Prediction!$A104,Output!$C:$C,Prediction!O$5))</f>
        <v>0</v>
      </c>
      <c r="Q104" s="24">
        <f t="shared" si="40"/>
        <v>0</v>
      </c>
      <c r="R104" s="24">
        <f t="shared" ref="R104:R135" si="47">IF(AND($O$5&gt;$B$3,O104&gt;0),O104,0)</f>
        <v>0</v>
      </c>
      <c r="S104" s="30">
        <f>SUMIFS(Output!$L:$L,Output!$A:$A,Prediction!$A104,Output!$C:$C,Prediction!O$5)</f>
        <v>0</v>
      </c>
      <c r="T104" s="29">
        <f>IFERROR(VLOOKUP($D104,Schedules!$A:$I,MATCH(Prediction!T$6,Schedules!$A$1:$H$1,0),FALSE),0)</f>
        <v>0</v>
      </c>
      <c r="U104" s="24">
        <f>IF(T104=0,0,SUMIFS(Output!$L:$L,Output!$A:$A,Prediction!$A104,Output!$C:$C,Prediction!T$5))</f>
        <v>0</v>
      </c>
      <c r="V104" s="24">
        <f t="shared" ref="V104:V135" si="48">IF(X104&gt;T104, X104-T104, 0)</f>
        <v>0</v>
      </c>
      <c r="W104" s="24">
        <f t="shared" ref="W104:W135" si="49">IF(AND($T$5&gt;$B$3,T104&gt;0),T104,0)</f>
        <v>0</v>
      </c>
      <c r="X104" s="30">
        <f>SUMIFS(Output!$L:$L,Output!$A:$A,Prediction!$A104,Output!$C:$C,Prediction!T$5)</f>
        <v>0</v>
      </c>
      <c r="Y104" s="25">
        <f>IFERROR(VLOOKUP($D104,Schedules!$A:$I,MATCH(Prediction!Y$6,Schedules!$A$1:$H$1,0),FALSE),0)</f>
        <v>0</v>
      </c>
      <c r="Z104" s="24">
        <f>IF(Y104=0,0,SUMIFS(Output!$L:$L,Output!$A:$A,Prediction!$A104,Output!$C:$C,Prediction!Y$5))</f>
        <v>0</v>
      </c>
      <c r="AA104" s="24">
        <f t="shared" si="41"/>
        <v>0</v>
      </c>
      <c r="AB104" s="24">
        <f t="shared" ref="AB104:AB135" si="50">IF(AND($Y$5&gt;$B$3,Y104&gt;0),Y104,0)</f>
        <v>0</v>
      </c>
      <c r="AC104" s="30">
        <f>SUMIFS(Output!$L:$L,Output!$A:$A,Prediction!$A104,Output!$C:$C,Prediction!Y$5)</f>
        <v>0</v>
      </c>
      <c r="AD104" s="29">
        <f>IFERROR(VLOOKUP($D104,Schedules!$A:$I,MATCH(Prediction!AD$6,Schedules!$A$1:$H$1,0),FALSE),0)</f>
        <v>0</v>
      </c>
      <c r="AE104" s="24">
        <f>IF(AD104=0,0,SUMIFS(Output!$L:$L,Output!$A:$A,Prediction!$A104,Output!$C:$C,Prediction!AD$5))</f>
        <v>0</v>
      </c>
      <c r="AF104" s="24">
        <f t="shared" si="42"/>
        <v>0</v>
      </c>
      <c r="AG104" s="24">
        <f t="shared" ref="AG104:AG135" si="51">IF(AND($AD$5&gt;$B$3,AD104&gt;0),AD104,0)</f>
        <v>0</v>
      </c>
      <c r="AH104" s="30">
        <f>SUMIFS(Output!$L:$L,Output!$A:$A,Prediction!$A104,Output!$C:$C,Prediction!AD$5)</f>
        <v>0</v>
      </c>
      <c r="AI104" s="29">
        <f>IFERROR(VLOOKUP($D104,Schedules!$A:$I,MATCH(Prediction!AI$6,Schedules!$A$1:$H$1,0),FALSE),0)</f>
        <v>0</v>
      </c>
      <c r="AJ104" s="24">
        <f>IF(AI104=0,0,SUMIFS(Output!$L:$L,Output!$A:$A,Prediction!$A104,Output!$C:$C,Prediction!AI$5))</f>
        <v>0</v>
      </c>
      <c r="AK104" s="24">
        <f t="shared" si="43"/>
        <v>0</v>
      </c>
      <c r="AL104" s="24">
        <f t="shared" ref="AL104:AL135" si="52">IF(AND($AI$5&gt;$B$3,AI104&gt;0),AI104,0)</f>
        <v>0</v>
      </c>
      <c r="AM104" s="30">
        <f>SUMIFS(Output!$L:$L,Output!$A:$A,Prediction!$A104,Output!$C:$C,Prediction!AI$5)</f>
        <v>0</v>
      </c>
      <c r="AN104">
        <f t="shared" ref="AN104:AN135" si="53">IFERROR(E104+J104+O104+T104+Y104+AD104+AI104,"")</f>
        <v>0</v>
      </c>
      <c r="AO104" s="3">
        <f t="shared" ref="AO104:AO135" si="54">SUM(I104,N104,S104,X104,AC104,AH104,AM104)</f>
        <v>0</v>
      </c>
      <c r="AP104" s="44"/>
      <c r="AQ104" s="3">
        <f t="shared" si="44"/>
        <v>0</v>
      </c>
      <c r="AR104" s="3">
        <f t="shared" ref="AR104:AR135" si="55">IF(AQ104-AN104&lt;0,0,AQ104-AN104)</f>
        <v>0</v>
      </c>
    </row>
    <row r="105" spans="1:44" x14ac:dyDescent="0.25">
      <c r="A105" s="9" t="str">
        <f t="array" ref="A105">IFERROR(INDEX(Output!A$1:A$2000,MATCH(0,COUNTIF(Prediction!$A$7:A104,Output!A$1:A$2000),0)),"")</f>
        <v/>
      </c>
      <c r="B105" t="str">
        <f>IFERROR(VLOOKUP($A105,Output!$A:$M,2,FALSE),"")</f>
        <v/>
      </c>
      <c r="C105" t="str">
        <f>IFERROR(VLOOKUP(B105,Departments!B:C,2,FALSE),"")</f>
        <v/>
      </c>
      <c r="D105" t="str">
        <f>IFERROR(VLOOKUP($A105,Output!$A:$M,13,FALSE),"")</f>
        <v/>
      </c>
      <c r="E105" s="29">
        <f>IFERROR(VLOOKUP($D105,Schedules!$A:$I,MATCH(Prediction!E$6,Schedules!$A$1:$H$1,0),FALSE),0)</f>
        <v>0</v>
      </c>
      <c r="F105" s="24">
        <f>IF(E105=0,0,SUMIFS(Output!$L:$L,Output!$A:$A,Prediction!$A105,Output!$C:$C,Prediction!E$5))</f>
        <v>0</v>
      </c>
      <c r="G105" s="24">
        <f t="shared" si="38"/>
        <v>0</v>
      </c>
      <c r="H105" s="45">
        <f t="shared" si="45"/>
        <v>0</v>
      </c>
      <c r="I105" s="30">
        <f>SUMIFS(Output!$L:$L,Output!$A:$A,Prediction!$A105,Output!$C:$C,Prediction!E$5)</f>
        <v>0</v>
      </c>
      <c r="J105" s="29">
        <f>IFERROR(VLOOKUP($D105,Schedules!$A:$I,MATCH(Prediction!J$6,Schedules!$A$1:$H$1,0),FALSE),0)</f>
        <v>0</v>
      </c>
      <c r="K105" s="24">
        <f>IF(J105=0,0,SUMIFS(Output!$L:$L,Output!$A:$A,Prediction!$A105,Output!$C:$C,Prediction!J$5))</f>
        <v>0</v>
      </c>
      <c r="L105" s="24">
        <f t="shared" si="39"/>
        <v>0</v>
      </c>
      <c r="M105" s="24">
        <f t="shared" si="46"/>
        <v>0</v>
      </c>
      <c r="N105" s="30">
        <f>SUMIFS(Output!$L:$L,Output!$A:$A,Prediction!$A105,Output!$C:$C,Prediction!J$5)</f>
        <v>0</v>
      </c>
      <c r="O105" s="29">
        <f>IFERROR(VLOOKUP($D105,Schedules!$A:$I,MATCH(Prediction!O$6,Schedules!$A$1:$H$1,0),FALSE),0)</f>
        <v>0</v>
      </c>
      <c r="P105" s="24">
        <f>IF(O105=0,0,SUMIFS(Output!$L:$L,Output!$A:$A,Prediction!$A105,Output!$C:$C,Prediction!O$5))</f>
        <v>0</v>
      </c>
      <c r="Q105" s="24">
        <f t="shared" si="40"/>
        <v>0</v>
      </c>
      <c r="R105" s="24">
        <f t="shared" si="47"/>
        <v>0</v>
      </c>
      <c r="S105" s="30">
        <f>SUMIFS(Output!$L:$L,Output!$A:$A,Prediction!$A105,Output!$C:$C,Prediction!O$5)</f>
        <v>0</v>
      </c>
      <c r="T105" s="29">
        <f>IFERROR(VLOOKUP($D105,Schedules!$A:$I,MATCH(Prediction!T$6,Schedules!$A$1:$H$1,0),FALSE),0)</f>
        <v>0</v>
      </c>
      <c r="U105" s="24">
        <f>IF(T105=0,0,SUMIFS(Output!$L:$L,Output!$A:$A,Prediction!$A105,Output!$C:$C,Prediction!T$5))</f>
        <v>0</v>
      </c>
      <c r="V105" s="24">
        <f t="shared" si="48"/>
        <v>0</v>
      </c>
      <c r="W105" s="24">
        <f t="shared" si="49"/>
        <v>0</v>
      </c>
      <c r="X105" s="30">
        <f>SUMIFS(Output!$L:$L,Output!$A:$A,Prediction!$A105,Output!$C:$C,Prediction!T$5)</f>
        <v>0</v>
      </c>
      <c r="Y105" s="25">
        <f>IFERROR(VLOOKUP($D105,Schedules!$A:$I,MATCH(Prediction!Y$6,Schedules!$A$1:$H$1,0),FALSE),0)</f>
        <v>0</v>
      </c>
      <c r="Z105" s="24">
        <f>IF(Y105=0,0,SUMIFS(Output!$L:$L,Output!$A:$A,Prediction!$A105,Output!$C:$C,Prediction!Y$5))</f>
        <v>0</v>
      </c>
      <c r="AA105" s="24">
        <f t="shared" si="41"/>
        <v>0</v>
      </c>
      <c r="AB105" s="24">
        <f t="shared" si="50"/>
        <v>0</v>
      </c>
      <c r="AC105" s="30">
        <f>SUMIFS(Output!$L:$L,Output!$A:$A,Prediction!$A105,Output!$C:$C,Prediction!Y$5)</f>
        <v>0</v>
      </c>
      <c r="AD105" s="29">
        <f>IFERROR(VLOOKUP($D105,Schedules!$A:$I,MATCH(Prediction!AD$6,Schedules!$A$1:$H$1,0),FALSE),0)</f>
        <v>0</v>
      </c>
      <c r="AE105" s="24">
        <f>IF(AD105=0,0,SUMIFS(Output!$L:$L,Output!$A:$A,Prediction!$A105,Output!$C:$C,Prediction!AD$5))</f>
        <v>0</v>
      </c>
      <c r="AF105" s="24">
        <f t="shared" si="42"/>
        <v>0</v>
      </c>
      <c r="AG105" s="24">
        <f t="shared" si="51"/>
        <v>0</v>
      </c>
      <c r="AH105" s="30">
        <f>SUMIFS(Output!$L:$L,Output!$A:$A,Prediction!$A105,Output!$C:$C,Prediction!AD$5)</f>
        <v>0</v>
      </c>
      <c r="AI105" s="29">
        <f>IFERROR(VLOOKUP($D105,Schedules!$A:$I,MATCH(Prediction!AI$6,Schedules!$A$1:$H$1,0),FALSE),0)</f>
        <v>0</v>
      </c>
      <c r="AJ105" s="24">
        <f>IF(AI105=0,0,SUMIFS(Output!$L:$L,Output!$A:$A,Prediction!$A105,Output!$C:$C,Prediction!AI$5))</f>
        <v>0</v>
      </c>
      <c r="AK105" s="24">
        <f t="shared" si="43"/>
        <v>0</v>
      </c>
      <c r="AL105" s="24">
        <f t="shared" si="52"/>
        <v>0</v>
      </c>
      <c r="AM105" s="30">
        <f>SUMIFS(Output!$L:$L,Output!$A:$A,Prediction!$A105,Output!$C:$C,Prediction!AI$5)</f>
        <v>0</v>
      </c>
      <c r="AN105">
        <f t="shared" si="53"/>
        <v>0</v>
      </c>
      <c r="AO105" s="3">
        <f t="shared" si="54"/>
        <v>0</v>
      </c>
      <c r="AP105" s="44"/>
      <c r="AQ105" s="3">
        <f t="shared" si="44"/>
        <v>0</v>
      </c>
      <c r="AR105" s="3">
        <f t="shared" si="55"/>
        <v>0</v>
      </c>
    </row>
    <row r="106" spans="1:44" x14ac:dyDescent="0.25">
      <c r="A106" s="9" t="str">
        <f t="array" ref="A106">IFERROR(INDEX(Output!A$1:A$2000,MATCH(0,COUNTIF(Prediction!$A$7:A105,Output!A$1:A$2000),0)),"")</f>
        <v/>
      </c>
      <c r="B106" t="str">
        <f>IFERROR(VLOOKUP($A106,Output!$A:$M,2,FALSE),"")</f>
        <v/>
      </c>
      <c r="C106" t="str">
        <f>IFERROR(VLOOKUP(B106,Departments!B:C,2,FALSE),"")</f>
        <v/>
      </c>
      <c r="D106" t="str">
        <f>IFERROR(VLOOKUP($A106,Output!$A:$M,13,FALSE),"")</f>
        <v/>
      </c>
      <c r="E106" s="29">
        <f>IFERROR(VLOOKUP($D106,Schedules!$A:$I,MATCH(Prediction!E$6,Schedules!$A$1:$H$1,0),FALSE),0)</f>
        <v>0</v>
      </c>
      <c r="F106" s="24">
        <f>IF(E106=0,0,SUMIFS(Output!$L:$L,Output!$A:$A,Prediction!$A106,Output!$C:$C,Prediction!E$5))</f>
        <v>0</v>
      </c>
      <c r="G106" s="24">
        <f t="shared" si="38"/>
        <v>0</v>
      </c>
      <c r="H106" s="45">
        <f t="shared" si="45"/>
        <v>0</v>
      </c>
      <c r="I106" s="30">
        <f>SUMIFS(Output!$L:$L,Output!$A:$A,Prediction!$A106,Output!$C:$C,Prediction!E$5)</f>
        <v>0</v>
      </c>
      <c r="J106" s="29">
        <f>IFERROR(VLOOKUP($D106,Schedules!$A:$I,MATCH(Prediction!J$6,Schedules!$A$1:$H$1,0),FALSE),0)</f>
        <v>0</v>
      </c>
      <c r="K106" s="24">
        <f>IF(J106=0,0,SUMIFS(Output!$L:$L,Output!$A:$A,Prediction!$A106,Output!$C:$C,Prediction!J$5))</f>
        <v>0</v>
      </c>
      <c r="L106" s="24">
        <f t="shared" si="39"/>
        <v>0</v>
      </c>
      <c r="M106" s="24">
        <f t="shared" si="46"/>
        <v>0</v>
      </c>
      <c r="N106" s="30">
        <f>SUMIFS(Output!$L:$L,Output!$A:$A,Prediction!$A106,Output!$C:$C,Prediction!J$5)</f>
        <v>0</v>
      </c>
      <c r="O106" s="29">
        <f>IFERROR(VLOOKUP($D106,Schedules!$A:$I,MATCH(Prediction!O$6,Schedules!$A$1:$H$1,0),FALSE),0)</f>
        <v>0</v>
      </c>
      <c r="P106" s="24">
        <f>IF(O106=0,0,SUMIFS(Output!$L:$L,Output!$A:$A,Prediction!$A106,Output!$C:$C,Prediction!O$5))</f>
        <v>0</v>
      </c>
      <c r="Q106" s="24">
        <f t="shared" si="40"/>
        <v>0</v>
      </c>
      <c r="R106" s="24">
        <f t="shared" si="47"/>
        <v>0</v>
      </c>
      <c r="S106" s="30">
        <f>SUMIFS(Output!$L:$L,Output!$A:$A,Prediction!$A106,Output!$C:$C,Prediction!O$5)</f>
        <v>0</v>
      </c>
      <c r="T106" s="29">
        <f>IFERROR(VLOOKUP($D106,Schedules!$A:$I,MATCH(Prediction!T$6,Schedules!$A$1:$H$1,0),FALSE),0)</f>
        <v>0</v>
      </c>
      <c r="U106" s="24">
        <f>IF(T106=0,0,SUMIFS(Output!$L:$L,Output!$A:$A,Prediction!$A106,Output!$C:$C,Prediction!T$5))</f>
        <v>0</v>
      </c>
      <c r="V106" s="24">
        <f t="shared" si="48"/>
        <v>0</v>
      </c>
      <c r="W106" s="24">
        <f t="shared" si="49"/>
        <v>0</v>
      </c>
      <c r="X106" s="30">
        <f>SUMIFS(Output!$L:$L,Output!$A:$A,Prediction!$A106,Output!$C:$C,Prediction!T$5)</f>
        <v>0</v>
      </c>
      <c r="Y106" s="25">
        <f>IFERROR(VLOOKUP($D106,Schedules!$A:$I,MATCH(Prediction!Y$6,Schedules!$A$1:$H$1,0),FALSE),0)</f>
        <v>0</v>
      </c>
      <c r="Z106" s="24">
        <f>IF(Y106=0,0,SUMIFS(Output!$L:$L,Output!$A:$A,Prediction!$A106,Output!$C:$C,Prediction!Y$5))</f>
        <v>0</v>
      </c>
      <c r="AA106" s="24">
        <f t="shared" si="41"/>
        <v>0</v>
      </c>
      <c r="AB106" s="24">
        <f t="shared" si="50"/>
        <v>0</v>
      </c>
      <c r="AC106" s="30">
        <f>SUMIFS(Output!$L:$L,Output!$A:$A,Prediction!$A106,Output!$C:$C,Prediction!Y$5)</f>
        <v>0</v>
      </c>
      <c r="AD106" s="29">
        <f>IFERROR(VLOOKUP($D106,Schedules!$A:$I,MATCH(Prediction!AD$6,Schedules!$A$1:$H$1,0),FALSE),0)</f>
        <v>0</v>
      </c>
      <c r="AE106" s="24">
        <f>IF(AD106=0,0,SUMIFS(Output!$L:$L,Output!$A:$A,Prediction!$A106,Output!$C:$C,Prediction!AD$5))</f>
        <v>0</v>
      </c>
      <c r="AF106" s="24">
        <f t="shared" si="42"/>
        <v>0</v>
      </c>
      <c r="AG106" s="24">
        <f t="shared" si="51"/>
        <v>0</v>
      </c>
      <c r="AH106" s="30">
        <f>SUMIFS(Output!$L:$L,Output!$A:$A,Prediction!$A106,Output!$C:$C,Prediction!AD$5)</f>
        <v>0</v>
      </c>
      <c r="AI106" s="29">
        <f>IFERROR(VLOOKUP($D106,Schedules!$A:$I,MATCH(Prediction!AI$6,Schedules!$A$1:$H$1,0),FALSE),0)</f>
        <v>0</v>
      </c>
      <c r="AJ106" s="24">
        <f>IF(AI106=0,0,SUMIFS(Output!$L:$L,Output!$A:$A,Prediction!$A106,Output!$C:$C,Prediction!AI$5))</f>
        <v>0</v>
      </c>
      <c r="AK106" s="24">
        <f t="shared" si="43"/>
        <v>0</v>
      </c>
      <c r="AL106" s="24">
        <f t="shared" si="52"/>
        <v>0</v>
      </c>
      <c r="AM106" s="30">
        <f>SUMIFS(Output!$L:$L,Output!$A:$A,Prediction!$A106,Output!$C:$C,Prediction!AI$5)</f>
        <v>0</v>
      </c>
      <c r="AN106">
        <f t="shared" si="53"/>
        <v>0</v>
      </c>
      <c r="AO106" s="3">
        <f t="shared" si="54"/>
        <v>0</v>
      </c>
      <c r="AP106" s="44"/>
      <c r="AQ106" s="3">
        <f t="shared" si="44"/>
        <v>0</v>
      </c>
      <c r="AR106" s="3">
        <f t="shared" si="55"/>
        <v>0</v>
      </c>
    </row>
    <row r="107" spans="1:44" x14ac:dyDescent="0.25">
      <c r="A107" s="9" t="str">
        <f t="array" ref="A107">IFERROR(INDEX(Output!A$1:A$2000,MATCH(0,COUNTIF(Prediction!$A$7:A106,Output!A$1:A$2000),0)),"")</f>
        <v/>
      </c>
      <c r="B107" t="str">
        <f>IFERROR(VLOOKUP($A107,Output!$A:$M,2,FALSE),"")</f>
        <v/>
      </c>
      <c r="C107" t="str">
        <f>IFERROR(VLOOKUP(B107,Departments!B:C,2,FALSE),"")</f>
        <v/>
      </c>
      <c r="D107" t="str">
        <f>IFERROR(VLOOKUP($A107,Output!$A:$M,13,FALSE),"")</f>
        <v/>
      </c>
      <c r="E107" s="29">
        <f>IFERROR(VLOOKUP($D107,Schedules!$A:$I,MATCH(Prediction!E$6,Schedules!$A$1:$H$1,0),FALSE),0)</f>
        <v>0</v>
      </c>
      <c r="F107" s="24">
        <f>IF(E107=0,0,SUMIFS(Output!$L:$L,Output!$A:$A,Prediction!$A107,Output!$C:$C,Prediction!E$5))</f>
        <v>0</v>
      </c>
      <c r="G107" s="24">
        <f t="shared" si="38"/>
        <v>0</v>
      </c>
      <c r="H107" s="45">
        <f t="shared" si="45"/>
        <v>0</v>
      </c>
      <c r="I107" s="30">
        <f>SUMIFS(Output!$L:$L,Output!$A:$A,Prediction!$A107,Output!$C:$C,Prediction!E$5)</f>
        <v>0</v>
      </c>
      <c r="J107" s="29">
        <f>IFERROR(VLOOKUP($D107,Schedules!$A:$I,MATCH(Prediction!J$6,Schedules!$A$1:$H$1,0),FALSE),0)</f>
        <v>0</v>
      </c>
      <c r="K107" s="24">
        <f>IF(J107=0,0,SUMIFS(Output!$L:$L,Output!$A:$A,Prediction!$A107,Output!$C:$C,Prediction!J$5))</f>
        <v>0</v>
      </c>
      <c r="L107" s="24">
        <f t="shared" si="39"/>
        <v>0</v>
      </c>
      <c r="M107" s="24">
        <f t="shared" si="46"/>
        <v>0</v>
      </c>
      <c r="N107" s="30">
        <f>SUMIFS(Output!$L:$L,Output!$A:$A,Prediction!$A107,Output!$C:$C,Prediction!J$5)</f>
        <v>0</v>
      </c>
      <c r="O107" s="29">
        <f>IFERROR(VLOOKUP($D107,Schedules!$A:$I,MATCH(Prediction!O$6,Schedules!$A$1:$H$1,0),FALSE),0)</f>
        <v>0</v>
      </c>
      <c r="P107" s="24">
        <f>IF(O107=0,0,SUMIFS(Output!$L:$L,Output!$A:$A,Prediction!$A107,Output!$C:$C,Prediction!O$5))</f>
        <v>0</v>
      </c>
      <c r="Q107" s="24">
        <f t="shared" si="40"/>
        <v>0</v>
      </c>
      <c r="R107" s="24">
        <f t="shared" si="47"/>
        <v>0</v>
      </c>
      <c r="S107" s="30">
        <f>SUMIFS(Output!$L:$L,Output!$A:$A,Prediction!$A107,Output!$C:$C,Prediction!O$5)</f>
        <v>0</v>
      </c>
      <c r="T107" s="29">
        <f>IFERROR(VLOOKUP($D107,Schedules!$A:$I,MATCH(Prediction!T$6,Schedules!$A$1:$H$1,0),FALSE),0)</f>
        <v>0</v>
      </c>
      <c r="U107" s="24">
        <f>IF(T107=0,0,SUMIFS(Output!$L:$L,Output!$A:$A,Prediction!$A107,Output!$C:$C,Prediction!T$5))</f>
        <v>0</v>
      </c>
      <c r="V107" s="24">
        <f t="shared" si="48"/>
        <v>0</v>
      </c>
      <c r="W107" s="24">
        <f t="shared" si="49"/>
        <v>0</v>
      </c>
      <c r="X107" s="30">
        <f>SUMIFS(Output!$L:$L,Output!$A:$A,Prediction!$A107,Output!$C:$C,Prediction!T$5)</f>
        <v>0</v>
      </c>
      <c r="Y107" s="25">
        <f>IFERROR(VLOOKUP($D107,Schedules!$A:$I,MATCH(Prediction!Y$6,Schedules!$A$1:$H$1,0),FALSE),0)</f>
        <v>0</v>
      </c>
      <c r="Z107" s="24">
        <f>IF(Y107=0,0,SUMIFS(Output!$L:$L,Output!$A:$A,Prediction!$A107,Output!$C:$C,Prediction!Y$5))</f>
        <v>0</v>
      </c>
      <c r="AA107" s="24">
        <f t="shared" si="41"/>
        <v>0</v>
      </c>
      <c r="AB107" s="24">
        <f t="shared" si="50"/>
        <v>0</v>
      </c>
      <c r="AC107" s="30">
        <f>SUMIFS(Output!$L:$L,Output!$A:$A,Prediction!$A107,Output!$C:$C,Prediction!Y$5)</f>
        <v>0</v>
      </c>
      <c r="AD107" s="29">
        <f>IFERROR(VLOOKUP($D107,Schedules!$A:$I,MATCH(Prediction!AD$6,Schedules!$A$1:$H$1,0),FALSE),0)</f>
        <v>0</v>
      </c>
      <c r="AE107" s="24">
        <f>IF(AD107=0,0,SUMIFS(Output!$L:$L,Output!$A:$A,Prediction!$A107,Output!$C:$C,Prediction!AD$5))</f>
        <v>0</v>
      </c>
      <c r="AF107" s="24">
        <f t="shared" si="42"/>
        <v>0</v>
      </c>
      <c r="AG107" s="24">
        <f t="shared" si="51"/>
        <v>0</v>
      </c>
      <c r="AH107" s="30">
        <f>SUMIFS(Output!$L:$L,Output!$A:$A,Prediction!$A107,Output!$C:$C,Prediction!AD$5)</f>
        <v>0</v>
      </c>
      <c r="AI107" s="29">
        <f>IFERROR(VLOOKUP($D107,Schedules!$A:$I,MATCH(Prediction!AI$6,Schedules!$A$1:$H$1,0),FALSE),0)</f>
        <v>0</v>
      </c>
      <c r="AJ107" s="24">
        <f>IF(AI107=0,0,SUMIFS(Output!$L:$L,Output!$A:$A,Prediction!$A107,Output!$C:$C,Prediction!AI$5))</f>
        <v>0</v>
      </c>
      <c r="AK107" s="24">
        <f t="shared" si="43"/>
        <v>0</v>
      </c>
      <c r="AL107" s="24">
        <f t="shared" si="52"/>
        <v>0</v>
      </c>
      <c r="AM107" s="30">
        <f>SUMIFS(Output!$L:$L,Output!$A:$A,Prediction!$A107,Output!$C:$C,Prediction!AI$5)</f>
        <v>0</v>
      </c>
      <c r="AN107">
        <f t="shared" si="53"/>
        <v>0</v>
      </c>
      <c r="AO107" s="3">
        <f t="shared" si="54"/>
        <v>0</v>
      </c>
      <c r="AP107" s="44"/>
      <c r="AQ107" s="3">
        <f t="shared" si="44"/>
        <v>0</v>
      </c>
      <c r="AR107" s="3">
        <f t="shared" si="55"/>
        <v>0</v>
      </c>
    </row>
    <row r="108" spans="1:44" x14ac:dyDescent="0.25">
      <c r="A108" s="9" t="str">
        <f t="array" ref="A108">IFERROR(INDEX(Output!A$1:A$2000,MATCH(0,COUNTIF(Prediction!$A$7:A107,Output!A$1:A$2000),0)),"")</f>
        <v/>
      </c>
      <c r="B108" t="str">
        <f>IFERROR(VLOOKUP($A108,Output!$A:$M,2,FALSE),"")</f>
        <v/>
      </c>
      <c r="C108" t="str">
        <f>IFERROR(VLOOKUP(B108,Departments!B:C,2,FALSE),"")</f>
        <v/>
      </c>
      <c r="D108" t="str">
        <f>IFERROR(VLOOKUP($A108,Output!$A:$M,13,FALSE),"")</f>
        <v/>
      </c>
      <c r="E108" s="29">
        <f>IFERROR(VLOOKUP($D108,Schedules!$A:$I,MATCH(Prediction!E$6,Schedules!$A$1:$H$1,0),FALSE),0)</f>
        <v>0</v>
      </c>
      <c r="F108" s="24">
        <f>IF(E108=0,0,SUMIFS(Output!$L:$L,Output!$A:$A,Prediction!$A108,Output!$C:$C,Prediction!E$5))</f>
        <v>0</v>
      </c>
      <c r="G108" s="24">
        <f t="shared" si="38"/>
        <v>0</v>
      </c>
      <c r="H108" s="45">
        <f t="shared" si="45"/>
        <v>0</v>
      </c>
      <c r="I108" s="30">
        <f>SUMIFS(Output!$L:$L,Output!$A:$A,Prediction!$A108,Output!$C:$C,Prediction!E$5)</f>
        <v>0</v>
      </c>
      <c r="J108" s="29">
        <f>IFERROR(VLOOKUP($D108,Schedules!$A:$I,MATCH(Prediction!J$6,Schedules!$A$1:$H$1,0),FALSE),0)</f>
        <v>0</v>
      </c>
      <c r="K108" s="24">
        <f>IF(J108=0,0,SUMIFS(Output!$L:$L,Output!$A:$A,Prediction!$A108,Output!$C:$C,Prediction!J$5))</f>
        <v>0</v>
      </c>
      <c r="L108" s="24">
        <f t="shared" si="39"/>
        <v>0</v>
      </c>
      <c r="M108" s="24">
        <f t="shared" si="46"/>
        <v>0</v>
      </c>
      <c r="N108" s="30">
        <f>SUMIFS(Output!$L:$L,Output!$A:$A,Prediction!$A108,Output!$C:$C,Prediction!J$5)</f>
        <v>0</v>
      </c>
      <c r="O108" s="29">
        <f>IFERROR(VLOOKUP($D108,Schedules!$A:$I,MATCH(Prediction!O$6,Schedules!$A$1:$H$1,0),FALSE),0)</f>
        <v>0</v>
      </c>
      <c r="P108" s="24">
        <f>IF(O108=0,0,SUMIFS(Output!$L:$L,Output!$A:$A,Prediction!$A108,Output!$C:$C,Prediction!O$5))</f>
        <v>0</v>
      </c>
      <c r="Q108" s="24">
        <f t="shared" si="40"/>
        <v>0</v>
      </c>
      <c r="R108" s="24">
        <f t="shared" si="47"/>
        <v>0</v>
      </c>
      <c r="S108" s="30">
        <f>SUMIFS(Output!$L:$L,Output!$A:$A,Prediction!$A108,Output!$C:$C,Prediction!O$5)</f>
        <v>0</v>
      </c>
      <c r="T108" s="29">
        <f>IFERROR(VLOOKUP($D108,Schedules!$A:$I,MATCH(Prediction!T$6,Schedules!$A$1:$H$1,0),FALSE),0)</f>
        <v>0</v>
      </c>
      <c r="U108" s="24">
        <f>IF(T108=0,0,SUMIFS(Output!$L:$L,Output!$A:$A,Prediction!$A108,Output!$C:$C,Prediction!T$5))</f>
        <v>0</v>
      </c>
      <c r="V108" s="24">
        <f t="shared" si="48"/>
        <v>0</v>
      </c>
      <c r="W108" s="24">
        <f t="shared" si="49"/>
        <v>0</v>
      </c>
      <c r="X108" s="30">
        <f>SUMIFS(Output!$L:$L,Output!$A:$A,Prediction!$A108,Output!$C:$C,Prediction!T$5)</f>
        <v>0</v>
      </c>
      <c r="Y108" s="25">
        <f>IFERROR(VLOOKUP($D108,Schedules!$A:$I,MATCH(Prediction!Y$6,Schedules!$A$1:$H$1,0),FALSE),0)</f>
        <v>0</v>
      </c>
      <c r="Z108" s="24">
        <f>IF(Y108=0,0,SUMIFS(Output!$L:$L,Output!$A:$A,Prediction!$A108,Output!$C:$C,Prediction!Y$5))</f>
        <v>0</v>
      </c>
      <c r="AA108" s="24">
        <f t="shared" si="41"/>
        <v>0</v>
      </c>
      <c r="AB108" s="24">
        <f t="shared" si="50"/>
        <v>0</v>
      </c>
      <c r="AC108" s="30">
        <f>SUMIFS(Output!$L:$L,Output!$A:$A,Prediction!$A108,Output!$C:$C,Prediction!Y$5)</f>
        <v>0</v>
      </c>
      <c r="AD108" s="29">
        <f>IFERROR(VLOOKUP($D108,Schedules!$A:$I,MATCH(Prediction!AD$6,Schedules!$A$1:$H$1,0),FALSE),0)</f>
        <v>0</v>
      </c>
      <c r="AE108" s="24">
        <f>IF(AD108=0,0,SUMIFS(Output!$L:$L,Output!$A:$A,Prediction!$A108,Output!$C:$C,Prediction!AD$5))</f>
        <v>0</v>
      </c>
      <c r="AF108" s="24">
        <f t="shared" si="42"/>
        <v>0</v>
      </c>
      <c r="AG108" s="24">
        <f t="shared" si="51"/>
        <v>0</v>
      </c>
      <c r="AH108" s="30">
        <f>SUMIFS(Output!$L:$L,Output!$A:$A,Prediction!$A108,Output!$C:$C,Prediction!AD$5)</f>
        <v>0</v>
      </c>
      <c r="AI108" s="29">
        <f>IFERROR(VLOOKUP($D108,Schedules!$A:$I,MATCH(Prediction!AI$6,Schedules!$A$1:$H$1,0),FALSE),0)</f>
        <v>0</v>
      </c>
      <c r="AJ108" s="24">
        <f>IF(AI108=0,0,SUMIFS(Output!$L:$L,Output!$A:$A,Prediction!$A108,Output!$C:$C,Prediction!AI$5))</f>
        <v>0</v>
      </c>
      <c r="AK108" s="24">
        <f t="shared" si="43"/>
        <v>0</v>
      </c>
      <c r="AL108" s="24">
        <f t="shared" si="52"/>
        <v>0</v>
      </c>
      <c r="AM108" s="30">
        <f>SUMIFS(Output!$L:$L,Output!$A:$A,Prediction!$A108,Output!$C:$C,Prediction!AI$5)</f>
        <v>0</v>
      </c>
      <c r="AN108">
        <f t="shared" si="53"/>
        <v>0</v>
      </c>
      <c r="AO108" s="3">
        <f t="shared" si="54"/>
        <v>0</v>
      </c>
      <c r="AP108" s="44"/>
      <c r="AQ108" s="3">
        <f t="shared" si="44"/>
        <v>0</v>
      </c>
      <c r="AR108" s="3">
        <f t="shared" si="55"/>
        <v>0</v>
      </c>
    </row>
    <row r="109" spans="1:44" x14ac:dyDescent="0.25">
      <c r="A109" s="9" t="str">
        <f t="array" ref="A109">IFERROR(INDEX(Output!A$1:A$2000,MATCH(0,COUNTIF(Prediction!$A$7:A108,Output!A$1:A$2000),0)),"")</f>
        <v/>
      </c>
      <c r="B109" t="str">
        <f>IFERROR(VLOOKUP($A109,Output!$A:$M,2,FALSE),"")</f>
        <v/>
      </c>
      <c r="C109" t="str">
        <f>IFERROR(VLOOKUP(B109,Departments!B:C,2,FALSE),"")</f>
        <v/>
      </c>
      <c r="D109" t="str">
        <f>IFERROR(VLOOKUP($A109,Output!$A:$M,13,FALSE),"")</f>
        <v/>
      </c>
      <c r="E109" s="29">
        <f>IFERROR(VLOOKUP($D109,Schedules!$A:$I,MATCH(Prediction!E$6,Schedules!$A$1:$H$1,0),FALSE),0)</f>
        <v>0</v>
      </c>
      <c r="F109" s="24">
        <f>IF(E109=0,0,SUMIFS(Output!$L:$L,Output!$A:$A,Prediction!$A109,Output!$C:$C,Prediction!E$5))</f>
        <v>0</v>
      </c>
      <c r="G109" s="24">
        <f t="shared" si="38"/>
        <v>0</v>
      </c>
      <c r="H109" s="45">
        <f t="shared" si="45"/>
        <v>0</v>
      </c>
      <c r="I109" s="30">
        <f>SUMIFS(Output!$L:$L,Output!$A:$A,Prediction!$A109,Output!$C:$C,Prediction!E$5)</f>
        <v>0</v>
      </c>
      <c r="J109" s="29">
        <f>IFERROR(VLOOKUP($D109,Schedules!$A:$I,MATCH(Prediction!J$6,Schedules!$A$1:$H$1,0),FALSE),0)</f>
        <v>0</v>
      </c>
      <c r="K109" s="24">
        <f>IF(J109=0,0,SUMIFS(Output!$L:$L,Output!$A:$A,Prediction!$A109,Output!$C:$C,Prediction!J$5))</f>
        <v>0</v>
      </c>
      <c r="L109" s="24">
        <f t="shared" si="39"/>
        <v>0</v>
      </c>
      <c r="M109" s="24">
        <f t="shared" si="46"/>
        <v>0</v>
      </c>
      <c r="N109" s="30">
        <f>SUMIFS(Output!$L:$L,Output!$A:$A,Prediction!$A109,Output!$C:$C,Prediction!J$5)</f>
        <v>0</v>
      </c>
      <c r="O109" s="29">
        <f>IFERROR(VLOOKUP($D109,Schedules!$A:$I,MATCH(Prediction!O$6,Schedules!$A$1:$H$1,0),FALSE),0)</f>
        <v>0</v>
      </c>
      <c r="P109" s="24">
        <f>IF(O109=0,0,SUMIFS(Output!$L:$L,Output!$A:$A,Prediction!$A109,Output!$C:$C,Prediction!O$5))</f>
        <v>0</v>
      </c>
      <c r="Q109" s="24">
        <f t="shared" si="40"/>
        <v>0</v>
      </c>
      <c r="R109" s="24">
        <f t="shared" si="47"/>
        <v>0</v>
      </c>
      <c r="S109" s="30">
        <f>SUMIFS(Output!$L:$L,Output!$A:$A,Prediction!$A109,Output!$C:$C,Prediction!O$5)</f>
        <v>0</v>
      </c>
      <c r="T109" s="29">
        <f>IFERROR(VLOOKUP($D109,Schedules!$A:$I,MATCH(Prediction!T$6,Schedules!$A$1:$H$1,0),FALSE),0)</f>
        <v>0</v>
      </c>
      <c r="U109" s="24">
        <f>IF(T109=0,0,SUMIFS(Output!$L:$L,Output!$A:$A,Prediction!$A109,Output!$C:$C,Prediction!T$5))</f>
        <v>0</v>
      </c>
      <c r="V109" s="24">
        <f t="shared" si="48"/>
        <v>0</v>
      </c>
      <c r="W109" s="24">
        <f t="shared" si="49"/>
        <v>0</v>
      </c>
      <c r="X109" s="30">
        <f>SUMIFS(Output!$L:$L,Output!$A:$A,Prediction!$A109,Output!$C:$C,Prediction!T$5)</f>
        <v>0</v>
      </c>
      <c r="Y109" s="25">
        <f>IFERROR(VLOOKUP($D109,Schedules!$A:$I,MATCH(Prediction!Y$6,Schedules!$A$1:$H$1,0),FALSE),0)</f>
        <v>0</v>
      </c>
      <c r="Z109" s="24">
        <f>IF(Y109=0,0,SUMIFS(Output!$L:$L,Output!$A:$A,Prediction!$A109,Output!$C:$C,Prediction!Y$5))</f>
        <v>0</v>
      </c>
      <c r="AA109" s="24">
        <f t="shared" si="41"/>
        <v>0</v>
      </c>
      <c r="AB109" s="24">
        <f t="shared" si="50"/>
        <v>0</v>
      </c>
      <c r="AC109" s="30">
        <f>SUMIFS(Output!$L:$L,Output!$A:$A,Prediction!$A109,Output!$C:$C,Prediction!Y$5)</f>
        <v>0</v>
      </c>
      <c r="AD109" s="29">
        <f>IFERROR(VLOOKUP($D109,Schedules!$A:$I,MATCH(Prediction!AD$6,Schedules!$A$1:$H$1,0),FALSE),0)</f>
        <v>0</v>
      </c>
      <c r="AE109" s="24">
        <f>IF(AD109=0,0,SUMIFS(Output!$L:$L,Output!$A:$A,Prediction!$A109,Output!$C:$C,Prediction!AD$5))</f>
        <v>0</v>
      </c>
      <c r="AF109" s="24">
        <f t="shared" si="42"/>
        <v>0</v>
      </c>
      <c r="AG109" s="24">
        <f t="shared" si="51"/>
        <v>0</v>
      </c>
      <c r="AH109" s="30">
        <f>SUMIFS(Output!$L:$L,Output!$A:$A,Prediction!$A109,Output!$C:$C,Prediction!AD$5)</f>
        <v>0</v>
      </c>
      <c r="AI109" s="29">
        <f>IFERROR(VLOOKUP($D109,Schedules!$A:$I,MATCH(Prediction!AI$6,Schedules!$A$1:$H$1,0),FALSE),0)</f>
        <v>0</v>
      </c>
      <c r="AJ109" s="24">
        <f>IF(AI109=0,0,SUMIFS(Output!$L:$L,Output!$A:$A,Prediction!$A109,Output!$C:$C,Prediction!AI$5))</f>
        <v>0</v>
      </c>
      <c r="AK109" s="24">
        <f t="shared" si="43"/>
        <v>0</v>
      </c>
      <c r="AL109" s="24">
        <f t="shared" si="52"/>
        <v>0</v>
      </c>
      <c r="AM109" s="30">
        <f>SUMIFS(Output!$L:$L,Output!$A:$A,Prediction!$A109,Output!$C:$C,Prediction!AI$5)</f>
        <v>0</v>
      </c>
      <c r="AN109">
        <f t="shared" si="53"/>
        <v>0</v>
      </c>
      <c r="AO109" s="3">
        <f t="shared" si="54"/>
        <v>0</v>
      </c>
      <c r="AP109" s="44"/>
      <c r="AQ109" s="3">
        <f t="shared" si="44"/>
        <v>0</v>
      </c>
      <c r="AR109" s="3">
        <f t="shared" si="55"/>
        <v>0</v>
      </c>
    </row>
    <row r="110" spans="1:44" x14ac:dyDescent="0.25">
      <c r="A110" s="9" t="str">
        <f t="array" ref="A110">IFERROR(INDEX(Output!A$1:A$2000,MATCH(0,COUNTIF(Prediction!$A$7:A109,Output!A$1:A$2000),0)),"")</f>
        <v/>
      </c>
      <c r="B110" t="str">
        <f>IFERROR(VLOOKUP($A110,Output!$A:$M,2,FALSE),"")</f>
        <v/>
      </c>
      <c r="C110" t="str">
        <f>IFERROR(VLOOKUP(B110,Departments!B:C,2,FALSE),"")</f>
        <v/>
      </c>
      <c r="D110" t="str">
        <f>IFERROR(VLOOKUP($A110,Output!$A:$M,13,FALSE),"")</f>
        <v/>
      </c>
      <c r="E110" s="29">
        <f>IFERROR(VLOOKUP($D110,Schedules!$A:$I,MATCH(Prediction!E$6,Schedules!$A$1:$H$1,0),FALSE),0)</f>
        <v>0</v>
      </c>
      <c r="F110" s="24">
        <f>IF(E110=0,0,SUMIFS(Output!$L:$L,Output!$A:$A,Prediction!$A110,Output!$C:$C,Prediction!E$5))</f>
        <v>0</v>
      </c>
      <c r="G110" s="24">
        <f t="shared" si="38"/>
        <v>0</v>
      </c>
      <c r="H110" s="45">
        <f t="shared" si="45"/>
        <v>0</v>
      </c>
      <c r="I110" s="30">
        <f>SUMIFS(Output!$L:$L,Output!$A:$A,Prediction!$A110,Output!$C:$C,Prediction!E$5)</f>
        <v>0</v>
      </c>
      <c r="J110" s="29">
        <f>IFERROR(VLOOKUP($D110,Schedules!$A:$I,MATCH(Prediction!J$6,Schedules!$A$1:$H$1,0),FALSE),0)</f>
        <v>0</v>
      </c>
      <c r="K110" s="24">
        <f>IF(J110=0,0,SUMIFS(Output!$L:$L,Output!$A:$A,Prediction!$A110,Output!$C:$C,Prediction!J$5))</f>
        <v>0</v>
      </c>
      <c r="L110" s="24">
        <f t="shared" si="39"/>
        <v>0</v>
      </c>
      <c r="M110" s="24">
        <f t="shared" si="46"/>
        <v>0</v>
      </c>
      <c r="N110" s="30">
        <f>SUMIFS(Output!$L:$L,Output!$A:$A,Prediction!$A110,Output!$C:$C,Prediction!J$5)</f>
        <v>0</v>
      </c>
      <c r="O110" s="29">
        <f>IFERROR(VLOOKUP($D110,Schedules!$A:$I,MATCH(Prediction!O$6,Schedules!$A$1:$H$1,0),FALSE),0)</f>
        <v>0</v>
      </c>
      <c r="P110" s="24">
        <f>IF(O110=0,0,SUMIFS(Output!$L:$L,Output!$A:$A,Prediction!$A110,Output!$C:$C,Prediction!O$5))</f>
        <v>0</v>
      </c>
      <c r="Q110" s="24">
        <f t="shared" si="40"/>
        <v>0</v>
      </c>
      <c r="R110" s="24">
        <f t="shared" si="47"/>
        <v>0</v>
      </c>
      <c r="S110" s="30">
        <f>SUMIFS(Output!$L:$L,Output!$A:$A,Prediction!$A110,Output!$C:$C,Prediction!O$5)</f>
        <v>0</v>
      </c>
      <c r="T110" s="29">
        <f>IFERROR(VLOOKUP($D110,Schedules!$A:$I,MATCH(Prediction!T$6,Schedules!$A$1:$H$1,0),FALSE),0)</f>
        <v>0</v>
      </c>
      <c r="U110" s="24">
        <f>IF(T110=0,0,SUMIFS(Output!$L:$L,Output!$A:$A,Prediction!$A110,Output!$C:$C,Prediction!T$5))</f>
        <v>0</v>
      </c>
      <c r="V110" s="24">
        <f t="shared" si="48"/>
        <v>0</v>
      </c>
      <c r="W110" s="24">
        <f t="shared" si="49"/>
        <v>0</v>
      </c>
      <c r="X110" s="30">
        <f>SUMIFS(Output!$L:$L,Output!$A:$A,Prediction!$A110,Output!$C:$C,Prediction!T$5)</f>
        <v>0</v>
      </c>
      <c r="Y110" s="25">
        <f>IFERROR(VLOOKUP($D110,Schedules!$A:$I,MATCH(Prediction!Y$6,Schedules!$A$1:$H$1,0),FALSE),0)</f>
        <v>0</v>
      </c>
      <c r="Z110" s="24">
        <f>IF(Y110=0,0,SUMIFS(Output!$L:$L,Output!$A:$A,Prediction!$A110,Output!$C:$C,Prediction!Y$5))</f>
        <v>0</v>
      </c>
      <c r="AA110" s="24">
        <f t="shared" si="41"/>
        <v>0</v>
      </c>
      <c r="AB110" s="24">
        <f t="shared" si="50"/>
        <v>0</v>
      </c>
      <c r="AC110" s="30">
        <f>SUMIFS(Output!$L:$L,Output!$A:$A,Prediction!$A110,Output!$C:$C,Prediction!Y$5)</f>
        <v>0</v>
      </c>
      <c r="AD110" s="29">
        <f>IFERROR(VLOOKUP($D110,Schedules!$A:$I,MATCH(Prediction!AD$6,Schedules!$A$1:$H$1,0),FALSE),0)</f>
        <v>0</v>
      </c>
      <c r="AE110" s="24">
        <f>IF(AD110=0,0,SUMIFS(Output!$L:$L,Output!$A:$A,Prediction!$A110,Output!$C:$C,Prediction!AD$5))</f>
        <v>0</v>
      </c>
      <c r="AF110" s="24">
        <f t="shared" si="42"/>
        <v>0</v>
      </c>
      <c r="AG110" s="24">
        <f t="shared" si="51"/>
        <v>0</v>
      </c>
      <c r="AH110" s="30">
        <f>SUMIFS(Output!$L:$L,Output!$A:$A,Prediction!$A110,Output!$C:$C,Prediction!AD$5)</f>
        <v>0</v>
      </c>
      <c r="AI110" s="29">
        <f>IFERROR(VLOOKUP($D110,Schedules!$A:$I,MATCH(Prediction!AI$6,Schedules!$A$1:$H$1,0),FALSE),0)</f>
        <v>0</v>
      </c>
      <c r="AJ110" s="24">
        <f>IF(AI110=0,0,SUMIFS(Output!$L:$L,Output!$A:$A,Prediction!$A110,Output!$C:$C,Prediction!AI$5))</f>
        <v>0</v>
      </c>
      <c r="AK110" s="24">
        <f t="shared" si="43"/>
        <v>0</v>
      </c>
      <c r="AL110" s="24">
        <f t="shared" si="52"/>
        <v>0</v>
      </c>
      <c r="AM110" s="30">
        <f>SUMIFS(Output!$L:$L,Output!$A:$A,Prediction!$A110,Output!$C:$C,Prediction!AI$5)</f>
        <v>0</v>
      </c>
      <c r="AN110">
        <f t="shared" si="53"/>
        <v>0</v>
      </c>
      <c r="AO110" s="3">
        <f t="shared" si="54"/>
        <v>0</v>
      </c>
      <c r="AP110" s="44"/>
      <c r="AQ110" s="3">
        <f t="shared" si="44"/>
        <v>0</v>
      </c>
      <c r="AR110" s="3">
        <f t="shared" si="55"/>
        <v>0</v>
      </c>
    </row>
    <row r="111" spans="1:44" x14ac:dyDescent="0.25">
      <c r="A111" s="9" t="str">
        <f t="array" ref="A111">IFERROR(INDEX(Output!A$1:A$2000,MATCH(0,COUNTIF(Prediction!$A$7:A110,Output!A$1:A$2000),0)),"")</f>
        <v/>
      </c>
      <c r="B111" t="str">
        <f>IFERROR(VLOOKUP($A111,Output!$A:$M,2,FALSE),"")</f>
        <v/>
      </c>
      <c r="C111" t="str">
        <f>IFERROR(VLOOKUP(B111,Departments!B:C,2,FALSE),"")</f>
        <v/>
      </c>
      <c r="D111" t="str">
        <f>IFERROR(VLOOKUP($A111,Output!$A:$M,13,FALSE),"")</f>
        <v/>
      </c>
      <c r="E111" s="29">
        <f>IFERROR(VLOOKUP($D111,Schedules!$A:$I,MATCH(Prediction!E$6,Schedules!$A$1:$H$1,0),FALSE),0)</f>
        <v>0</v>
      </c>
      <c r="F111" s="24">
        <f>IF(E111=0,0,SUMIFS(Output!$L:$L,Output!$A:$A,Prediction!$A111,Output!$C:$C,Prediction!E$5))</f>
        <v>0</v>
      </c>
      <c r="G111" s="24">
        <f t="shared" si="38"/>
        <v>0</v>
      </c>
      <c r="H111" s="45">
        <f t="shared" si="45"/>
        <v>0</v>
      </c>
      <c r="I111" s="30">
        <f>SUMIFS(Output!$L:$L,Output!$A:$A,Prediction!$A111,Output!$C:$C,Prediction!E$5)</f>
        <v>0</v>
      </c>
      <c r="J111" s="29">
        <f>IFERROR(VLOOKUP($D111,Schedules!$A:$I,MATCH(Prediction!J$6,Schedules!$A$1:$H$1,0),FALSE),0)</f>
        <v>0</v>
      </c>
      <c r="K111" s="24">
        <f>IF(J111=0,0,SUMIFS(Output!$L:$L,Output!$A:$A,Prediction!$A111,Output!$C:$C,Prediction!J$5))</f>
        <v>0</v>
      </c>
      <c r="L111" s="24">
        <f t="shared" si="39"/>
        <v>0</v>
      </c>
      <c r="M111" s="24">
        <f t="shared" si="46"/>
        <v>0</v>
      </c>
      <c r="N111" s="30">
        <f>SUMIFS(Output!$L:$L,Output!$A:$A,Prediction!$A111,Output!$C:$C,Prediction!J$5)</f>
        <v>0</v>
      </c>
      <c r="O111" s="29">
        <f>IFERROR(VLOOKUP($D111,Schedules!$A:$I,MATCH(Prediction!O$6,Schedules!$A$1:$H$1,0),FALSE),0)</f>
        <v>0</v>
      </c>
      <c r="P111" s="24">
        <f>IF(O111=0,0,SUMIFS(Output!$L:$L,Output!$A:$A,Prediction!$A111,Output!$C:$C,Prediction!O$5))</f>
        <v>0</v>
      </c>
      <c r="Q111" s="24">
        <f t="shared" si="40"/>
        <v>0</v>
      </c>
      <c r="R111" s="24">
        <f t="shared" si="47"/>
        <v>0</v>
      </c>
      <c r="S111" s="30">
        <f>SUMIFS(Output!$L:$L,Output!$A:$A,Prediction!$A111,Output!$C:$C,Prediction!O$5)</f>
        <v>0</v>
      </c>
      <c r="T111" s="29">
        <f>IFERROR(VLOOKUP($D111,Schedules!$A:$I,MATCH(Prediction!T$6,Schedules!$A$1:$H$1,0),FALSE),0)</f>
        <v>0</v>
      </c>
      <c r="U111" s="24">
        <f>IF(T111=0,0,SUMIFS(Output!$L:$L,Output!$A:$A,Prediction!$A111,Output!$C:$C,Prediction!T$5))</f>
        <v>0</v>
      </c>
      <c r="V111" s="24">
        <f t="shared" si="48"/>
        <v>0</v>
      </c>
      <c r="W111" s="24">
        <f t="shared" si="49"/>
        <v>0</v>
      </c>
      <c r="X111" s="30">
        <f>SUMIFS(Output!$L:$L,Output!$A:$A,Prediction!$A111,Output!$C:$C,Prediction!T$5)</f>
        <v>0</v>
      </c>
      <c r="Y111" s="25">
        <f>IFERROR(VLOOKUP($D111,Schedules!$A:$I,MATCH(Prediction!Y$6,Schedules!$A$1:$H$1,0),FALSE),0)</f>
        <v>0</v>
      </c>
      <c r="Z111" s="24">
        <f>IF(Y111=0,0,SUMIFS(Output!$L:$L,Output!$A:$A,Prediction!$A111,Output!$C:$C,Prediction!Y$5))</f>
        <v>0</v>
      </c>
      <c r="AA111" s="24">
        <f t="shared" si="41"/>
        <v>0</v>
      </c>
      <c r="AB111" s="24">
        <f t="shared" si="50"/>
        <v>0</v>
      </c>
      <c r="AC111" s="30">
        <f>SUMIFS(Output!$L:$L,Output!$A:$A,Prediction!$A111,Output!$C:$C,Prediction!Y$5)</f>
        <v>0</v>
      </c>
      <c r="AD111" s="29">
        <f>IFERROR(VLOOKUP($D111,Schedules!$A:$I,MATCH(Prediction!AD$6,Schedules!$A$1:$H$1,0),FALSE),0)</f>
        <v>0</v>
      </c>
      <c r="AE111" s="24">
        <f>IF(AD111=0,0,SUMIFS(Output!$L:$L,Output!$A:$A,Prediction!$A111,Output!$C:$C,Prediction!AD$5))</f>
        <v>0</v>
      </c>
      <c r="AF111" s="24">
        <f t="shared" si="42"/>
        <v>0</v>
      </c>
      <c r="AG111" s="24">
        <f t="shared" si="51"/>
        <v>0</v>
      </c>
      <c r="AH111" s="30">
        <f>SUMIFS(Output!$L:$L,Output!$A:$A,Prediction!$A111,Output!$C:$C,Prediction!AD$5)</f>
        <v>0</v>
      </c>
      <c r="AI111" s="29">
        <f>IFERROR(VLOOKUP($D111,Schedules!$A:$I,MATCH(Prediction!AI$6,Schedules!$A$1:$H$1,0),FALSE),0)</f>
        <v>0</v>
      </c>
      <c r="AJ111" s="24">
        <f>IF(AI111=0,0,SUMIFS(Output!$L:$L,Output!$A:$A,Prediction!$A111,Output!$C:$C,Prediction!AI$5))</f>
        <v>0</v>
      </c>
      <c r="AK111" s="24">
        <f t="shared" si="43"/>
        <v>0</v>
      </c>
      <c r="AL111" s="24">
        <f t="shared" si="52"/>
        <v>0</v>
      </c>
      <c r="AM111" s="30">
        <f>SUMIFS(Output!$L:$L,Output!$A:$A,Prediction!$A111,Output!$C:$C,Prediction!AI$5)</f>
        <v>0</v>
      </c>
      <c r="AN111">
        <f t="shared" si="53"/>
        <v>0</v>
      </c>
      <c r="AO111" s="3">
        <f t="shared" si="54"/>
        <v>0</v>
      </c>
      <c r="AP111" s="44"/>
      <c r="AQ111" s="3">
        <f t="shared" si="44"/>
        <v>0</v>
      </c>
      <c r="AR111" s="3">
        <f t="shared" si="55"/>
        <v>0</v>
      </c>
    </row>
    <row r="112" spans="1:44" x14ac:dyDescent="0.25">
      <c r="A112" s="9" t="str">
        <f t="array" ref="A112">IFERROR(INDEX(Output!A$1:A$2000,MATCH(0,COUNTIF(Prediction!$A$7:A111,Output!A$1:A$2000),0)),"")</f>
        <v/>
      </c>
      <c r="B112" t="str">
        <f>IFERROR(VLOOKUP($A112,Output!$A:$M,2,FALSE),"")</f>
        <v/>
      </c>
      <c r="C112" t="str">
        <f>IFERROR(VLOOKUP(B112,Departments!B:C,2,FALSE),"")</f>
        <v/>
      </c>
      <c r="D112" t="str">
        <f>IFERROR(VLOOKUP($A112,Output!$A:$M,13,FALSE),"")</f>
        <v/>
      </c>
      <c r="E112" s="29">
        <f>IFERROR(VLOOKUP($D112,Schedules!$A:$I,MATCH(Prediction!E$6,Schedules!$A$1:$H$1,0),FALSE),0)</f>
        <v>0</v>
      </c>
      <c r="F112" s="24">
        <f>IF(E112=0,0,SUMIFS(Output!$L:$L,Output!$A:$A,Prediction!$A112,Output!$C:$C,Prediction!E$5))</f>
        <v>0</v>
      </c>
      <c r="G112" s="24">
        <f t="shared" si="38"/>
        <v>0</v>
      </c>
      <c r="H112" s="45">
        <f t="shared" si="45"/>
        <v>0</v>
      </c>
      <c r="I112" s="30">
        <f>SUMIFS(Output!$L:$L,Output!$A:$A,Prediction!$A112,Output!$C:$C,Prediction!E$5)</f>
        <v>0</v>
      </c>
      <c r="J112" s="29">
        <f>IFERROR(VLOOKUP($D112,Schedules!$A:$I,MATCH(Prediction!J$6,Schedules!$A$1:$H$1,0),FALSE),0)</f>
        <v>0</v>
      </c>
      <c r="K112" s="24">
        <f>IF(J112=0,0,SUMIFS(Output!$L:$L,Output!$A:$A,Prediction!$A112,Output!$C:$C,Prediction!J$5))</f>
        <v>0</v>
      </c>
      <c r="L112" s="24">
        <f t="shared" si="39"/>
        <v>0</v>
      </c>
      <c r="M112" s="24">
        <f t="shared" si="46"/>
        <v>0</v>
      </c>
      <c r="N112" s="30">
        <f>SUMIFS(Output!$L:$L,Output!$A:$A,Prediction!$A112,Output!$C:$C,Prediction!J$5)</f>
        <v>0</v>
      </c>
      <c r="O112" s="29">
        <f>IFERROR(VLOOKUP($D112,Schedules!$A:$I,MATCH(Prediction!O$6,Schedules!$A$1:$H$1,0),FALSE),0)</f>
        <v>0</v>
      </c>
      <c r="P112" s="24">
        <f>IF(O112=0,0,SUMIFS(Output!$L:$L,Output!$A:$A,Prediction!$A112,Output!$C:$C,Prediction!O$5))</f>
        <v>0</v>
      </c>
      <c r="Q112" s="24">
        <f t="shared" si="40"/>
        <v>0</v>
      </c>
      <c r="R112" s="24">
        <f t="shared" si="47"/>
        <v>0</v>
      </c>
      <c r="S112" s="30">
        <f>SUMIFS(Output!$L:$L,Output!$A:$A,Prediction!$A112,Output!$C:$C,Prediction!O$5)</f>
        <v>0</v>
      </c>
      <c r="T112" s="29">
        <f>IFERROR(VLOOKUP($D112,Schedules!$A:$I,MATCH(Prediction!T$6,Schedules!$A$1:$H$1,0),FALSE),0)</f>
        <v>0</v>
      </c>
      <c r="U112" s="24">
        <f>IF(T112=0,0,SUMIFS(Output!$L:$L,Output!$A:$A,Prediction!$A112,Output!$C:$C,Prediction!T$5))</f>
        <v>0</v>
      </c>
      <c r="V112" s="24">
        <f t="shared" si="48"/>
        <v>0</v>
      </c>
      <c r="W112" s="24">
        <f t="shared" si="49"/>
        <v>0</v>
      </c>
      <c r="X112" s="30">
        <f>SUMIFS(Output!$L:$L,Output!$A:$A,Prediction!$A112,Output!$C:$C,Prediction!T$5)</f>
        <v>0</v>
      </c>
      <c r="Y112" s="25">
        <f>IFERROR(VLOOKUP($D112,Schedules!$A:$I,MATCH(Prediction!Y$6,Schedules!$A$1:$H$1,0),FALSE),0)</f>
        <v>0</v>
      </c>
      <c r="Z112" s="24">
        <f>IF(Y112=0,0,SUMIFS(Output!$L:$L,Output!$A:$A,Prediction!$A112,Output!$C:$C,Prediction!Y$5))</f>
        <v>0</v>
      </c>
      <c r="AA112" s="24">
        <f t="shared" si="41"/>
        <v>0</v>
      </c>
      <c r="AB112" s="24">
        <f t="shared" si="50"/>
        <v>0</v>
      </c>
      <c r="AC112" s="30">
        <f>SUMIFS(Output!$L:$L,Output!$A:$A,Prediction!$A112,Output!$C:$C,Prediction!Y$5)</f>
        <v>0</v>
      </c>
      <c r="AD112" s="29">
        <f>IFERROR(VLOOKUP($D112,Schedules!$A:$I,MATCH(Prediction!AD$6,Schedules!$A$1:$H$1,0),FALSE),0)</f>
        <v>0</v>
      </c>
      <c r="AE112" s="24">
        <f>IF(AD112=0,0,SUMIFS(Output!$L:$L,Output!$A:$A,Prediction!$A112,Output!$C:$C,Prediction!AD$5))</f>
        <v>0</v>
      </c>
      <c r="AF112" s="24">
        <f t="shared" si="42"/>
        <v>0</v>
      </c>
      <c r="AG112" s="24">
        <f t="shared" si="51"/>
        <v>0</v>
      </c>
      <c r="AH112" s="30">
        <f>SUMIFS(Output!$L:$L,Output!$A:$A,Prediction!$A112,Output!$C:$C,Prediction!AD$5)</f>
        <v>0</v>
      </c>
      <c r="AI112" s="29">
        <f>IFERROR(VLOOKUP($D112,Schedules!$A:$I,MATCH(Prediction!AI$6,Schedules!$A$1:$H$1,0),FALSE),0)</f>
        <v>0</v>
      </c>
      <c r="AJ112" s="24">
        <f>IF(AI112=0,0,SUMIFS(Output!$L:$L,Output!$A:$A,Prediction!$A112,Output!$C:$C,Prediction!AI$5))</f>
        <v>0</v>
      </c>
      <c r="AK112" s="24">
        <f t="shared" si="43"/>
        <v>0</v>
      </c>
      <c r="AL112" s="24">
        <f t="shared" si="52"/>
        <v>0</v>
      </c>
      <c r="AM112" s="30">
        <f>SUMIFS(Output!$L:$L,Output!$A:$A,Prediction!$A112,Output!$C:$C,Prediction!AI$5)</f>
        <v>0</v>
      </c>
      <c r="AN112">
        <f t="shared" si="53"/>
        <v>0</v>
      </c>
      <c r="AO112" s="3">
        <f t="shared" si="54"/>
        <v>0</v>
      </c>
      <c r="AP112" s="44"/>
      <c r="AQ112" s="3">
        <f t="shared" si="44"/>
        <v>0</v>
      </c>
      <c r="AR112" s="3">
        <f t="shared" si="55"/>
        <v>0</v>
      </c>
    </row>
    <row r="113" spans="1:44" x14ac:dyDescent="0.25">
      <c r="A113" s="9" t="str">
        <f t="array" ref="A113">IFERROR(INDEX(Output!A$1:A$2000,MATCH(0,COUNTIF(Prediction!$A$7:A112,Output!A$1:A$2000),0)),"")</f>
        <v/>
      </c>
      <c r="B113" t="str">
        <f>IFERROR(VLOOKUP($A113,Output!$A:$M,2,FALSE),"")</f>
        <v/>
      </c>
      <c r="C113" t="str">
        <f>IFERROR(VLOOKUP(B113,Departments!B:C,2,FALSE),"")</f>
        <v/>
      </c>
      <c r="D113" t="str">
        <f>IFERROR(VLOOKUP($A113,Output!$A:$M,13,FALSE),"")</f>
        <v/>
      </c>
      <c r="E113" s="29">
        <f>IFERROR(VLOOKUP($D113,Schedules!$A:$I,MATCH(Prediction!E$6,Schedules!$A$1:$H$1,0),FALSE),0)</f>
        <v>0</v>
      </c>
      <c r="F113" s="24">
        <f>IF(E113=0,0,SUMIFS(Output!$L:$L,Output!$A:$A,Prediction!$A113,Output!$C:$C,Prediction!E$5))</f>
        <v>0</v>
      </c>
      <c r="G113" s="24">
        <f t="shared" si="38"/>
        <v>0</v>
      </c>
      <c r="H113" s="45">
        <f t="shared" si="45"/>
        <v>0</v>
      </c>
      <c r="I113" s="30">
        <f>SUMIFS(Output!$L:$L,Output!$A:$A,Prediction!$A113,Output!$C:$C,Prediction!E$5)</f>
        <v>0</v>
      </c>
      <c r="J113" s="29">
        <f>IFERROR(VLOOKUP($D113,Schedules!$A:$I,MATCH(Prediction!J$6,Schedules!$A$1:$H$1,0),FALSE),0)</f>
        <v>0</v>
      </c>
      <c r="K113" s="24">
        <f>IF(J113=0,0,SUMIFS(Output!$L:$L,Output!$A:$A,Prediction!$A113,Output!$C:$C,Prediction!J$5))</f>
        <v>0</v>
      </c>
      <c r="L113" s="24">
        <f t="shared" si="39"/>
        <v>0</v>
      </c>
      <c r="M113" s="24">
        <f t="shared" si="46"/>
        <v>0</v>
      </c>
      <c r="N113" s="30">
        <f>SUMIFS(Output!$L:$L,Output!$A:$A,Prediction!$A113,Output!$C:$C,Prediction!J$5)</f>
        <v>0</v>
      </c>
      <c r="O113" s="29">
        <f>IFERROR(VLOOKUP($D113,Schedules!$A:$I,MATCH(Prediction!O$6,Schedules!$A$1:$H$1,0),FALSE),0)</f>
        <v>0</v>
      </c>
      <c r="P113" s="24">
        <f>IF(O113=0,0,SUMIFS(Output!$L:$L,Output!$A:$A,Prediction!$A113,Output!$C:$C,Prediction!O$5))</f>
        <v>0</v>
      </c>
      <c r="Q113" s="24">
        <f t="shared" si="40"/>
        <v>0</v>
      </c>
      <c r="R113" s="24">
        <f t="shared" si="47"/>
        <v>0</v>
      </c>
      <c r="S113" s="30">
        <f>SUMIFS(Output!$L:$L,Output!$A:$A,Prediction!$A113,Output!$C:$C,Prediction!O$5)</f>
        <v>0</v>
      </c>
      <c r="T113" s="29">
        <f>IFERROR(VLOOKUP($D113,Schedules!$A:$I,MATCH(Prediction!T$6,Schedules!$A$1:$H$1,0),FALSE),0)</f>
        <v>0</v>
      </c>
      <c r="U113" s="24">
        <f>IF(T113=0,0,SUMIFS(Output!$L:$L,Output!$A:$A,Prediction!$A113,Output!$C:$C,Prediction!T$5))</f>
        <v>0</v>
      </c>
      <c r="V113" s="24">
        <f t="shared" si="48"/>
        <v>0</v>
      </c>
      <c r="W113" s="24">
        <f t="shared" si="49"/>
        <v>0</v>
      </c>
      <c r="X113" s="30">
        <f>SUMIFS(Output!$L:$L,Output!$A:$A,Prediction!$A113,Output!$C:$C,Prediction!T$5)</f>
        <v>0</v>
      </c>
      <c r="Y113" s="25">
        <f>IFERROR(VLOOKUP($D113,Schedules!$A:$I,MATCH(Prediction!Y$6,Schedules!$A$1:$H$1,0),FALSE),0)</f>
        <v>0</v>
      </c>
      <c r="Z113" s="24">
        <f>IF(Y113=0,0,SUMIFS(Output!$L:$L,Output!$A:$A,Prediction!$A113,Output!$C:$C,Prediction!Y$5))</f>
        <v>0</v>
      </c>
      <c r="AA113" s="24">
        <f t="shared" si="41"/>
        <v>0</v>
      </c>
      <c r="AB113" s="24">
        <f t="shared" si="50"/>
        <v>0</v>
      </c>
      <c r="AC113" s="30">
        <f>SUMIFS(Output!$L:$L,Output!$A:$A,Prediction!$A113,Output!$C:$C,Prediction!Y$5)</f>
        <v>0</v>
      </c>
      <c r="AD113" s="29">
        <f>IFERROR(VLOOKUP($D113,Schedules!$A:$I,MATCH(Prediction!AD$6,Schedules!$A$1:$H$1,0),FALSE),0)</f>
        <v>0</v>
      </c>
      <c r="AE113" s="24">
        <f>IF(AD113=0,0,SUMIFS(Output!$L:$L,Output!$A:$A,Prediction!$A113,Output!$C:$C,Prediction!AD$5))</f>
        <v>0</v>
      </c>
      <c r="AF113" s="24">
        <f t="shared" si="42"/>
        <v>0</v>
      </c>
      <c r="AG113" s="24">
        <f t="shared" si="51"/>
        <v>0</v>
      </c>
      <c r="AH113" s="30">
        <f>SUMIFS(Output!$L:$L,Output!$A:$A,Prediction!$A113,Output!$C:$C,Prediction!AD$5)</f>
        <v>0</v>
      </c>
      <c r="AI113" s="29">
        <f>IFERROR(VLOOKUP($D113,Schedules!$A:$I,MATCH(Prediction!AI$6,Schedules!$A$1:$H$1,0),FALSE),0)</f>
        <v>0</v>
      </c>
      <c r="AJ113" s="24">
        <f>IF(AI113=0,0,SUMIFS(Output!$L:$L,Output!$A:$A,Prediction!$A113,Output!$C:$C,Prediction!AI$5))</f>
        <v>0</v>
      </c>
      <c r="AK113" s="24">
        <f t="shared" si="43"/>
        <v>0</v>
      </c>
      <c r="AL113" s="24">
        <f t="shared" si="52"/>
        <v>0</v>
      </c>
      <c r="AM113" s="30">
        <f>SUMIFS(Output!$L:$L,Output!$A:$A,Prediction!$A113,Output!$C:$C,Prediction!AI$5)</f>
        <v>0</v>
      </c>
      <c r="AN113">
        <f t="shared" si="53"/>
        <v>0</v>
      </c>
      <c r="AO113" s="3">
        <f t="shared" si="54"/>
        <v>0</v>
      </c>
      <c r="AP113" s="44"/>
      <c r="AQ113" s="3">
        <f t="shared" si="44"/>
        <v>0</v>
      </c>
      <c r="AR113" s="3">
        <f t="shared" si="55"/>
        <v>0</v>
      </c>
    </row>
    <row r="114" spans="1:44" x14ac:dyDescent="0.25">
      <c r="A114" s="9" t="str">
        <f t="array" ref="A114">IFERROR(INDEX(Output!A$1:A$2000,MATCH(0,COUNTIF(Prediction!$A$7:A113,Output!A$1:A$2000),0)),"")</f>
        <v/>
      </c>
      <c r="B114" t="str">
        <f>IFERROR(VLOOKUP($A114,Output!$A:$M,2,FALSE),"")</f>
        <v/>
      </c>
      <c r="C114" t="str">
        <f>IFERROR(VLOOKUP(B114,Departments!B:C,2,FALSE),"")</f>
        <v/>
      </c>
      <c r="D114" t="str">
        <f>IFERROR(VLOOKUP($A114,Output!$A:$M,13,FALSE),"")</f>
        <v/>
      </c>
      <c r="E114" s="29">
        <f>IFERROR(VLOOKUP($D114,Schedules!$A:$I,MATCH(Prediction!E$6,Schedules!$A$1:$H$1,0),FALSE),0)</f>
        <v>0</v>
      </c>
      <c r="F114" s="24">
        <f>IF(E114=0,0,SUMIFS(Output!$L:$L,Output!$A:$A,Prediction!$A114,Output!$C:$C,Prediction!E$5))</f>
        <v>0</v>
      </c>
      <c r="G114" s="24">
        <f t="shared" si="38"/>
        <v>0</v>
      </c>
      <c r="H114" s="45">
        <f t="shared" si="45"/>
        <v>0</v>
      </c>
      <c r="I114" s="30">
        <f>SUMIFS(Output!$L:$L,Output!$A:$A,Prediction!$A114,Output!$C:$C,Prediction!E$5)</f>
        <v>0</v>
      </c>
      <c r="J114" s="29">
        <f>IFERROR(VLOOKUP($D114,Schedules!$A:$I,MATCH(Prediction!J$6,Schedules!$A$1:$H$1,0),FALSE),0)</f>
        <v>0</v>
      </c>
      <c r="K114" s="24">
        <f>IF(J114=0,0,SUMIFS(Output!$L:$L,Output!$A:$A,Prediction!$A114,Output!$C:$C,Prediction!J$5))</f>
        <v>0</v>
      </c>
      <c r="L114" s="24">
        <f t="shared" si="39"/>
        <v>0</v>
      </c>
      <c r="M114" s="24">
        <f t="shared" si="46"/>
        <v>0</v>
      </c>
      <c r="N114" s="30">
        <f>SUMIFS(Output!$L:$L,Output!$A:$A,Prediction!$A114,Output!$C:$C,Prediction!J$5)</f>
        <v>0</v>
      </c>
      <c r="O114" s="29">
        <f>IFERROR(VLOOKUP($D114,Schedules!$A:$I,MATCH(Prediction!O$6,Schedules!$A$1:$H$1,0),FALSE),0)</f>
        <v>0</v>
      </c>
      <c r="P114" s="24">
        <f>IF(O114=0,0,SUMIFS(Output!$L:$L,Output!$A:$A,Prediction!$A114,Output!$C:$C,Prediction!O$5))</f>
        <v>0</v>
      </c>
      <c r="Q114" s="24">
        <f t="shared" si="40"/>
        <v>0</v>
      </c>
      <c r="R114" s="24">
        <f t="shared" si="47"/>
        <v>0</v>
      </c>
      <c r="S114" s="30">
        <f>SUMIFS(Output!$L:$L,Output!$A:$A,Prediction!$A114,Output!$C:$C,Prediction!O$5)</f>
        <v>0</v>
      </c>
      <c r="T114" s="29">
        <f>IFERROR(VLOOKUP($D114,Schedules!$A:$I,MATCH(Prediction!T$6,Schedules!$A$1:$H$1,0),FALSE),0)</f>
        <v>0</v>
      </c>
      <c r="U114" s="24">
        <f>IF(T114=0,0,SUMIFS(Output!$L:$L,Output!$A:$A,Prediction!$A114,Output!$C:$C,Prediction!T$5))</f>
        <v>0</v>
      </c>
      <c r="V114" s="24">
        <f t="shared" si="48"/>
        <v>0</v>
      </c>
      <c r="W114" s="24">
        <f t="shared" si="49"/>
        <v>0</v>
      </c>
      <c r="X114" s="30">
        <f>SUMIFS(Output!$L:$L,Output!$A:$A,Prediction!$A114,Output!$C:$C,Prediction!T$5)</f>
        <v>0</v>
      </c>
      <c r="Y114" s="25">
        <f>IFERROR(VLOOKUP($D114,Schedules!$A:$I,MATCH(Prediction!Y$6,Schedules!$A$1:$H$1,0),FALSE),0)</f>
        <v>0</v>
      </c>
      <c r="Z114" s="24">
        <f>IF(Y114=0,0,SUMIFS(Output!$L:$L,Output!$A:$A,Prediction!$A114,Output!$C:$C,Prediction!Y$5))</f>
        <v>0</v>
      </c>
      <c r="AA114" s="24">
        <f t="shared" si="41"/>
        <v>0</v>
      </c>
      <c r="AB114" s="24">
        <f t="shared" si="50"/>
        <v>0</v>
      </c>
      <c r="AC114" s="30">
        <f>SUMIFS(Output!$L:$L,Output!$A:$A,Prediction!$A114,Output!$C:$C,Prediction!Y$5)</f>
        <v>0</v>
      </c>
      <c r="AD114" s="29">
        <f>IFERROR(VLOOKUP($D114,Schedules!$A:$I,MATCH(Prediction!AD$6,Schedules!$A$1:$H$1,0),FALSE),0)</f>
        <v>0</v>
      </c>
      <c r="AE114" s="24">
        <f>IF(AD114=0,0,SUMIFS(Output!$L:$L,Output!$A:$A,Prediction!$A114,Output!$C:$C,Prediction!AD$5))</f>
        <v>0</v>
      </c>
      <c r="AF114" s="24">
        <f t="shared" si="42"/>
        <v>0</v>
      </c>
      <c r="AG114" s="24">
        <f t="shared" si="51"/>
        <v>0</v>
      </c>
      <c r="AH114" s="30">
        <f>SUMIFS(Output!$L:$L,Output!$A:$A,Prediction!$A114,Output!$C:$C,Prediction!AD$5)</f>
        <v>0</v>
      </c>
      <c r="AI114" s="29">
        <f>IFERROR(VLOOKUP($D114,Schedules!$A:$I,MATCH(Prediction!AI$6,Schedules!$A$1:$H$1,0),FALSE),0)</f>
        <v>0</v>
      </c>
      <c r="AJ114" s="24">
        <f>IF(AI114=0,0,SUMIFS(Output!$L:$L,Output!$A:$A,Prediction!$A114,Output!$C:$C,Prediction!AI$5))</f>
        <v>0</v>
      </c>
      <c r="AK114" s="24">
        <f t="shared" si="43"/>
        <v>0</v>
      </c>
      <c r="AL114" s="24">
        <f t="shared" si="52"/>
        <v>0</v>
      </c>
      <c r="AM114" s="30">
        <f>SUMIFS(Output!$L:$L,Output!$A:$A,Prediction!$A114,Output!$C:$C,Prediction!AI$5)</f>
        <v>0</v>
      </c>
      <c r="AN114">
        <f t="shared" si="53"/>
        <v>0</v>
      </c>
      <c r="AO114" s="3">
        <f t="shared" si="54"/>
        <v>0</v>
      </c>
      <c r="AP114" s="44"/>
      <c r="AQ114" s="3">
        <f t="shared" si="44"/>
        <v>0</v>
      </c>
      <c r="AR114" s="3">
        <f t="shared" si="55"/>
        <v>0</v>
      </c>
    </row>
    <row r="115" spans="1:44" x14ac:dyDescent="0.25">
      <c r="A115" s="9" t="str">
        <f t="array" ref="A115">IFERROR(INDEX(Output!A$1:A$2000,MATCH(0,COUNTIF(Prediction!$A$7:A114,Output!A$1:A$2000),0)),"")</f>
        <v/>
      </c>
      <c r="B115" t="str">
        <f>IFERROR(VLOOKUP($A115,Output!$A:$M,2,FALSE),"")</f>
        <v/>
      </c>
      <c r="C115" t="str">
        <f>IFERROR(VLOOKUP(B115,Departments!B:C,2,FALSE),"")</f>
        <v/>
      </c>
      <c r="D115" t="str">
        <f>IFERROR(VLOOKUP($A115,Output!$A:$M,13,FALSE),"")</f>
        <v/>
      </c>
      <c r="E115" s="29">
        <f>IFERROR(VLOOKUP($D115,Schedules!$A:$I,MATCH(Prediction!E$6,Schedules!$A$1:$H$1,0),FALSE),0)</f>
        <v>0</v>
      </c>
      <c r="F115" s="24">
        <f>IF(E115=0,0,SUMIFS(Output!$L:$L,Output!$A:$A,Prediction!$A115,Output!$C:$C,Prediction!E$5))</f>
        <v>0</v>
      </c>
      <c r="G115" s="24">
        <f t="shared" si="38"/>
        <v>0</v>
      </c>
      <c r="H115" s="45">
        <f t="shared" si="45"/>
        <v>0</v>
      </c>
      <c r="I115" s="30">
        <f>SUMIFS(Output!$L:$L,Output!$A:$A,Prediction!$A115,Output!$C:$C,Prediction!E$5)</f>
        <v>0</v>
      </c>
      <c r="J115" s="29">
        <f>IFERROR(VLOOKUP($D115,Schedules!$A:$I,MATCH(Prediction!J$6,Schedules!$A$1:$H$1,0),FALSE),0)</f>
        <v>0</v>
      </c>
      <c r="K115" s="24">
        <f>IF(J115=0,0,SUMIFS(Output!$L:$L,Output!$A:$A,Prediction!$A115,Output!$C:$C,Prediction!J$5))</f>
        <v>0</v>
      </c>
      <c r="L115" s="24">
        <f t="shared" si="39"/>
        <v>0</v>
      </c>
      <c r="M115" s="24">
        <f t="shared" si="46"/>
        <v>0</v>
      </c>
      <c r="N115" s="30">
        <f>SUMIFS(Output!$L:$L,Output!$A:$A,Prediction!$A115,Output!$C:$C,Prediction!J$5)</f>
        <v>0</v>
      </c>
      <c r="O115" s="29">
        <f>IFERROR(VLOOKUP($D115,Schedules!$A:$I,MATCH(Prediction!O$6,Schedules!$A$1:$H$1,0),FALSE),0)</f>
        <v>0</v>
      </c>
      <c r="P115" s="24">
        <f>IF(O115=0,0,SUMIFS(Output!$L:$L,Output!$A:$A,Prediction!$A115,Output!$C:$C,Prediction!O$5))</f>
        <v>0</v>
      </c>
      <c r="Q115" s="24">
        <f t="shared" si="40"/>
        <v>0</v>
      </c>
      <c r="R115" s="24">
        <f t="shared" si="47"/>
        <v>0</v>
      </c>
      <c r="S115" s="30">
        <f>SUMIFS(Output!$L:$L,Output!$A:$A,Prediction!$A115,Output!$C:$C,Prediction!O$5)</f>
        <v>0</v>
      </c>
      <c r="T115" s="29">
        <f>IFERROR(VLOOKUP($D115,Schedules!$A:$I,MATCH(Prediction!T$6,Schedules!$A$1:$H$1,0),FALSE),0)</f>
        <v>0</v>
      </c>
      <c r="U115" s="24">
        <f>IF(T115=0,0,SUMIFS(Output!$L:$L,Output!$A:$A,Prediction!$A115,Output!$C:$C,Prediction!T$5))</f>
        <v>0</v>
      </c>
      <c r="V115" s="24">
        <f t="shared" si="48"/>
        <v>0</v>
      </c>
      <c r="W115" s="24">
        <f t="shared" si="49"/>
        <v>0</v>
      </c>
      <c r="X115" s="30">
        <f>SUMIFS(Output!$L:$L,Output!$A:$A,Prediction!$A115,Output!$C:$C,Prediction!T$5)</f>
        <v>0</v>
      </c>
      <c r="Y115" s="25">
        <f>IFERROR(VLOOKUP($D115,Schedules!$A:$I,MATCH(Prediction!Y$6,Schedules!$A$1:$H$1,0),FALSE),0)</f>
        <v>0</v>
      </c>
      <c r="Z115" s="24">
        <f>IF(Y115=0,0,SUMIFS(Output!$L:$L,Output!$A:$A,Prediction!$A115,Output!$C:$C,Prediction!Y$5))</f>
        <v>0</v>
      </c>
      <c r="AA115" s="24">
        <f t="shared" si="41"/>
        <v>0</v>
      </c>
      <c r="AB115" s="24">
        <f t="shared" si="50"/>
        <v>0</v>
      </c>
      <c r="AC115" s="30">
        <f>SUMIFS(Output!$L:$L,Output!$A:$A,Prediction!$A115,Output!$C:$C,Prediction!Y$5)</f>
        <v>0</v>
      </c>
      <c r="AD115" s="29">
        <f>IFERROR(VLOOKUP($D115,Schedules!$A:$I,MATCH(Prediction!AD$6,Schedules!$A$1:$H$1,0),FALSE),0)</f>
        <v>0</v>
      </c>
      <c r="AE115" s="24">
        <f>IF(AD115=0,0,SUMIFS(Output!$L:$L,Output!$A:$A,Prediction!$A115,Output!$C:$C,Prediction!AD$5))</f>
        <v>0</v>
      </c>
      <c r="AF115" s="24">
        <f t="shared" si="42"/>
        <v>0</v>
      </c>
      <c r="AG115" s="24">
        <f t="shared" si="51"/>
        <v>0</v>
      </c>
      <c r="AH115" s="30">
        <f>SUMIFS(Output!$L:$L,Output!$A:$A,Prediction!$A115,Output!$C:$C,Prediction!AD$5)</f>
        <v>0</v>
      </c>
      <c r="AI115" s="29">
        <f>IFERROR(VLOOKUP($D115,Schedules!$A:$I,MATCH(Prediction!AI$6,Schedules!$A$1:$H$1,0),FALSE),0)</f>
        <v>0</v>
      </c>
      <c r="AJ115" s="24">
        <f>IF(AI115=0,0,SUMIFS(Output!$L:$L,Output!$A:$A,Prediction!$A115,Output!$C:$C,Prediction!AI$5))</f>
        <v>0</v>
      </c>
      <c r="AK115" s="24">
        <f t="shared" si="43"/>
        <v>0</v>
      </c>
      <c r="AL115" s="24">
        <f t="shared" si="52"/>
        <v>0</v>
      </c>
      <c r="AM115" s="30">
        <f>SUMIFS(Output!$L:$L,Output!$A:$A,Prediction!$A115,Output!$C:$C,Prediction!AI$5)</f>
        <v>0</v>
      </c>
      <c r="AN115">
        <f t="shared" si="53"/>
        <v>0</v>
      </c>
      <c r="AO115" s="3">
        <f t="shared" si="54"/>
        <v>0</v>
      </c>
      <c r="AP115" s="44"/>
      <c r="AQ115" s="3">
        <f t="shared" si="44"/>
        <v>0</v>
      </c>
      <c r="AR115" s="3">
        <f t="shared" si="55"/>
        <v>0</v>
      </c>
    </row>
    <row r="116" spans="1:44" x14ac:dyDescent="0.25">
      <c r="A116" s="9" t="str">
        <f t="array" ref="A116">IFERROR(INDEX(Output!A$1:A$2000,MATCH(0,COUNTIF(Prediction!$A$7:A115,Output!A$1:A$2000),0)),"")</f>
        <v/>
      </c>
      <c r="B116" t="str">
        <f>IFERROR(VLOOKUP($A116,Output!$A:$M,2,FALSE),"")</f>
        <v/>
      </c>
      <c r="C116" t="str">
        <f>IFERROR(VLOOKUP(B116,Departments!B:C,2,FALSE),"")</f>
        <v/>
      </c>
      <c r="D116" t="str">
        <f>IFERROR(VLOOKUP($A116,Output!$A:$M,13,FALSE),"")</f>
        <v/>
      </c>
      <c r="E116" s="29">
        <f>IFERROR(VLOOKUP($D116,Schedules!$A:$I,MATCH(Prediction!E$6,Schedules!$A$1:$H$1,0),FALSE),0)</f>
        <v>0</v>
      </c>
      <c r="F116" s="24">
        <f>IF(E116=0,0,SUMIFS(Output!$L:$L,Output!$A:$A,Prediction!$A116,Output!$C:$C,Prediction!E$5))</f>
        <v>0</v>
      </c>
      <c r="G116" s="24">
        <f t="shared" si="38"/>
        <v>0</v>
      </c>
      <c r="H116" s="45">
        <f t="shared" si="45"/>
        <v>0</v>
      </c>
      <c r="I116" s="30">
        <f>SUMIFS(Output!$L:$L,Output!$A:$A,Prediction!$A116,Output!$C:$C,Prediction!E$5)</f>
        <v>0</v>
      </c>
      <c r="J116" s="29">
        <f>IFERROR(VLOOKUP($D116,Schedules!$A:$I,MATCH(Prediction!J$6,Schedules!$A$1:$H$1,0),FALSE),0)</f>
        <v>0</v>
      </c>
      <c r="K116" s="24">
        <f>IF(J116=0,0,SUMIFS(Output!$L:$L,Output!$A:$A,Prediction!$A116,Output!$C:$C,Prediction!J$5))</f>
        <v>0</v>
      </c>
      <c r="L116" s="24">
        <f t="shared" si="39"/>
        <v>0</v>
      </c>
      <c r="M116" s="24">
        <f t="shared" si="46"/>
        <v>0</v>
      </c>
      <c r="N116" s="30">
        <f>SUMIFS(Output!$L:$L,Output!$A:$A,Prediction!$A116,Output!$C:$C,Prediction!J$5)</f>
        <v>0</v>
      </c>
      <c r="O116" s="29">
        <f>IFERROR(VLOOKUP($D116,Schedules!$A:$I,MATCH(Prediction!O$6,Schedules!$A$1:$H$1,0),FALSE),0)</f>
        <v>0</v>
      </c>
      <c r="P116" s="24">
        <f>IF(O116=0,0,SUMIFS(Output!$L:$L,Output!$A:$A,Prediction!$A116,Output!$C:$C,Prediction!O$5))</f>
        <v>0</v>
      </c>
      <c r="Q116" s="24">
        <f t="shared" si="40"/>
        <v>0</v>
      </c>
      <c r="R116" s="24">
        <f t="shared" si="47"/>
        <v>0</v>
      </c>
      <c r="S116" s="30">
        <f>SUMIFS(Output!$L:$L,Output!$A:$A,Prediction!$A116,Output!$C:$C,Prediction!O$5)</f>
        <v>0</v>
      </c>
      <c r="T116" s="29">
        <f>IFERROR(VLOOKUP($D116,Schedules!$A:$I,MATCH(Prediction!T$6,Schedules!$A$1:$H$1,0),FALSE),0)</f>
        <v>0</v>
      </c>
      <c r="U116" s="24">
        <f>IF(T116=0,0,SUMIFS(Output!$L:$L,Output!$A:$A,Prediction!$A116,Output!$C:$C,Prediction!T$5))</f>
        <v>0</v>
      </c>
      <c r="V116" s="24">
        <f t="shared" si="48"/>
        <v>0</v>
      </c>
      <c r="W116" s="24">
        <f t="shared" si="49"/>
        <v>0</v>
      </c>
      <c r="X116" s="30">
        <f>SUMIFS(Output!$L:$L,Output!$A:$A,Prediction!$A116,Output!$C:$C,Prediction!T$5)</f>
        <v>0</v>
      </c>
      <c r="Y116" s="25">
        <f>IFERROR(VLOOKUP($D116,Schedules!$A:$I,MATCH(Prediction!Y$6,Schedules!$A$1:$H$1,0),FALSE),0)</f>
        <v>0</v>
      </c>
      <c r="Z116" s="24">
        <f>IF(Y116=0,0,SUMIFS(Output!$L:$L,Output!$A:$A,Prediction!$A116,Output!$C:$C,Prediction!Y$5))</f>
        <v>0</v>
      </c>
      <c r="AA116" s="24">
        <f t="shared" si="41"/>
        <v>0</v>
      </c>
      <c r="AB116" s="24">
        <f t="shared" si="50"/>
        <v>0</v>
      </c>
      <c r="AC116" s="30">
        <f>SUMIFS(Output!$L:$L,Output!$A:$A,Prediction!$A116,Output!$C:$C,Prediction!Y$5)</f>
        <v>0</v>
      </c>
      <c r="AD116" s="29">
        <f>IFERROR(VLOOKUP($D116,Schedules!$A:$I,MATCH(Prediction!AD$6,Schedules!$A$1:$H$1,0),FALSE),0)</f>
        <v>0</v>
      </c>
      <c r="AE116" s="24">
        <f>IF(AD116=0,0,SUMIFS(Output!$L:$L,Output!$A:$A,Prediction!$A116,Output!$C:$C,Prediction!AD$5))</f>
        <v>0</v>
      </c>
      <c r="AF116" s="24">
        <f t="shared" si="42"/>
        <v>0</v>
      </c>
      <c r="AG116" s="24">
        <f t="shared" si="51"/>
        <v>0</v>
      </c>
      <c r="AH116" s="30">
        <f>SUMIFS(Output!$L:$L,Output!$A:$A,Prediction!$A116,Output!$C:$C,Prediction!AD$5)</f>
        <v>0</v>
      </c>
      <c r="AI116" s="29">
        <f>IFERROR(VLOOKUP($D116,Schedules!$A:$I,MATCH(Prediction!AI$6,Schedules!$A$1:$H$1,0),FALSE),0)</f>
        <v>0</v>
      </c>
      <c r="AJ116" s="24">
        <f>IF(AI116=0,0,SUMIFS(Output!$L:$L,Output!$A:$A,Prediction!$A116,Output!$C:$C,Prediction!AI$5))</f>
        <v>0</v>
      </c>
      <c r="AK116" s="24">
        <f t="shared" si="43"/>
        <v>0</v>
      </c>
      <c r="AL116" s="24">
        <f t="shared" si="52"/>
        <v>0</v>
      </c>
      <c r="AM116" s="30">
        <f>SUMIFS(Output!$L:$L,Output!$A:$A,Prediction!$A116,Output!$C:$C,Prediction!AI$5)</f>
        <v>0</v>
      </c>
      <c r="AN116">
        <f t="shared" si="53"/>
        <v>0</v>
      </c>
      <c r="AO116" s="3">
        <f t="shared" si="54"/>
        <v>0</v>
      </c>
      <c r="AP116" s="44"/>
      <c r="AQ116" s="3">
        <f t="shared" si="44"/>
        <v>0</v>
      </c>
      <c r="AR116" s="3">
        <f t="shared" si="55"/>
        <v>0</v>
      </c>
    </row>
    <row r="117" spans="1:44" x14ac:dyDescent="0.25">
      <c r="A117" s="9" t="str">
        <f t="array" ref="A117">IFERROR(INDEX(Output!A$1:A$2000,MATCH(0,COUNTIF(Prediction!$A$7:A116,Output!A$1:A$2000),0)),"")</f>
        <v/>
      </c>
      <c r="B117" t="str">
        <f>IFERROR(VLOOKUP($A117,Output!$A:$M,2,FALSE),"")</f>
        <v/>
      </c>
      <c r="C117" t="str">
        <f>IFERROR(VLOOKUP(B117,Departments!B:C,2,FALSE),"")</f>
        <v/>
      </c>
      <c r="D117" t="str">
        <f>IFERROR(VLOOKUP($A117,Output!$A:$M,13,FALSE),"")</f>
        <v/>
      </c>
      <c r="E117" s="29">
        <f>IFERROR(VLOOKUP($D117,Schedules!$A:$I,MATCH(Prediction!E$6,Schedules!$A$1:$H$1,0),FALSE),0)</f>
        <v>0</v>
      </c>
      <c r="F117" s="24">
        <f>IF(E117=0,0,SUMIFS(Output!$L:$L,Output!$A:$A,Prediction!$A117,Output!$C:$C,Prediction!E$5))</f>
        <v>0</v>
      </c>
      <c r="G117" s="24">
        <f t="shared" si="38"/>
        <v>0</v>
      </c>
      <c r="H117" s="45">
        <f t="shared" si="45"/>
        <v>0</v>
      </c>
      <c r="I117" s="30">
        <f>SUMIFS(Output!$L:$L,Output!$A:$A,Prediction!$A117,Output!$C:$C,Prediction!E$5)</f>
        <v>0</v>
      </c>
      <c r="J117" s="29">
        <f>IFERROR(VLOOKUP($D117,Schedules!$A:$I,MATCH(Prediction!J$6,Schedules!$A$1:$H$1,0),FALSE),0)</f>
        <v>0</v>
      </c>
      <c r="K117" s="24">
        <f>IF(J117=0,0,SUMIFS(Output!$L:$L,Output!$A:$A,Prediction!$A117,Output!$C:$C,Prediction!J$5))</f>
        <v>0</v>
      </c>
      <c r="L117" s="24">
        <f t="shared" si="39"/>
        <v>0</v>
      </c>
      <c r="M117" s="24">
        <f t="shared" si="46"/>
        <v>0</v>
      </c>
      <c r="N117" s="30">
        <f>SUMIFS(Output!$L:$L,Output!$A:$A,Prediction!$A117,Output!$C:$C,Prediction!J$5)</f>
        <v>0</v>
      </c>
      <c r="O117" s="29">
        <f>IFERROR(VLOOKUP($D117,Schedules!$A:$I,MATCH(Prediction!O$6,Schedules!$A$1:$H$1,0),FALSE),0)</f>
        <v>0</v>
      </c>
      <c r="P117" s="24">
        <f>IF(O117=0,0,SUMIFS(Output!$L:$L,Output!$A:$A,Prediction!$A117,Output!$C:$C,Prediction!O$5))</f>
        <v>0</v>
      </c>
      <c r="Q117" s="24">
        <f t="shared" si="40"/>
        <v>0</v>
      </c>
      <c r="R117" s="24">
        <f t="shared" si="47"/>
        <v>0</v>
      </c>
      <c r="S117" s="30">
        <f>SUMIFS(Output!$L:$L,Output!$A:$A,Prediction!$A117,Output!$C:$C,Prediction!O$5)</f>
        <v>0</v>
      </c>
      <c r="T117" s="29">
        <f>IFERROR(VLOOKUP($D117,Schedules!$A:$I,MATCH(Prediction!T$6,Schedules!$A$1:$H$1,0),FALSE),0)</f>
        <v>0</v>
      </c>
      <c r="U117" s="24">
        <f>IF(T117=0,0,SUMIFS(Output!$L:$L,Output!$A:$A,Prediction!$A117,Output!$C:$C,Prediction!T$5))</f>
        <v>0</v>
      </c>
      <c r="V117" s="24">
        <f t="shared" si="48"/>
        <v>0</v>
      </c>
      <c r="W117" s="24">
        <f t="shared" si="49"/>
        <v>0</v>
      </c>
      <c r="X117" s="30">
        <f>SUMIFS(Output!$L:$L,Output!$A:$A,Prediction!$A117,Output!$C:$C,Prediction!T$5)</f>
        <v>0</v>
      </c>
      <c r="Y117" s="25">
        <f>IFERROR(VLOOKUP($D117,Schedules!$A:$I,MATCH(Prediction!Y$6,Schedules!$A$1:$H$1,0),FALSE),0)</f>
        <v>0</v>
      </c>
      <c r="Z117" s="24">
        <f>IF(Y117=0,0,SUMIFS(Output!$L:$L,Output!$A:$A,Prediction!$A117,Output!$C:$C,Prediction!Y$5))</f>
        <v>0</v>
      </c>
      <c r="AA117" s="24">
        <f t="shared" si="41"/>
        <v>0</v>
      </c>
      <c r="AB117" s="24">
        <f t="shared" si="50"/>
        <v>0</v>
      </c>
      <c r="AC117" s="30">
        <f>SUMIFS(Output!$L:$L,Output!$A:$A,Prediction!$A117,Output!$C:$C,Prediction!Y$5)</f>
        <v>0</v>
      </c>
      <c r="AD117" s="29">
        <f>IFERROR(VLOOKUP($D117,Schedules!$A:$I,MATCH(Prediction!AD$6,Schedules!$A$1:$H$1,0),FALSE),0)</f>
        <v>0</v>
      </c>
      <c r="AE117" s="24">
        <f>IF(AD117=0,0,SUMIFS(Output!$L:$L,Output!$A:$A,Prediction!$A117,Output!$C:$C,Prediction!AD$5))</f>
        <v>0</v>
      </c>
      <c r="AF117" s="24">
        <f t="shared" si="42"/>
        <v>0</v>
      </c>
      <c r="AG117" s="24">
        <f t="shared" si="51"/>
        <v>0</v>
      </c>
      <c r="AH117" s="30">
        <f>SUMIFS(Output!$L:$L,Output!$A:$A,Prediction!$A117,Output!$C:$C,Prediction!AD$5)</f>
        <v>0</v>
      </c>
      <c r="AI117" s="29">
        <f>IFERROR(VLOOKUP($D117,Schedules!$A:$I,MATCH(Prediction!AI$6,Schedules!$A$1:$H$1,0),FALSE),0)</f>
        <v>0</v>
      </c>
      <c r="AJ117" s="24">
        <f>IF(AI117=0,0,SUMIFS(Output!$L:$L,Output!$A:$A,Prediction!$A117,Output!$C:$C,Prediction!AI$5))</f>
        <v>0</v>
      </c>
      <c r="AK117" s="24">
        <f t="shared" si="43"/>
        <v>0</v>
      </c>
      <c r="AL117" s="24">
        <f t="shared" si="52"/>
        <v>0</v>
      </c>
      <c r="AM117" s="30">
        <f>SUMIFS(Output!$L:$L,Output!$A:$A,Prediction!$A117,Output!$C:$C,Prediction!AI$5)</f>
        <v>0</v>
      </c>
      <c r="AN117">
        <f t="shared" si="53"/>
        <v>0</v>
      </c>
      <c r="AO117" s="3">
        <f t="shared" si="54"/>
        <v>0</v>
      </c>
      <c r="AP117" s="44"/>
      <c r="AQ117" s="3">
        <f t="shared" si="44"/>
        <v>0</v>
      </c>
      <c r="AR117" s="3">
        <f t="shared" si="55"/>
        <v>0</v>
      </c>
    </row>
    <row r="118" spans="1:44" x14ac:dyDescent="0.25">
      <c r="A118" s="9" t="str">
        <f t="array" ref="A118">IFERROR(INDEX(Output!A$1:A$2000,MATCH(0,COUNTIF(Prediction!$A$7:A117,Output!A$1:A$2000),0)),"")</f>
        <v/>
      </c>
      <c r="B118" t="str">
        <f>IFERROR(VLOOKUP($A118,Output!$A:$M,2,FALSE),"")</f>
        <v/>
      </c>
      <c r="C118" t="str">
        <f>IFERROR(VLOOKUP(B118,Departments!B:C,2,FALSE),"")</f>
        <v/>
      </c>
      <c r="D118" t="str">
        <f>IFERROR(VLOOKUP($A118,Output!$A:$M,13,FALSE),"")</f>
        <v/>
      </c>
      <c r="E118" s="29">
        <f>IFERROR(VLOOKUP($D118,Schedules!$A:$I,MATCH(Prediction!E$6,Schedules!$A$1:$H$1,0),FALSE),0)</f>
        <v>0</v>
      </c>
      <c r="F118" s="24">
        <f>IF(E118=0,0,SUMIFS(Output!$L:$L,Output!$A:$A,Prediction!$A118,Output!$C:$C,Prediction!E$5))</f>
        <v>0</v>
      </c>
      <c r="G118" s="24">
        <f t="shared" si="38"/>
        <v>0</v>
      </c>
      <c r="H118" s="45">
        <f t="shared" si="45"/>
        <v>0</v>
      </c>
      <c r="I118" s="30">
        <f>SUMIFS(Output!$L:$L,Output!$A:$A,Prediction!$A118,Output!$C:$C,Prediction!E$5)</f>
        <v>0</v>
      </c>
      <c r="J118" s="29">
        <f>IFERROR(VLOOKUP($D118,Schedules!$A:$I,MATCH(Prediction!J$6,Schedules!$A$1:$H$1,0),FALSE),0)</f>
        <v>0</v>
      </c>
      <c r="K118" s="24">
        <f>IF(J118=0,0,SUMIFS(Output!$L:$L,Output!$A:$A,Prediction!$A118,Output!$C:$C,Prediction!J$5))</f>
        <v>0</v>
      </c>
      <c r="L118" s="24">
        <f t="shared" si="39"/>
        <v>0</v>
      </c>
      <c r="M118" s="24">
        <f t="shared" si="46"/>
        <v>0</v>
      </c>
      <c r="N118" s="30">
        <f>SUMIFS(Output!$L:$L,Output!$A:$A,Prediction!$A118,Output!$C:$C,Prediction!J$5)</f>
        <v>0</v>
      </c>
      <c r="O118" s="29">
        <f>IFERROR(VLOOKUP($D118,Schedules!$A:$I,MATCH(Prediction!O$6,Schedules!$A$1:$H$1,0),FALSE),0)</f>
        <v>0</v>
      </c>
      <c r="P118" s="24">
        <f>IF(O118=0,0,SUMIFS(Output!$L:$L,Output!$A:$A,Prediction!$A118,Output!$C:$C,Prediction!O$5))</f>
        <v>0</v>
      </c>
      <c r="Q118" s="24">
        <f t="shared" si="40"/>
        <v>0</v>
      </c>
      <c r="R118" s="24">
        <f t="shared" si="47"/>
        <v>0</v>
      </c>
      <c r="S118" s="30">
        <f>SUMIFS(Output!$L:$L,Output!$A:$A,Prediction!$A118,Output!$C:$C,Prediction!O$5)</f>
        <v>0</v>
      </c>
      <c r="T118" s="29">
        <f>IFERROR(VLOOKUP($D118,Schedules!$A:$I,MATCH(Prediction!T$6,Schedules!$A$1:$H$1,0),FALSE),0)</f>
        <v>0</v>
      </c>
      <c r="U118" s="24">
        <f>IF(T118=0,0,SUMIFS(Output!$L:$L,Output!$A:$A,Prediction!$A118,Output!$C:$C,Prediction!T$5))</f>
        <v>0</v>
      </c>
      <c r="V118" s="24">
        <f t="shared" si="48"/>
        <v>0</v>
      </c>
      <c r="W118" s="24">
        <f t="shared" si="49"/>
        <v>0</v>
      </c>
      <c r="X118" s="30">
        <f>SUMIFS(Output!$L:$L,Output!$A:$A,Prediction!$A118,Output!$C:$C,Prediction!T$5)</f>
        <v>0</v>
      </c>
      <c r="Y118" s="25">
        <f>IFERROR(VLOOKUP($D118,Schedules!$A:$I,MATCH(Prediction!Y$6,Schedules!$A$1:$H$1,0),FALSE),0)</f>
        <v>0</v>
      </c>
      <c r="Z118" s="24">
        <f>IF(Y118=0,0,SUMIFS(Output!$L:$L,Output!$A:$A,Prediction!$A118,Output!$C:$C,Prediction!Y$5))</f>
        <v>0</v>
      </c>
      <c r="AA118" s="24">
        <f t="shared" si="41"/>
        <v>0</v>
      </c>
      <c r="AB118" s="24">
        <f t="shared" si="50"/>
        <v>0</v>
      </c>
      <c r="AC118" s="30">
        <f>SUMIFS(Output!$L:$L,Output!$A:$A,Prediction!$A118,Output!$C:$C,Prediction!Y$5)</f>
        <v>0</v>
      </c>
      <c r="AD118" s="29">
        <f>IFERROR(VLOOKUP($D118,Schedules!$A:$I,MATCH(Prediction!AD$6,Schedules!$A$1:$H$1,0),FALSE),0)</f>
        <v>0</v>
      </c>
      <c r="AE118" s="24">
        <f>IF(AD118=0,0,SUMIFS(Output!$L:$L,Output!$A:$A,Prediction!$A118,Output!$C:$C,Prediction!AD$5))</f>
        <v>0</v>
      </c>
      <c r="AF118" s="24">
        <f t="shared" si="42"/>
        <v>0</v>
      </c>
      <c r="AG118" s="24">
        <f t="shared" si="51"/>
        <v>0</v>
      </c>
      <c r="AH118" s="30">
        <f>SUMIFS(Output!$L:$L,Output!$A:$A,Prediction!$A118,Output!$C:$C,Prediction!AD$5)</f>
        <v>0</v>
      </c>
      <c r="AI118" s="29">
        <f>IFERROR(VLOOKUP($D118,Schedules!$A:$I,MATCH(Prediction!AI$6,Schedules!$A$1:$H$1,0),FALSE),0)</f>
        <v>0</v>
      </c>
      <c r="AJ118" s="24">
        <f>IF(AI118=0,0,SUMIFS(Output!$L:$L,Output!$A:$A,Prediction!$A118,Output!$C:$C,Prediction!AI$5))</f>
        <v>0</v>
      </c>
      <c r="AK118" s="24">
        <f t="shared" si="43"/>
        <v>0</v>
      </c>
      <c r="AL118" s="24">
        <f t="shared" si="52"/>
        <v>0</v>
      </c>
      <c r="AM118" s="30">
        <f>SUMIFS(Output!$L:$L,Output!$A:$A,Prediction!$A118,Output!$C:$C,Prediction!AI$5)</f>
        <v>0</v>
      </c>
      <c r="AN118">
        <f t="shared" si="53"/>
        <v>0</v>
      </c>
      <c r="AO118" s="3">
        <f t="shared" si="54"/>
        <v>0</v>
      </c>
      <c r="AP118" s="44"/>
      <c r="AQ118" s="3">
        <f t="shared" si="44"/>
        <v>0</v>
      </c>
      <c r="AR118" s="3">
        <f t="shared" si="55"/>
        <v>0</v>
      </c>
    </row>
    <row r="119" spans="1:44" x14ac:dyDescent="0.25">
      <c r="A119" s="9" t="str">
        <f t="array" ref="A119">IFERROR(INDEX(Output!A$1:A$2000,MATCH(0,COUNTIF(Prediction!$A$7:A118,Output!A$1:A$2000),0)),"")</f>
        <v/>
      </c>
      <c r="B119" t="str">
        <f>IFERROR(VLOOKUP($A119,Output!$A:$M,2,FALSE),"")</f>
        <v/>
      </c>
      <c r="C119" t="str">
        <f>IFERROR(VLOOKUP(B119,Departments!B:C,2,FALSE),"")</f>
        <v/>
      </c>
      <c r="D119" t="str">
        <f>IFERROR(VLOOKUP($A119,Output!$A:$M,13,FALSE),"")</f>
        <v/>
      </c>
      <c r="E119" s="29">
        <f>IFERROR(VLOOKUP($D119,Schedules!$A:$I,MATCH(Prediction!E$6,Schedules!$A$1:$H$1,0),FALSE),0)</f>
        <v>0</v>
      </c>
      <c r="F119" s="24">
        <f>IF(E119=0,0,SUMIFS(Output!$L:$L,Output!$A:$A,Prediction!$A119,Output!$C:$C,Prediction!E$5))</f>
        <v>0</v>
      </c>
      <c r="G119" s="24">
        <f t="shared" si="38"/>
        <v>0</v>
      </c>
      <c r="H119" s="45">
        <f t="shared" si="45"/>
        <v>0</v>
      </c>
      <c r="I119" s="30">
        <f>SUMIFS(Output!$L:$L,Output!$A:$A,Prediction!$A119,Output!$C:$C,Prediction!E$5)</f>
        <v>0</v>
      </c>
      <c r="J119" s="29">
        <f>IFERROR(VLOOKUP($D119,Schedules!$A:$I,MATCH(Prediction!J$6,Schedules!$A$1:$H$1,0),FALSE),0)</f>
        <v>0</v>
      </c>
      <c r="K119" s="24">
        <f>IF(J119=0,0,SUMIFS(Output!$L:$L,Output!$A:$A,Prediction!$A119,Output!$C:$C,Prediction!J$5))</f>
        <v>0</v>
      </c>
      <c r="L119" s="24">
        <f t="shared" si="39"/>
        <v>0</v>
      </c>
      <c r="M119" s="24">
        <f t="shared" si="46"/>
        <v>0</v>
      </c>
      <c r="N119" s="30">
        <f>SUMIFS(Output!$L:$L,Output!$A:$A,Prediction!$A119,Output!$C:$C,Prediction!J$5)</f>
        <v>0</v>
      </c>
      <c r="O119" s="29">
        <f>IFERROR(VLOOKUP($D119,Schedules!$A:$I,MATCH(Prediction!O$6,Schedules!$A$1:$H$1,0),FALSE),0)</f>
        <v>0</v>
      </c>
      <c r="P119" s="24">
        <f>IF(O119=0,0,SUMIFS(Output!$L:$L,Output!$A:$A,Prediction!$A119,Output!$C:$C,Prediction!O$5))</f>
        <v>0</v>
      </c>
      <c r="Q119" s="24">
        <f t="shared" si="40"/>
        <v>0</v>
      </c>
      <c r="R119" s="24">
        <f t="shared" si="47"/>
        <v>0</v>
      </c>
      <c r="S119" s="30">
        <f>SUMIFS(Output!$L:$L,Output!$A:$A,Prediction!$A119,Output!$C:$C,Prediction!O$5)</f>
        <v>0</v>
      </c>
      <c r="T119" s="29">
        <f>IFERROR(VLOOKUP($D119,Schedules!$A:$I,MATCH(Prediction!T$6,Schedules!$A$1:$H$1,0),FALSE),0)</f>
        <v>0</v>
      </c>
      <c r="U119" s="24">
        <f>IF(T119=0,0,SUMIFS(Output!$L:$L,Output!$A:$A,Prediction!$A119,Output!$C:$C,Prediction!T$5))</f>
        <v>0</v>
      </c>
      <c r="V119" s="24">
        <f t="shared" si="48"/>
        <v>0</v>
      </c>
      <c r="W119" s="24">
        <f t="shared" si="49"/>
        <v>0</v>
      </c>
      <c r="X119" s="30">
        <f>SUMIFS(Output!$L:$L,Output!$A:$A,Prediction!$A119,Output!$C:$C,Prediction!T$5)</f>
        <v>0</v>
      </c>
      <c r="Y119" s="25">
        <f>IFERROR(VLOOKUP($D119,Schedules!$A:$I,MATCH(Prediction!Y$6,Schedules!$A$1:$H$1,0),FALSE),0)</f>
        <v>0</v>
      </c>
      <c r="Z119" s="24">
        <f>IF(Y119=0,0,SUMIFS(Output!$L:$L,Output!$A:$A,Prediction!$A119,Output!$C:$C,Prediction!Y$5))</f>
        <v>0</v>
      </c>
      <c r="AA119" s="24">
        <f t="shared" si="41"/>
        <v>0</v>
      </c>
      <c r="AB119" s="24">
        <f t="shared" si="50"/>
        <v>0</v>
      </c>
      <c r="AC119" s="30">
        <f>SUMIFS(Output!$L:$L,Output!$A:$A,Prediction!$A119,Output!$C:$C,Prediction!Y$5)</f>
        <v>0</v>
      </c>
      <c r="AD119" s="29">
        <f>IFERROR(VLOOKUP($D119,Schedules!$A:$I,MATCH(Prediction!AD$6,Schedules!$A$1:$H$1,0),FALSE),0)</f>
        <v>0</v>
      </c>
      <c r="AE119" s="24">
        <f>IF(AD119=0,0,SUMIFS(Output!$L:$L,Output!$A:$A,Prediction!$A119,Output!$C:$C,Prediction!AD$5))</f>
        <v>0</v>
      </c>
      <c r="AF119" s="24">
        <f t="shared" si="42"/>
        <v>0</v>
      </c>
      <c r="AG119" s="24">
        <f t="shared" si="51"/>
        <v>0</v>
      </c>
      <c r="AH119" s="30">
        <f>SUMIFS(Output!$L:$L,Output!$A:$A,Prediction!$A119,Output!$C:$C,Prediction!AD$5)</f>
        <v>0</v>
      </c>
      <c r="AI119" s="29">
        <f>IFERROR(VLOOKUP($D119,Schedules!$A:$I,MATCH(Prediction!AI$6,Schedules!$A$1:$H$1,0),FALSE),0)</f>
        <v>0</v>
      </c>
      <c r="AJ119" s="24">
        <f>IF(AI119=0,0,SUMIFS(Output!$L:$L,Output!$A:$A,Prediction!$A119,Output!$C:$C,Prediction!AI$5))</f>
        <v>0</v>
      </c>
      <c r="AK119" s="24">
        <f t="shared" si="43"/>
        <v>0</v>
      </c>
      <c r="AL119" s="24">
        <f t="shared" si="52"/>
        <v>0</v>
      </c>
      <c r="AM119" s="30">
        <f>SUMIFS(Output!$L:$L,Output!$A:$A,Prediction!$A119,Output!$C:$C,Prediction!AI$5)</f>
        <v>0</v>
      </c>
      <c r="AN119">
        <f t="shared" si="53"/>
        <v>0</v>
      </c>
      <c r="AO119" s="3">
        <f t="shared" si="54"/>
        <v>0</v>
      </c>
      <c r="AP119" s="44"/>
      <c r="AQ119" s="3">
        <f t="shared" si="44"/>
        <v>0</v>
      </c>
      <c r="AR119" s="3">
        <f t="shared" si="55"/>
        <v>0</v>
      </c>
    </row>
    <row r="120" spans="1:44" x14ac:dyDescent="0.25">
      <c r="A120" s="9" t="str">
        <f t="array" ref="A120">IFERROR(INDEX(Output!A$1:A$2000,MATCH(0,COUNTIF(Prediction!$A$7:A119,Output!A$1:A$2000),0)),"")</f>
        <v/>
      </c>
      <c r="B120" t="str">
        <f>IFERROR(VLOOKUP($A120,Output!$A:$M,2,FALSE),"")</f>
        <v/>
      </c>
      <c r="C120" t="str">
        <f>IFERROR(VLOOKUP(B120,Departments!B:C,2,FALSE),"")</f>
        <v/>
      </c>
      <c r="D120" t="str">
        <f>IFERROR(VLOOKUP($A120,Output!$A:$M,13,FALSE),"")</f>
        <v/>
      </c>
      <c r="E120" s="29">
        <f>IFERROR(VLOOKUP($D120,Schedules!$A:$I,MATCH(Prediction!E$6,Schedules!$A$1:$H$1,0),FALSE),0)</f>
        <v>0</v>
      </c>
      <c r="F120" s="24">
        <f>IF(E120=0,0,SUMIFS(Output!$L:$L,Output!$A:$A,Prediction!$A120,Output!$C:$C,Prediction!E$5))</f>
        <v>0</v>
      </c>
      <c r="G120" s="24">
        <f t="shared" si="38"/>
        <v>0</v>
      </c>
      <c r="H120" s="45">
        <f t="shared" si="45"/>
        <v>0</v>
      </c>
      <c r="I120" s="30">
        <f>SUMIFS(Output!$L:$L,Output!$A:$A,Prediction!$A120,Output!$C:$C,Prediction!E$5)</f>
        <v>0</v>
      </c>
      <c r="J120" s="29">
        <f>IFERROR(VLOOKUP($D120,Schedules!$A:$I,MATCH(Prediction!J$6,Schedules!$A$1:$H$1,0),FALSE),0)</f>
        <v>0</v>
      </c>
      <c r="K120" s="24">
        <f>IF(J120=0,0,SUMIFS(Output!$L:$L,Output!$A:$A,Prediction!$A120,Output!$C:$C,Prediction!J$5))</f>
        <v>0</v>
      </c>
      <c r="L120" s="24">
        <f t="shared" si="39"/>
        <v>0</v>
      </c>
      <c r="M120" s="24">
        <f t="shared" si="46"/>
        <v>0</v>
      </c>
      <c r="N120" s="30">
        <f>SUMIFS(Output!$L:$L,Output!$A:$A,Prediction!$A120,Output!$C:$C,Prediction!J$5)</f>
        <v>0</v>
      </c>
      <c r="O120" s="29">
        <f>IFERROR(VLOOKUP($D120,Schedules!$A:$I,MATCH(Prediction!O$6,Schedules!$A$1:$H$1,0),FALSE),0)</f>
        <v>0</v>
      </c>
      <c r="P120" s="24">
        <f>IF(O120=0,0,SUMIFS(Output!$L:$L,Output!$A:$A,Prediction!$A120,Output!$C:$C,Prediction!O$5))</f>
        <v>0</v>
      </c>
      <c r="Q120" s="24">
        <f t="shared" si="40"/>
        <v>0</v>
      </c>
      <c r="R120" s="24">
        <f t="shared" si="47"/>
        <v>0</v>
      </c>
      <c r="S120" s="30">
        <f>SUMIFS(Output!$L:$L,Output!$A:$A,Prediction!$A120,Output!$C:$C,Prediction!O$5)</f>
        <v>0</v>
      </c>
      <c r="T120" s="29">
        <f>IFERROR(VLOOKUP($D120,Schedules!$A:$I,MATCH(Prediction!T$6,Schedules!$A$1:$H$1,0),FALSE),0)</f>
        <v>0</v>
      </c>
      <c r="U120" s="24">
        <f>IF(T120=0,0,SUMIFS(Output!$L:$L,Output!$A:$A,Prediction!$A120,Output!$C:$C,Prediction!T$5))</f>
        <v>0</v>
      </c>
      <c r="V120" s="24">
        <f t="shared" si="48"/>
        <v>0</v>
      </c>
      <c r="W120" s="24">
        <f t="shared" si="49"/>
        <v>0</v>
      </c>
      <c r="X120" s="30">
        <f>SUMIFS(Output!$L:$L,Output!$A:$A,Prediction!$A120,Output!$C:$C,Prediction!T$5)</f>
        <v>0</v>
      </c>
      <c r="Y120" s="25">
        <f>IFERROR(VLOOKUP($D120,Schedules!$A:$I,MATCH(Prediction!Y$6,Schedules!$A$1:$H$1,0),FALSE),0)</f>
        <v>0</v>
      </c>
      <c r="Z120" s="24">
        <f>IF(Y120=0,0,SUMIFS(Output!$L:$L,Output!$A:$A,Prediction!$A120,Output!$C:$C,Prediction!Y$5))</f>
        <v>0</v>
      </c>
      <c r="AA120" s="24">
        <f t="shared" si="41"/>
        <v>0</v>
      </c>
      <c r="AB120" s="24">
        <f t="shared" si="50"/>
        <v>0</v>
      </c>
      <c r="AC120" s="30">
        <f>SUMIFS(Output!$L:$L,Output!$A:$A,Prediction!$A120,Output!$C:$C,Prediction!Y$5)</f>
        <v>0</v>
      </c>
      <c r="AD120" s="29">
        <f>IFERROR(VLOOKUP($D120,Schedules!$A:$I,MATCH(Prediction!AD$6,Schedules!$A$1:$H$1,0),FALSE),0)</f>
        <v>0</v>
      </c>
      <c r="AE120" s="24">
        <f>IF(AD120=0,0,SUMIFS(Output!$L:$L,Output!$A:$A,Prediction!$A120,Output!$C:$C,Prediction!AD$5))</f>
        <v>0</v>
      </c>
      <c r="AF120" s="24">
        <f t="shared" si="42"/>
        <v>0</v>
      </c>
      <c r="AG120" s="24">
        <f t="shared" si="51"/>
        <v>0</v>
      </c>
      <c r="AH120" s="30">
        <f>SUMIFS(Output!$L:$L,Output!$A:$A,Prediction!$A120,Output!$C:$C,Prediction!AD$5)</f>
        <v>0</v>
      </c>
      <c r="AI120" s="29">
        <f>IFERROR(VLOOKUP($D120,Schedules!$A:$I,MATCH(Prediction!AI$6,Schedules!$A$1:$H$1,0),FALSE),0)</f>
        <v>0</v>
      </c>
      <c r="AJ120" s="24">
        <f>IF(AI120=0,0,SUMIFS(Output!$L:$L,Output!$A:$A,Prediction!$A120,Output!$C:$C,Prediction!AI$5))</f>
        <v>0</v>
      </c>
      <c r="AK120" s="24">
        <f t="shared" si="43"/>
        <v>0</v>
      </c>
      <c r="AL120" s="24">
        <f t="shared" si="52"/>
        <v>0</v>
      </c>
      <c r="AM120" s="30">
        <f>SUMIFS(Output!$L:$L,Output!$A:$A,Prediction!$A120,Output!$C:$C,Prediction!AI$5)</f>
        <v>0</v>
      </c>
      <c r="AN120">
        <f t="shared" si="53"/>
        <v>0</v>
      </c>
      <c r="AO120" s="3">
        <f t="shared" si="54"/>
        <v>0</v>
      </c>
      <c r="AP120" s="44"/>
      <c r="AQ120" s="3">
        <f t="shared" si="44"/>
        <v>0</v>
      </c>
      <c r="AR120" s="3">
        <f t="shared" si="55"/>
        <v>0</v>
      </c>
    </row>
    <row r="121" spans="1:44" x14ac:dyDescent="0.25">
      <c r="A121" s="9" t="str">
        <f t="array" ref="A121">IFERROR(INDEX(Output!A$1:A$2000,MATCH(0,COUNTIF(Prediction!$A$7:A120,Output!A$1:A$2000),0)),"")</f>
        <v/>
      </c>
      <c r="B121" t="str">
        <f>IFERROR(VLOOKUP($A121,Output!$A:$M,2,FALSE),"")</f>
        <v/>
      </c>
      <c r="C121" t="str">
        <f>IFERROR(VLOOKUP(B121,Departments!B:C,2,FALSE),"")</f>
        <v/>
      </c>
      <c r="D121" t="str">
        <f>IFERROR(VLOOKUP($A121,Output!$A:$M,13,FALSE),"")</f>
        <v/>
      </c>
      <c r="E121" s="29">
        <f>IFERROR(VLOOKUP($D121,Schedules!$A:$I,MATCH(Prediction!E$6,Schedules!$A$1:$H$1,0),FALSE),0)</f>
        <v>0</v>
      </c>
      <c r="F121" s="24">
        <f>IF(E121=0,0,SUMIFS(Output!$L:$L,Output!$A:$A,Prediction!$A121,Output!$C:$C,Prediction!E$5))</f>
        <v>0</v>
      </c>
      <c r="G121" s="24">
        <f t="shared" si="38"/>
        <v>0</v>
      </c>
      <c r="H121" s="45">
        <f t="shared" si="45"/>
        <v>0</v>
      </c>
      <c r="I121" s="30">
        <f>SUMIFS(Output!$L:$L,Output!$A:$A,Prediction!$A121,Output!$C:$C,Prediction!E$5)</f>
        <v>0</v>
      </c>
      <c r="J121" s="29">
        <f>IFERROR(VLOOKUP($D121,Schedules!$A:$I,MATCH(Prediction!J$6,Schedules!$A$1:$H$1,0),FALSE),0)</f>
        <v>0</v>
      </c>
      <c r="K121" s="24">
        <f>IF(J121=0,0,SUMIFS(Output!$L:$L,Output!$A:$A,Prediction!$A121,Output!$C:$C,Prediction!J$5))</f>
        <v>0</v>
      </c>
      <c r="L121" s="24">
        <f t="shared" si="39"/>
        <v>0</v>
      </c>
      <c r="M121" s="24">
        <f t="shared" si="46"/>
        <v>0</v>
      </c>
      <c r="N121" s="30">
        <f>SUMIFS(Output!$L:$L,Output!$A:$A,Prediction!$A121,Output!$C:$C,Prediction!J$5)</f>
        <v>0</v>
      </c>
      <c r="O121" s="29">
        <f>IFERROR(VLOOKUP($D121,Schedules!$A:$I,MATCH(Prediction!O$6,Schedules!$A$1:$H$1,0),FALSE),0)</f>
        <v>0</v>
      </c>
      <c r="P121" s="24">
        <f>IF(O121=0,0,SUMIFS(Output!$L:$L,Output!$A:$A,Prediction!$A121,Output!$C:$C,Prediction!O$5))</f>
        <v>0</v>
      </c>
      <c r="Q121" s="24">
        <f t="shared" si="40"/>
        <v>0</v>
      </c>
      <c r="R121" s="24">
        <f t="shared" si="47"/>
        <v>0</v>
      </c>
      <c r="S121" s="30">
        <f>SUMIFS(Output!$L:$L,Output!$A:$A,Prediction!$A121,Output!$C:$C,Prediction!O$5)</f>
        <v>0</v>
      </c>
      <c r="T121" s="29">
        <f>IFERROR(VLOOKUP($D121,Schedules!$A:$I,MATCH(Prediction!T$6,Schedules!$A$1:$H$1,0),FALSE),0)</f>
        <v>0</v>
      </c>
      <c r="U121" s="24">
        <f>IF(T121=0,0,SUMIFS(Output!$L:$L,Output!$A:$A,Prediction!$A121,Output!$C:$C,Prediction!T$5))</f>
        <v>0</v>
      </c>
      <c r="V121" s="24">
        <f t="shared" si="48"/>
        <v>0</v>
      </c>
      <c r="W121" s="24">
        <f t="shared" si="49"/>
        <v>0</v>
      </c>
      <c r="X121" s="30">
        <f>SUMIFS(Output!$L:$L,Output!$A:$A,Prediction!$A121,Output!$C:$C,Prediction!T$5)</f>
        <v>0</v>
      </c>
      <c r="Y121" s="25">
        <f>IFERROR(VLOOKUP($D121,Schedules!$A:$I,MATCH(Prediction!Y$6,Schedules!$A$1:$H$1,0),FALSE),0)</f>
        <v>0</v>
      </c>
      <c r="Z121" s="24">
        <f>IF(Y121=0,0,SUMIFS(Output!$L:$L,Output!$A:$A,Prediction!$A121,Output!$C:$C,Prediction!Y$5))</f>
        <v>0</v>
      </c>
      <c r="AA121" s="24">
        <f t="shared" si="41"/>
        <v>0</v>
      </c>
      <c r="AB121" s="24">
        <f t="shared" si="50"/>
        <v>0</v>
      </c>
      <c r="AC121" s="30">
        <f>SUMIFS(Output!$L:$L,Output!$A:$A,Prediction!$A121,Output!$C:$C,Prediction!Y$5)</f>
        <v>0</v>
      </c>
      <c r="AD121" s="29">
        <f>IFERROR(VLOOKUP($D121,Schedules!$A:$I,MATCH(Prediction!AD$6,Schedules!$A$1:$H$1,0),FALSE),0)</f>
        <v>0</v>
      </c>
      <c r="AE121" s="24">
        <f>IF(AD121=0,0,SUMIFS(Output!$L:$L,Output!$A:$A,Prediction!$A121,Output!$C:$C,Prediction!AD$5))</f>
        <v>0</v>
      </c>
      <c r="AF121" s="24">
        <f t="shared" si="42"/>
        <v>0</v>
      </c>
      <c r="AG121" s="24">
        <f t="shared" si="51"/>
        <v>0</v>
      </c>
      <c r="AH121" s="30">
        <f>SUMIFS(Output!$L:$L,Output!$A:$A,Prediction!$A121,Output!$C:$C,Prediction!AD$5)</f>
        <v>0</v>
      </c>
      <c r="AI121" s="29">
        <f>IFERROR(VLOOKUP($D121,Schedules!$A:$I,MATCH(Prediction!AI$6,Schedules!$A$1:$H$1,0),FALSE),0)</f>
        <v>0</v>
      </c>
      <c r="AJ121" s="24">
        <f>IF(AI121=0,0,SUMIFS(Output!$L:$L,Output!$A:$A,Prediction!$A121,Output!$C:$C,Prediction!AI$5))</f>
        <v>0</v>
      </c>
      <c r="AK121" s="24">
        <f t="shared" si="43"/>
        <v>0</v>
      </c>
      <c r="AL121" s="24">
        <f t="shared" si="52"/>
        <v>0</v>
      </c>
      <c r="AM121" s="30">
        <f>SUMIFS(Output!$L:$L,Output!$A:$A,Prediction!$A121,Output!$C:$C,Prediction!AI$5)</f>
        <v>0</v>
      </c>
      <c r="AN121">
        <f t="shared" si="53"/>
        <v>0</v>
      </c>
      <c r="AO121" s="3">
        <f t="shared" si="54"/>
        <v>0</v>
      </c>
      <c r="AP121" s="44"/>
      <c r="AQ121" s="3">
        <f t="shared" si="44"/>
        <v>0</v>
      </c>
      <c r="AR121" s="3">
        <f t="shared" si="55"/>
        <v>0</v>
      </c>
    </row>
    <row r="122" spans="1:44" x14ac:dyDescent="0.25">
      <c r="A122" s="9" t="str">
        <f t="array" ref="A122">IFERROR(INDEX(Output!A$1:A$2000,MATCH(0,COUNTIF(Prediction!$A$7:A121,Output!A$1:A$2000),0)),"")</f>
        <v/>
      </c>
      <c r="B122" t="str">
        <f>IFERROR(VLOOKUP($A122,Output!$A:$M,2,FALSE),"")</f>
        <v/>
      </c>
      <c r="C122" t="str">
        <f>IFERROR(VLOOKUP(B122,Departments!B:C,2,FALSE),"")</f>
        <v/>
      </c>
      <c r="D122" t="str">
        <f>IFERROR(VLOOKUP($A122,Output!$A:$M,13,FALSE),"")</f>
        <v/>
      </c>
      <c r="E122" s="29">
        <f>IFERROR(VLOOKUP($D122,Schedules!$A:$I,MATCH(Prediction!E$6,Schedules!$A$1:$H$1,0),FALSE),0)</f>
        <v>0</v>
      </c>
      <c r="F122" s="24">
        <f>IF(E122=0,0,SUMIFS(Output!$L:$L,Output!$A:$A,Prediction!$A122,Output!$C:$C,Prediction!E$5))</f>
        <v>0</v>
      </c>
      <c r="G122" s="24">
        <f t="shared" si="38"/>
        <v>0</v>
      </c>
      <c r="H122" s="45">
        <f t="shared" si="45"/>
        <v>0</v>
      </c>
      <c r="I122" s="30">
        <f>SUMIFS(Output!$L:$L,Output!$A:$A,Prediction!$A122,Output!$C:$C,Prediction!E$5)</f>
        <v>0</v>
      </c>
      <c r="J122" s="29">
        <f>IFERROR(VLOOKUP($D122,Schedules!$A:$I,MATCH(Prediction!J$6,Schedules!$A$1:$H$1,0),FALSE),0)</f>
        <v>0</v>
      </c>
      <c r="K122" s="24">
        <f>IF(J122=0,0,SUMIFS(Output!$L:$L,Output!$A:$A,Prediction!$A122,Output!$C:$C,Prediction!J$5))</f>
        <v>0</v>
      </c>
      <c r="L122" s="24">
        <f t="shared" si="39"/>
        <v>0</v>
      </c>
      <c r="M122" s="24">
        <f t="shared" si="46"/>
        <v>0</v>
      </c>
      <c r="N122" s="30">
        <f>SUMIFS(Output!$L:$L,Output!$A:$A,Prediction!$A122,Output!$C:$C,Prediction!J$5)</f>
        <v>0</v>
      </c>
      <c r="O122" s="29">
        <f>IFERROR(VLOOKUP($D122,Schedules!$A:$I,MATCH(Prediction!O$6,Schedules!$A$1:$H$1,0),FALSE),0)</f>
        <v>0</v>
      </c>
      <c r="P122" s="24">
        <f>IF(O122=0,0,SUMIFS(Output!$L:$L,Output!$A:$A,Prediction!$A122,Output!$C:$C,Prediction!O$5))</f>
        <v>0</v>
      </c>
      <c r="Q122" s="24">
        <f t="shared" si="40"/>
        <v>0</v>
      </c>
      <c r="R122" s="24">
        <f t="shared" si="47"/>
        <v>0</v>
      </c>
      <c r="S122" s="30">
        <f>SUMIFS(Output!$L:$L,Output!$A:$A,Prediction!$A122,Output!$C:$C,Prediction!O$5)</f>
        <v>0</v>
      </c>
      <c r="T122" s="29">
        <f>IFERROR(VLOOKUP($D122,Schedules!$A:$I,MATCH(Prediction!T$6,Schedules!$A$1:$H$1,0),FALSE),0)</f>
        <v>0</v>
      </c>
      <c r="U122" s="24">
        <f>IF(T122=0,0,SUMIFS(Output!$L:$L,Output!$A:$A,Prediction!$A122,Output!$C:$C,Prediction!T$5))</f>
        <v>0</v>
      </c>
      <c r="V122" s="24">
        <f t="shared" si="48"/>
        <v>0</v>
      </c>
      <c r="W122" s="24">
        <f t="shared" si="49"/>
        <v>0</v>
      </c>
      <c r="X122" s="30">
        <f>SUMIFS(Output!$L:$L,Output!$A:$A,Prediction!$A122,Output!$C:$C,Prediction!T$5)</f>
        <v>0</v>
      </c>
      <c r="Y122" s="25">
        <f>IFERROR(VLOOKUP($D122,Schedules!$A:$I,MATCH(Prediction!Y$6,Schedules!$A$1:$H$1,0),FALSE),0)</f>
        <v>0</v>
      </c>
      <c r="Z122" s="24">
        <f>IF(Y122=0,0,SUMIFS(Output!$L:$L,Output!$A:$A,Prediction!$A122,Output!$C:$C,Prediction!Y$5))</f>
        <v>0</v>
      </c>
      <c r="AA122" s="24">
        <f t="shared" si="41"/>
        <v>0</v>
      </c>
      <c r="AB122" s="24">
        <f t="shared" si="50"/>
        <v>0</v>
      </c>
      <c r="AC122" s="30">
        <f>SUMIFS(Output!$L:$L,Output!$A:$A,Prediction!$A122,Output!$C:$C,Prediction!Y$5)</f>
        <v>0</v>
      </c>
      <c r="AD122" s="29">
        <f>IFERROR(VLOOKUP($D122,Schedules!$A:$I,MATCH(Prediction!AD$6,Schedules!$A$1:$H$1,0),FALSE),0)</f>
        <v>0</v>
      </c>
      <c r="AE122" s="24">
        <f>IF(AD122=0,0,SUMIFS(Output!$L:$L,Output!$A:$A,Prediction!$A122,Output!$C:$C,Prediction!AD$5))</f>
        <v>0</v>
      </c>
      <c r="AF122" s="24">
        <f t="shared" si="42"/>
        <v>0</v>
      </c>
      <c r="AG122" s="24">
        <f t="shared" si="51"/>
        <v>0</v>
      </c>
      <c r="AH122" s="30">
        <f>SUMIFS(Output!$L:$L,Output!$A:$A,Prediction!$A122,Output!$C:$C,Prediction!AD$5)</f>
        <v>0</v>
      </c>
      <c r="AI122" s="29">
        <f>IFERROR(VLOOKUP($D122,Schedules!$A:$I,MATCH(Prediction!AI$6,Schedules!$A$1:$H$1,0),FALSE),0)</f>
        <v>0</v>
      </c>
      <c r="AJ122" s="24">
        <f>IF(AI122=0,0,SUMIFS(Output!$L:$L,Output!$A:$A,Prediction!$A122,Output!$C:$C,Prediction!AI$5))</f>
        <v>0</v>
      </c>
      <c r="AK122" s="24">
        <f t="shared" si="43"/>
        <v>0</v>
      </c>
      <c r="AL122" s="24">
        <f t="shared" si="52"/>
        <v>0</v>
      </c>
      <c r="AM122" s="30">
        <f>SUMIFS(Output!$L:$L,Output!$A:$A,Prediction!$A122,Output!$C:$C,Prediction!AI$5)</f>
        <v>0</v>
      </c>
      <c r="AN122">
        <f t="shared" si="53"/>
        <v>0</v>
      </c>
      <c r="AO122" s="3">
        <f t="shared" si="54"/>
        <v>0</v>
      </c>
      <c r="AP122" s="44"/>
      <c r="AQ122" s="3">
        <f t="shared" si="44"/>
        <v>0</v>
      </c>
      <c r="AR122" s="3">
        <f t="shared" si="55"/>
        <v>0</v>
      </c>
    </row>
    <row r="123" spans="1:44" x14ac:dyDescent="0.25">
      <c r="A123" s="9" t="str">
        <f t="array" ref="A123">IFERROR(INDEX(Output!A$1:A$2000,MATCH(0,COUNTIF(Prediction!$A$7:A122,Output!A$1:A$2000),0)),"")</f>
        <v/>
      </c>
      <c r="B123" t="str">
        <f>IFERROR(VLOOKUP($A123,Output!$A:$M,2,FALSE),"")</f>
        <v/>
      </c>
      <c r="C123" t="str">
        <f>IFERROR(VLOOKUP(B123,Departments!B:C,2,FALSE),"")</f>
        <v/>
      </c>
      <c r="D123" t="str">
        <f>IFERROR(VLOOKUP($A123,Output!$A:$M,13,FALSE),"")</f>
        <v/>
      </c>
      <c r="E123" s="29">
        <f>IFERROR(VLOOKUP($D123,Schedules!$A:$I,MATCH(Prediction!E$6,Schedules!$A$1:$H$1,0),FALSE),0)</f>
        <v>0</v>
      </c>
      <c r="F123" s="24">
        <f>IF(E123=0,0,SUMIFS(Output!$L:$L,Output!$A:$A,Prediction!$A123,Output!$C:$C,Prediction!E$5))</f>
        <v>0</v>
      </c>
      <c r="G123" s="24">
        <f t="shared" si="38"/>
        <v>0</v>
      </c>
      <c r="H123" s="45">
        <f t="shared" si="45"/>
        <v>0</v>
      </c>
      <c r="I123" s="30">
        <f>SUMIFS(Output!$L:$L,Output!$A:$A,Prediction!$A123,Output!$C:$C,Prediction!E$5)</f>
        <v>0</v>
      </c>
      <c r="J123" s="29">
        <f>IFERROR(VLOOKUP($D123,Schedules!$A:$I,MATCH(Prediction!J$6,Schedules!$A$1:$H$1,0),FALSE),0)</f>
        <v>0</v>
      </c>
      <c r="K123" s="24">
        <f>IF(J123=0,0,SUMIFS(Output!$L:$L,Output!$A:$A,Prediction!$A123,Output!$C:$C,Prediction!J$5))</f>
        <v>0</v>
      </c>
      <c r="L123" s="24">
        <f t="shared" si="39"/>
        <v>0</v>
      </c>
      <c r="M123" s="24">
        <f t="shared" si="46"/>
        <v>0</v>
      </c>
      <c r="N123" s="30">
        <f>SUMIFS(Output!$L:$L,Output!$A:$A,Prediction!$A123,Output!$C:$C,Prediction!J$5)</f>
        <v>0</v>
      </c>
      <c r="O123" s="29">
        <f>IFERROR(VLOOKUP($D123,Schedules!$A:$I,MATCH(Prediction!O$6,Schedules!$A$1:$H$1,0),FALSE),0)</f>
        <v>0</v>
      </c>
      <c r="P123" s="24">
        <f>IF(O123=0,0,SUMIFS(Output!$L:$L,Output!$A:$A,Prediction!$A123,Output!$C:$C,Prediction!O$5))</f>
        <v>0</v>
      </c>
      <c r="Q123" s="24">
        <f t="shared" si="40"/>
        <v>0</v>
      </c>
      <c r="R123" s="24">
        <f t="shared" si="47"/>
        <v>0</v>
      </c>
      <c r="S123" s="30">
        <f>SUMIFS(Output!$L:$L,Output!$A:$A,Prediction!$A123,Output!$C:$C,Prediction!O$5)</f>
        <v>0</v>
      </c>
      <c r="T123" s="29">
        <f>IFERROR(VLOOKUP($D123,Schedules!$A:$I,MATCH(Prediction!T$6,Schedules!$A$1:$H$1,0),FALSE),0)</f>
        <v>0</v>
      </c>
      <c r="U123" s="24">
        <f>IF(T123=0,0,SUMIFS(Output!$L:$L,Output!$A:$A,Prediction!$A123,Output!$C:$C,Prediction!T$5))</f>
        <v>0</v>
      </c>
      <c r="V123" s="24">
        <f t="shared" si="48"/>
        <v>0</v>
      </c>
      <c r="W123" s="24">
        <f t="shared" si="49"/>
        <v>0</v>
      </c>
      <c r="X123" s="30">
        <f>SUMIFS(Output!$L:$L,Output!$A:$A,Prediction!$A123,Output!$C:$C,Prediction!T$5)</f>
        <v>0</v>
      </c>
      <c r="Y123" s="25">
        <f>IFERROR(VLOOKUP($D123,Schedules!$A:$I,MATCH(Prediction!Y$6,Schedules!$A$1:$H$1,0),FALSE),0)</f>
        <v>0</v>
      </c>
      <c r="Z123" s="24">
        <f>IF(Y123=0,0,SUMIFS(Output!$L:$L,Output!$A:$A,Prediction!$A123,Output!$C:$C,Prediction!Y$5))</f>
        <v>0</v>
      </c>
      <c r="AA123" s="24">
        <f t="shared" si="41"/>
        <v>0</v>
      </c>
      <c r="AB123" s="24">
        <f t="shared" si="50"/>
        <v>0</v>
      </c>
      <c r="AC123" s="30">
        <f>SUMIFS(Output!$L:$L,Output!$A:$A,Prediction!$A123,Output!$C:$C,Prediction!Y$5)</f>
        <v>0</v>
      </c>
      <c r="AD123" s="29">
        <f>IFERROR(VLOOKUP($D123,Schedules!$A:$I,MATCH(Prediction!AD$6,Schedules!$A$1:$H$1,0),FALSE),0)</f>
        <v>0</v>
      </c>
      <c r="AE123" s="24">
        <f>IF(AD123=0,0,SUMIFS(Output!$L:$L,Output!$A:$A,Prediction!$A123,Output!$C:$C,Prediction!AD$5))</f>
        <v>0</v>
      </c>
      <c r="AF123" s="24">
        <f t="shared" si="42"/>
        <v>0</v>
      </c>
      <c r="AG123" s="24">
        <f t="shared" si="51"/>
        <v>0</v>
      </c>
      <c r="AH123" s="30">
        <f>SUMIFS(Output!$L:$L,Output!$A:$A,Prediction!$A123,Output!$C:$C,Prediction!AD$5)</f>
        <v>0</v>
      </c>
      <c r="AI123" s="29">
        <f>IFERROR(VLOOKUP($D123,Schedules!$A:$I,MATCH(Prediction!AI$6,Schedules!$A$1:$H$1,0),FALSE),0)</f>
        <v>0</v>
      </c>
      <c r="AJ123" s="24">
        <f>IF(AI123=0,0,SUMIFS(Output!$L:$L,Output!$A:$A,Prediction!$A123,Output!$C:$C,Prediction!AI$5))</f>
        <v>0</v>
      </c>
      <c r="AK123" s="24">
        <f t="shared" si="43"/>
        <v>0</v>
      </c>
      <c r="AL123" s="24">
        <f t="shared" si="52"/>
        <v>0</v>
      </c>
      <c r="AM123" s="30">
        <f>SUMIFS(Output!$L:$L,Output!$A:$A,Prediction!$A123,Output!$C:$C,Prediction!AI$5)</f>
        <v>0</v>
      </c>
      <c r="AN123">
        <f t="shared" si="53"/>
        <v>0</v>
      </c>
      <c r="AO123" s="3">
        <f t="shared" si="54"/>
        <v>0</v>
      </c>
      <c r="AP123" s="44"/>
      <c r="AQ123" s="3">
        <f t="shared" si="44"/>
        <v>0</v>
      </c>
      <c r="AR123" s="3">
        <f t="shared" si="55"/>
        <v>0</v>
      </c>
    </row>
    <row r="124" spans="1:44" x14ac:dyDescent="0.25">
      <c r="A124" s="9" t="str">
        <f t="array" ref="A124">IFERROR(INDEX(Output!A$1:A$2000,MATCH(0,COUNTIF(Prediction!$A$7:A123,Output!A$1:A$2000),0)),"")</f>
        <v/>
      </c>
      <c r="B124" t="str">
        <f>IFERROR(VLOOKUP($A124,Output!$A:$M,2,FALSE),"")</f>
        <v/>
      </c>
      <c r="C124" t="str">
        <f>IFERROR(VLOOKUP(B124,Departments!B:C,2,FALSE),"")</f>
        <v/>
      </c>
      <c r="D124" t="str">
        <f>IFERROR(VLOOKUP($A124,Output!$A:$M,13,FALSE),"")</f>
        <v/>
      </c>
      <c r="E124" s="29">
        <f>IFERROR(VLOOKUP($D124,Schedules!$A:$I,MATCH(Prediction!E$6,Schedules!$A$1:$H$1,0),FALSE),0)</f>
        <v>0</v>
      </c>
      <c r="F124" s="24">
        <f>IF(E124=0,0,SUMIFS(Output!$L:$L,Output!$A:$A,Prediction!$A124,Output!$C:$C,Prediction!E$5))</f>
        <v>0</v>
      </c>
      <c r="G124" s="24">
        <f t="shared" si="38"/>
        <v>0</v>
      </c>
      <c r="H124" s="45">
        <f t="shared" si="45"/>
        <v>0</v>
      </c>
      <c r="I124" s="30">
        <f>SUMIFS(Output!$L:$L,Output!$A:$A,Prediction!$A124,Output!$C:$C,Prediction!E$5)</f>
        <v>0</v>
      </c>
      <c r="J124" s="29">
        <f>IFERROR(VLOOKUP($D124,Schedules!$A:$I,MATCH(Prediction!J$6,Schedules!$A$1:$H$1,0),FALSE),0)</f>
        <v>0</v>
      </c>
      <c r="K124" s="24">
        <f>IF(J124=0,0,SUMIFS(Output!$L:$L,Output!$A:$A,Prediction!$A124,Output!$C:$C,Prediction!J$5))</f>
        <v>0</v>
      </c>
      <c r="L124" s="24">
        <f t="shared" si="39"/>
        <v>0</v>
      </c>
      <c r="M124" s="24">
        <f t="shared" si="46"/>
        <v>0</v>
      </c>
      <c r="N124" s="30">
        <f>SUMIFS(Output!$L:$L,Output!$A:$A,Prediction!$A124,Output!$C:$C,Prediction!J$5)</f>
        <v>0</v>
      </c>
      <c r="O124" s="29">
        <f>IFERROR(VLOOKUP($D124,Schedules!$A:$I,MATCH(Prediction!O$6,Schedules!$A$1:$H$1,0),FALSE),0)</f>
        <v>0</v>
      </c>
      <c r="P124" s="24">
        <f>IF(O124=0,0,SUMIFS(Output!$L:$L,Output!$A:$A,Prediction!$A124,Output!$C:$C,Prediction!O$5))</f>
        <v>0</v>
      </c>
      <c r="Q124" s="24">
        <f t="shared" si="40"/>
        <v>0</v>
      </c>
      <c r="R124" s="24">
        <f t="shared" si="47"/>
        <v>0</v>
      </c>
      <c r="S124" s="30">
        <f>SUMIFS(Output!$L:$L,Output!$A:$A,Prediction!$A124,Output!$C:$C,Prediction!O$5)</f>
        <v>0</v>
      </c>
      <c r="T124" s="29">
        <f>IFERROR(VLOOKUP($D124,Schedules!$A:$I,MATCH(Prediction!T$6,Schedules!$A$1:$H$1,0),FALSE),0)</f>
        <v>0</v>
      </c>
      <c r="U124" s="24">
        <f>IF(T124=0,0,SUMIFS(Output!$L:$L,Output!$A:$A,Prediction!$A124,Output!$C:$C,Prediction!T$5))</f>
        <v>0</v>
      </c>
      <c r="V124" s="24">
        <f t="shared" si="48"/>
        <v>0</v>
      </c>
      <c r="W124" s="24">
        <f t="shared" si="49"/>
        <v>0</v>
      </c>
      <c r="X124" s="30">
        <f>SUMIFS(Output!$L:$L,Output!$A:$A,Prediction!$A124,Output!$C:$C,Prediction!T$5)</f>
        <v>0</v>
      </c>
      <c r="Y124" s="25">
        <f>IFERROR(VLOOKUP($D124,Schedules!$A:$I,MATCH(Prediction!Y$6,Schedules!$A$1:$H$1,0),FALSE),0)</f>
        <v>0</v>
      </c>
      <c r="Z124" s="24">
        <f>IF(Y124=0,0,SUMIFS(Output!$L:$L,Output!$A:$A,Prediction!$A124,Output!$C:$C,Prediction!Y$5))</f>
        <v>0</v>
      </c>
      <c r="AA124" s="24">
        <f t="shared" si="41"/>
        <v>0</v>
      </c>
      <c r="AB124" s="24">
        <f t="shared" si="50"/>
        <v>0</v>
      </c>
      <c r="AC124" s="30">
        <f>SUMIFS(Output!$L:$L,Output!$A:$A,Prediction!$A124,Output!$C:$C,Prediction!Y$5)</f>
        <v>0</v>
      </c>
      <c r="AD124" s="29">
        <f>IFERROR(VLOOKUP($D124,Schedules!$A:$I,MATCH(Prediction!AD$6,Schedules!$A$1:$H$1,0),FALSE),0)</f>
        <v>0</v>
      </c>
      <c r="AE124" s="24">
        <f>IF(AD124=0,0,SUMIFS(Output!$L:$L,Output!$A:$A,Prediction!$A124,Output!$C:$C,Prediction!AD$5))</f>
        <v>0</v>
      </c>
      <c r="AF124" s="24">
        <f t="shared" si="42"/>
        <v>0</v>
      </c>
      <c r="AG124" s="24">
        <f t="shared" si="51"/>
        <v>0</v>
      </c>
      <c r="AH124" s="30">
        <f>SUMIFS(Output!$L:$L,Output!$A:$A,Prediction!$A124,Output!$C:$C,Prediction!AD$5)</f>
        <v>0</v>
      </c>
      <c r="AI124" s="29">
        <f>IFERROR(VLOOKUP($D124,Schedules!$A:$I,MATCH(Prediction!AI$6,Schedules!$A$1:$H$1,0),FALSE),0)</f>
        <v>0</v>
      </c>
      <c r="AJ124" s="24">
        <f>IF(AI124=0,0,SUMIFS(Output!$L:$L,Output!$A:$A,Prediction!$A124,Output!$C:$C,Prediction!AI$5))</f>
        <v>0</v>
      </c>
      <c r="AK124" s="24">
        <f t="shared" si="43"/>
        <v>0</v>
      </c>
      <c r="AL124" s="24">
        <f t="shared" si="52"/>
        <v>0</v>
      </c>
      <c r="AM124" s="30">
        <f>SUMIFS(Output!$L:$L,Output!$A:$A,Prediction!$A124,Output!$C:$C,Prediction!AI$5)</f>
        <v>0</v>
      </c>
      <c r="AN124">
        <f t="shared" si="53"/>
        <v>0</v>
      </c>
      <c r="AO124" s="3">
        <f t="shared" si="54"/>
        <v>0</v>
      </c>
      <c r="AP124" s="44"/>
      <c r="AQ124" s="3">
        <f t="shared" si="44"/>
        <v>0</v>
      </c>
      <c r="AR124" s="3">
        <f t="shared" si="55"/>
        <v>0</v>
      </c>
    </row>
    <row r="125" spans="1:44" x14ac:dyDescent="0.25">
      <c r="A125" s="9" t="str">
        <f t="array" ref="A125">IFERROR(INDEX(Output!A$1:A$2000,MATCH(0,COUNTIF(Prediction!$A$7:A124,Output!A$1:A$2000),0)),"")</f>
        <v/>
      </c>
      <c r="B125" t="str">
        <f>IFERROR(VLOOKUP($A125,Output!$A:$M,2,FALSE),"")</f>
        <v/>
      </c>
      <c r="C125" t="str">
        <f>IFERROR(VLOOKUP(B125,Departments!B:C,2,FALSE),"")</f>
        <v/>
      </c>
      <c r="D125" t="str">
        <f>IFERROR(VLOOKUP($A125,Output!$A:$M,13,FALSE),"")</f>
        <v/>
      </c>
      <c r="E125" s="29">
        <f>IFERROR(VLOOKUP($D125,Schedules!$A:$I,MATCH(Prediction!E$6,Schedules!$A$1:$H$1,0),FALSE),0)</f>
        <v>0</v>
      </c>
      <c r="F125" s="24">
        <f>IF(E125=0,0,SUMIFS(Output!$L:$L,Output!$A:$A,Prediction!$A125,Output!$C:$C,Prediction!E$5))</f>
        <v>0</v>
      </c>
      <c r="G125" s="24">
        <f t="shared" si="38"/>
        <v>0</v>
      </c>
      <c r="H125" s="45">
        <f t="shared" si="45"/>
        <v>0</v>
      </c>
      <c r="I125" s="30">
        <f>SUMIFS(Output!$L:$L,Output!$A:$A,Prediction!$A125,Output!$C:$C,Prediction!E$5)</f>
        <v>0</v>
      </c>
      <c r="J125" s="29">
        <f>IFERROR(VLOOKUP($D125,Schedules!$A:$I,MATCH(Prediction!J$6,Schedules!$A$1:$H$1,0),FALSE),0)</f>
        <v>0</v>
      </c>
      <c r="K125" s="24">
        <f>IF(J125=0,0,SUMIFS(Output!$L:$L,Output!$A:$A,Prediction!$A125,Output!$C:$C,Prediction!J$5))</f>
        <v>0</v>
      </c>
      <c r="L125" s="24">
        <f t="shared" si="39"/>
        <v>0</v>
      </c>
      <c r="M125" s="24">
        <f t="shared" si="46"/>
        <v>0</v>
      </c>
      <c r="N125" s="30">
        <f>SUMIFS(Output!$L:$L,Output!$A:$A,Prediction!$A125,Output!$C:$C,Prediction!J$5)</f>
        <v>0</v>
      </c>
      <c r="O125" s="29">
        <f>IFERROR(VLOOKUP($D125,Schedules!$A:$I,MATCH(Prediction!O$6,Schedules!$A$1:$H$1,0),FALSE),0)</f>
        <v>0</v>
      </c>
      <c r="P125" s="24">
        <f>IF(O125=0,0,SUMIFS(Output!$L:$L,Output!$A:$A,Prediction!$A125,Output!$C:$C,Prediction!O$5))</f>
        <v>0</v>
      </c>
      <c r="Q125" s="24">
        <f t="shared" si="40"/>
        <v>0</v>
      </c>
      <c r="R125" s="24">
        <f t="shared" si="47"/>
        <v>0</v>
      </c>
      <c r="S125" s="30">
        <f>SUMIFS(Output!$L:$L,Output!$A:$A,Prediction!$A125,Output!$C:$C,Prediction!O$5)</f>
        <v>0</v>
      </c>
      <c r="T125" s="29">
        <f>IFERROR(VLOOKUP($D125,Schedules!$A:$I,MATCH(Prediction!T$6,Schedules!$A$1:$H$1,0),FALSE),0)</f>
        <v>0</v>
      </c>
      <c r="U125" s="24">
        <f>IF(T125=0,0,SUMIFS(Output!$L:$L,Output!$A:$A,Prediction!$A125,Output!$C:$C,Prediction!T$5))</f>
        <v>0</v>
      </c>
      <c r="V125" s="24">
        <f t="shared" si="48"/>
        <v>0</v>
      </c>
      <c r="W125" s="24">
        <f t="shared" si="49"/>
        <v>0</v>
      </c>
      <c r="X125" s="30">
        <f>SUMIFS(Output!$L:$L,Output!$A:$A,Prediction!$A125,Output!$C:$C,Prediction!T$5)</f>
        <v>0</v>
      </c>
      <c r="Y125" s="25">
        <f>IFERROR(VLOOKUP($D125,Schedules!$A:$I,MATCH(Prediction!Y$6,Schedules!$A$1:$H$1,0),FALSE),0)</f>
        <v>0</v>
      </c>
      <c r="Z125" s="24">
        <f>IF(Y125=0,0,SUMIFS(Output!$L:$L,Output!$A:$A,Prediction!$A125,Output!$C:$C,Prediction!Y$5))</f>
        <v>0</v>
      </c>
      <c r="AA125" s="24">
        <f t="shared" si="41"/>
        <v>0</v>
      </c>
      <c r="AB125" s="24">
        <f t="shared" si="50"/>
        <v>0</v>
      </c>
      <c r="AC125" s="30">
        <f>SUMIFS(Output!$L:$L,Output!$A:$A,Prediction!$A125,Output!$C:$C,Prediction!Y$5)</f>
        <v>0</v>
      </c>
      <c r="AD125" s="29">
        <f>IFERROR(VLOOKUP($D125,Schedules!$A:$I,MATCH(Prediction!AD$6,Schedules!$A$1:$H$1,0),FALSE),0)</f>
        <v>0</v>
      </c>
      <c r="AE125" s="24">
        <f>IF(AD125=0,0,SUMIFS(Output!$L:$L,Output!$A:$A,Prediction!$A125,Output!$C:$C,Prediction!AD$5))</f>
        <v>0</v>
      </c>
      <c r="AF125" s="24">
        <f t="shared" si="42"/>
        <v>0</v>
      </c>
      <c r="AG125" s="24">
        <f t="shared" si="51"/>
        <v>0</v>
      </c>
      <c r="AH125" s="30">
        <f>SUMIFS(Output!$L:$L,Output!$A:$A,Prediction!$A125,Output!$C:$C,Prediction!AD$5)</f>
        <v>0</v>
      </c>
      <c r="AI125" s="29">
        <f>IFERROR(VLOOKUP($D125,Schedules!$A:$I,MATCH(Prediction!AI$6,Schedules!$A$1:$H$1,0),FALSE),0)</f>
        <v>0</v>
      </c>
      <c r="AJ125" s="24">
        <f>IF(AI125=0,0,SUMIFS(Output!$L:$L,Output!$A:$A,Prediction!$A125,Output!$C:$C,Prediction!AI$5))</f>
        <v>0</v>
      </c>
      <c r="AK125" s="24">
        <f t="shared" si="43"/>
        <v>0</v>
      </c>
      <c r="AL125" s="24">
        <f t="shared" si="52"/>
        <v>0</v>
      </c>
      <c r="AM125" s="30">
        <f>SUMIFS(Output!$L:$L,Output!$A:$A,Prediction!$A125,Output!$C:$C,Prediction!AI$5)</f>
        <v>0</v>
      </c>
      <c r="AN125">
        <f t="shared" si="53"/>
        <v>0</v>
      </c>
      <c r="AO125" s="3">
        <f t="shared" si="54"/>
        <v>0</v>
      </c>
      <c r="AP125" s="44"/>
      <c r="AQ125" s="3">
        <f t="shared" si="44"/>
        <v>0</v>
      </c>
      <c r="AR125" s="3">
        <f t="shared" si="55"/>
        <v>0</v>
      </c>
    </row>
    <row r="126" spans="1:44" x14ac:dyDescent="0.25">
      <c r="A126" s="9" t="str">
        <f t="array" ref="A126">IFERROR(INDEX(Output!A$1:A$2000,MATCH(0,COUNTIF(Prediction!$A$7:A125,Output!A$1:A$2000),0)),"")</f>
        <v/>
      </c>
      <c r="B126" t="str">
        <f>IFERROR(VLOOKUP($A126,Output!$A:$M,2,FALSE),"")</f>
        <v/>
      </c>
      <c r="C126" t="str">
        <f>IFERROR(VLOOKUP(B126,Departments!B:C,2,FALSE),"")</f>
        <v/>
      </c>
      <c r="D126" t="str">
        <f>IFERROR(VLOOKUP($A126,Output!$A:$M,13,FALSE),"")</f>
        <v/>
      </c>
      <c r="E126" s="29">
        <f>IFERROR(VLOOKUP($D126,Schedules!$A:$I,MATCH(Prediction!E$6,Schedules!$A$1:$H$1,0),FALSE),0)</f>
        <v>0</v>
      </c>
      <c r="F126" s="24">
        <f>IF(E126=0,0,SUMIFS(Output!$L:$L,Output!$A:$A,Prediction!$A126,Output!$C:$C,Prediction!E$5))</f>
        <v>0</v>
      </c>
      <c r="G126" s="24">
        <f t="shared" si="38"/>
        <v>0</v>
      </c>
      <c r="H126" s="45">
        <f t="shared" si="45"/>
        <v>0</v>
      </c>
      <c r="I126" s="30">
        <f>SUMIFS(Output!$L:$L,Output!$A:$A,Prediction!$A126,Output!$C:$C,Prediction!E$5)</f>
        <v>0</v>
      </c>
      <c r="J126" s="29">
        <f>IFERROR(VLOOKUP($D126,Schedules!$A:$I,MATCH(Prediction!J$6,Schedules!$A$1:$H$1,0),FALSE),0)</f>
        <v>0</v>
      </c>
      <c r="K126" s="24">
        <f>IF(J126=0,0,SUMIFS(Output!$L:$L,Output!$A:$A,Prediction!$A126,Output!$C:$C,Prediction!J$5))</f>
        <v>0</v>
      </c>
      <c r="L126" s="24">
        <f t="shared" si="39"/>
        <v>0</v>
      </c>
      <c r="M126" s="24">
        <f t="shared" si="46"/>
        <v>0</v>
      </c>
      <c r="N126" s="30">
        <f>SUMIFS(Output!$L:$L,Output!$A:$A,Prediction!$A126,Output!$C:$C,Prediction!J$5)</f>
        <v>0</v>
      </c>
      <c r="O126" s="29">
        <f>IFERROR(VLOOKUP($D126,Schedules!$A:$I,MATCH(Prediction!O$6,Schedules!$A$1:$H$1,0),FALSE),0)</f>
        <v>0</v>
      </c>
      <c r="P126" s="24">
        <f>IF(O126=0,0,SUMIFS(Output!$L:$L,Output!$A:$A,Prediction!$A126,Output!$C:$C,Prediction!O$5))</f>
        <v>0</v>
      </c>
      <c r="Q126" s="24">
        <f t="shared" si="40"/>
        <v>0</v>
      </c>
      <c r="R126" s="24">
        <f t="shared" si="47"/>
        <v>0</v>
      </c>
      <c r="S126" s="30">
        <f>SUMIFS(Output!$L:$L,Output!$A:$A,Prediction!$A126,Output!$C:$C,Prediction!O$5)</f>
        <v>0</v>
      </c>
      <c r="T126" s="29">
        <f>IFERROR(VLOOKUP($D126,Schedules!$A:$I,MATCH(Prediction!T$6,Schedules!$A$1:$H$1,0),FALSE),0)</f>
        <v>0</v>
      </c>
      <c r="U126" s="24">
        <f>IF(T126=0,0,SUMIFS(Output!$L:$L,Output!$A:$A,Prediction!$A126,Output!$C:$C,Prediction!T$5))</f>
        <v>0</v>
      </c>
      <c r="V126" s="24">
        <f t="shared" si="48"/>
        <v>0</v>
      </c>
      <c r="W126" s="24">
        <f t="shared" si="49"/>
        <v>0</v>
      </c>
      <c r="X126" s="30">
        <f>SUMIFS(Output!$L:$L,Output!$A:$A,Prediction!$A126,Output!$C:$C,Prediction!T$5)</f>
        <v>0</v>
      </c>
      <c r="Y126" s="25">
        <f>IFERROR(VLOOKUP($D126,Schedules!$A:$I,MATCH(Prediction!Y$6,Schedules!$A$1:$H$1,0),FALSE),0)</f>
        <v>0</v>
      </c>
      <c r="Z126" s="24">
        <f>IF(Y126=0,0,SUMIFS(Output!$L:$L,Output!$A:$A,Prediction!$A126,Output!$C:$C,Prediction!Y$5))</f>
        <v>0</v>
      </c>
      <c r="AA126" s="24">
        <f t="shared" si="41"/>
        <v>0</v>
      </c>
      <c r="AB126" s="24">
        <f t="shared" si="50"/>
        <v>0</v>
      </c>
      <c r="AC126" s="30">
        <f>SUMIFS(Output!$L:$L,Output!$A:$A,Prediction!$A126,Output!$C:$C,Prediction!Y$5)</f>
        <v>0</v>
      </c>
      <c r="AD126" s="29">
        <f>IFERROR(VLOOKUP($D126,Schedules!$A:$I,MATCH(Prediction!AD$6,Schedules!$A$1:$H$1,0),FALSE),0)</f>
        <v>0</v>
      </c>
      <c r="AE126" s="24">
        <f>IF(AD126=0,0,SUMIFS(Output!$L:$L,Output!$A:$A,Prediction!$A126,Output!$C:$C,Prediction!AD$5))</f>
        <v>0</v>
      </c>
      <c r="AF126" s="24">
        <f t="shared" si="42"/>
        <v>0</v>
      </c>
      <c r="AG126" s="24">
        <f t="shared" si="51"/>
        <v>0</v>
      </c>
      <c r="AH126" s="30">
        <f>SUMIFS(Output!$L:$L,Output!$A:$A,Prediction!$A126,Output!$C:$C,Prediction!AD$5)</f>
        <v>0</v>
      </c>
      <c r="AI126" s="29">
        <f>IFERROR(VLOOKUP($D126,Schedules!$A:$I,MATCH(Prediction!AI$6,Schedules!$A$1:$H$1,0),FALSE),0)</f>
        <v>0</v>
      </c>
      <c r="AJ126" s="24">
        <f>IF(AI126=0,0,SUMIFS(Output!$L:$L,Output!$A:$A,Prediction!$A126,Output!$C:$C,Prediction!AI$5))</f>
        <v>0</v>
      </c>
      <c r="AK126" s="24">
        <f t="shared" si="43"/>
        <v>0</v>
      </c>
      <c r="AL126" s="24">
        <f t="shared" si="52"/>
        <v>0</v>
      </c>
      <c r="AM126" s="30">
        <f>SUMIFS(Output!$L:$L,Output!$A:$A,Prediction!$A126,Output!$C:$C,Prediction!AI$5)</f>
        <v>0</v>
      </c>
      <c r="AN126">
        <f t="shared" si="53"/>
        <v>0</v>
      </c>
      <c r="AO126" s="3">
        <f t="shared" si="54"/>
        <v>0</v>
      </c>
      <c r="AP126" s="44"/>
      <c r="AQ126" s="3">
        <f t="shared" si="44"/>
        <v>0</v>
      </c>
      <c r="AR126" s="3">
        <f t="shared" si="55"/>
        <v>0</v>
      </c>
    </row>
    <row r="127" spans="1:44" x14ac:dyDescent="0.25">
      <c r="A127" s="9" t="str">
        <f t="array" ref="A127">IFERROR(INDEX(Output!A$1:A$2000,MATCH(0,COUNTIF(Prediction!$A$7:A126,Output!A$1:A$2000),0)),"")</f>
        <v/>
      </c>
      <c r="B127" t="str">
        <f>IFERROR(VLOOKUP($A127,Output!$A:$M,2,FALSE),"")</f>
        <v/>
      </c>
      <c r="C127" t="str">
        <f>IFERROR(VLOOKUP(B127,Departments!B:C,2,FALSE),"")</f>
        <v/>
      </c>
      <c r="D127" t="str">
        <f>IFERROR(VLOOKUP($A127,Output!$A:$M,13,FALSE),"")</f>
        <v/>
      </c>
      <c r="E127" s="29">
        <f>IFERROR(VLOOKUP($D127,Schedules!$A:$I,MATCH(Prediction!E$6,Schedules!$A$1:$H$1,0),FALSE),0)</f>
        <v>0</v>
      </c>
      <c r="F127" s="24">
        <f>IF(E127=0,0,SUMIFS(Output!$L:$L,Output!$A:$A,Prediction!$A127,Output!$C:$C,Prediction!E$5))</f>
        <v>0</v>
      </c>
      <c r="G127" s="24">
        <f t="shared" si="38"/>
        <v>0</v>
      </c>
      <c r="H127" s="45">
        <f t="shared" si="45"/>
        <v>0</v>
      </c>
      <c r="I127" s="30">
        <f>SUMIFS(Output!$L:$L,Output!$A:$A,Prediction!$A127,Output!$C:$C,Prediction!E$5)</f>
        <v>0</v>
      </c>
      <c r="J127" s="29">
        <f>IFERROR(VLOOKUP($D127,Schedules!$A:$I,MATCH(Prediction!J$6,Schedules!$A$1:$H$1,0),FALSE),0)</f>
        <v>0</v>
      </c>
      <c r="K127" s="24">
        <f>IF(J127=0,0,SUMIFS(Output!$L:$L,Output!$A:$A,Prediction!$A127,Output!$C:$C,Prediction!J$5))</f>
        <v>0</v>
      </c>
      <c r="L127" s="24">
        <f t="shared" si="39"/>
        <v>0</v>
      </c>
      <c r="M127" s="24">
        <f t="shared" si="46"/>
        <v>0</v>
      </c>
      <c r="N127" s="30">
        <f>SUMIFS(Output!$L:$L,Output!$A:$A,Prediction!$A127,Output!$C:$C,Prediction!J$5)</f>
        <v>0</v>
      </c>
      <c r="O127" s="29">
        <f>IFERROR(VLOOKUP($D127,Schedules!$A:$I,MATCH(Prediction!O$6,Schedules!$A$1:$H$1,0),FALSE),0)</f>
        <v>0</v>
      </c>
      <c r="P127" s="24">
        <f>IF(O127=0,0,SUMIFS(Output!$L:$L,Output!$A:$A,Prediction!$A127,Output!$C:$C,Prediction!O$5))</f>
        <v>0</v>
      </c>
      <c r="Q127" s="24">
        <f t="shared" si="40"/>
        <v>0</v>
      </c>
      <c r="R127" s="24">
        <f t="shared" si="47"/>
        <v>0</v>
      </c>
      <c r="S127" s="30">
        <f>SUMIFS(Output!$L:$L,Output!$A:$A,Prediction!$A127,Output!$C:$C,Prediction!O$5)</f>
        <v>0</v>
      </c>
      <c r="T127" s="29">
        <f>IFERROR(VLOOKUP($D127,Schedules!$A:$I,MATCH(Prediction!T$6,Schedules!$A$1:$H$1,0),FALSE),0)</f>
        <v>0</v>
      </c>
      <c r="U127" s="24">
        <f>IF(T127=0,0,SUMIFS(Output!$L:$L,Output!$A:$A,Prediction!$A127,Output!$C:$C,Prediction!T$5))</f>
        <v>0</v>
      </c>
      <c r="V127" s="24">
        <f t="shared" si="48"/>
        <v>0</v>
      </c>
      <c r="W127" s="24">
        <f t="shared" si="49"/>
        <v>0</v>
      </c>
      <c r="X127" s="30">
        <f>SUMIFS(Output!$L:$L,Output!$A:$A,Prediction!$A127,Output!$C:$C,Prediction!T$5)</f>
        <v>0</v>
      </c>
      <c r="Y127" s="25">
        <f>IFERROR(VLOOKUP($D127,Schedules!$A:$I,MATCH(Prediction!Y$6,Schedules!$A$1:$H$1,0),FALSE),0)</f>
        <v>0</v>
      </c>
      <c r="Z127" s="24">
        <f>IF(Y127=0,0,SUMIFS(Output!$L:$L,Output!$A:$A,Prediction!$A127,Output!$C:$C,Prediction!Y$5))</f>
        <v>0</v>
      </c>
      <c r="AA127" s="24">
        <f t="shared" si="41"/>
        <v>0</v>
      </c>
      <c r="AB127" s="24">
        <f t="shared" si="50"/>
        <v>0</v>
      </c>
      <c r="AC127" s="30">
        <f>SUMIFS(Output!$L:$L,Output!$A:$A,Prediction!$A127,Output!$C:$C,Prediction!Y$5)</f>
        <v>0</v>
      </c>
      <c r="AD127" s="29">
        <f>IFERROR(VLOOKUP($D127,Schedules!$A:$I,MATCH(Prediction!AD$6,Schedules!$A$1:$H$1,0),FALSE),0)</f>
        <v>0</v>
      </c>
      <c r="AE127" s="24">
        <f>IF(AD127=0,0,SUMIFS(Output!$L:$L,Output!$A:$A,Prediction!$A127,Output!$C:$C,Prediction!AD$5))</f>
        <v>0</v>
      </c>
      <c r="AF127" s="24">
        <f t="shared" si="42"/>
        <v>0</v>
      </c>
      <c r="AG127" s="24">
        <f t="shared" si="51"/>
        <v>0</v>
      </c>
      <c r="AH127" s="30">
        <f>SUMIFS(Output!$L:$L,Output!$A:$A,Prediction!$A127,Output!$C:$C,Prediction!AD$5)</f>
        <v>0</v>
      </c>
      <c r="AI127" s="29">
        <f>IFERROR(VLOOKUP($D127,Schedules!$A:$I,MATCH(Prediction!AI$6,Schedules!$A$1:$H$1,0),FALSE),0)</f>
        <v>0</v>
      </c>
      <c r="AJ127" s="24">
        <f>IF(AI127=0,0,SUMIFS(Output!$L:$L,Output!$A:$A,Prediction!$A127,Output!$C:$C,Prediction!AI$5))</f>
        <v>0</v>
      </c>
      <c r="AK127" s="24">
        <f t="shared" si="43"/>
        <v>0</v>
      </c>
      <c r="AL127" s="24">
        <f t="shared" si="52"/>
        <v>0</v>
      </c>
      <c r="AM127" s="30">
        <f>SUMIFS(Output!$L:$L,Output!$A:$A,Prediction!$A127,Output!$C:$C,Prediction!AI$5)</f>
        <v>0</v>
      </c>
      <c r="AN127">
        <f t="shared" si="53"/>
        <v>0</v>
      </c>
      <c r="AO127" s="3">
        <f t="shared" si="54"/>
        <v>0</v>
      </c>
      <c r="AP127" s="44"/>
      <c r="AQ127" s="3">
        <f t="shared" si="44"/>
        <v>0</v>
      </c>
      <c r="AR127" s="3">
        <f t="shared" si="55"/>
        <v>0</v>
      </c>
    </row>
    <row r="128" spans="1:44" x14ac:dyDescent="0.25">
      <c r="A128" s="9" t="str">
        <f t="array" ref="A128">IFERROR(INDEX(Output!A$1:A$2000,MATCH(0,COUNTIF(Prediction!$A$7:A127,Output!A$1:A$2000),0)),"")</f>
        <v/>
      </c>
      <c r="B128" t="str">
        <f>IFERROR(VLOOKUP($A128,Output!$A:$M,2,FALSE),"")</f>
        <v/>
      </c>
      <c r="C128" t="str">
        <f>IFERROR(VLOOKUP(B128,Departments!B:C,2,FALSE),"")</f>
        <v/>
      </c>
      <c r="D128" t="str">
        <f>IFERROR(VLOOKUP($A128,Output!$A:$M,13,FALSE),"")</f>
        <v/>
      </c>
      <c r="E128" s="29">
        <f>IFERROR(VLOOKUP($D128,Schedules!$A:$I,MATCH(Prediction!E$6,Schedules!$A$1:$H$1,0),FALSE),0)</f>
        <v>0</v>
      </c>
      <c r="F128" s="24">
        <f>IF(E128=0,0,SUMIFS(Output!$L:$L,Output!$A:$A,Prediction!$A128,Output!$C:$C,Prediction!E$5))</f>
        <v>0</v>
      </c>
      <c r="G128" s="24">
        <f t="shared" si="38"/>
        <v>0</v>
      </c>
      <c r="H128" s="45">
        <f t="shared" si="45"/>
        <v>0</v>
      </c>
      <c r="I128" s="30">
        <f>SUMIFS(Output!$L:$L,Output!$A:$A,Prediction!$A128,Output!$C:$C,Prediction!E$5)</f>
        <v>0</v>
      </c>
      <c r="J128" s="29">
        <f>IFERROR(VLOOKUP($D128,Schedules!$A:$I,MATCH(Prediction!J$6,Schedules!$A$1:$H$1,0),FALSE),0)</f>
        <v>0</v>
      </c>
      <c r="K128" s="24">
        <f>IF(J128=0,0,SUMIFS(Output!$L:$L,Output!$A:$A,Prediction!$A128,Output!$C:$C,Prediction!J$5))</f>
        <v>0</v>
      </c>
      <c r="L128" s="24">
        <f t="shared" si="39"/>
        <v>0</v>
      </c>
      <c r="M128" s="24">
        <f t="shared" si="46"/>
        <v>0</v>
      </c>
      <c r="N128" s="30">
        <f>SUMIFS(Output!$L:$L,Output!$A:$A,Prediction!$A128,Output!$C:$C,Prediction!J$5)</f>
        <v>0</v>
      </c>
      <c r="O128" s="29">
        <f>IFERROR(VLOOKUP($D128,Schedules!$A:$I,MATCH(Prediction!O$6,Schedules!$A$1:$H$1,0),FALSE),0)</f>
        <v>0</v>
      </c>
      <c r="P128" s="24">
        <f>IF(O128=0,0,SUMIFS(Output!$L:$L,Output!$A:$A,Prediction!$A128,Output!$C:$C,Prediction!O$5))</f>
        <v>0</v>
      </c>
      <c r="Q128" s="24">
        <f t="shared" si="40"/>
        <v>0</v>
      </c>
      <c r="R128" s="24">
        <f t="shared" si="47"/>
        <v>0</v>
      </c>
      <c r="S128" s="30">
        <f>SUMIFS(Output!$L:$L,Output!$A:$A,Prediction!$A128,Output!$C:$C,Prediction!O$5)</f>
        <v>0</v>
      </c>
      <c r="T128" s="29">
        <f>IFERROR(VLOOKUP($D128,Schedules!$A:$I,MATCH(Prediction!T$6,Schedules!$A$1:$H$1,0),FALSE),0)</f>
        <v>0</v>
      </c>
      <c r="U128" s="24">
        <f>IF(T128=0,0,SUMIFS(Output!$L:$L,Output!$A:$A,Prediction!$A128,Output!$C:$C,Prediction!T$5))</f>
        <v>0</v>
      </c>
      <c r="V128" s="24">
        <f t="shared" si="48"/>
        <v>0</v>
      </c>
      <c r="W128" s="24">
        <f t="shared" si="49"/>
        <v>0</v>
      </c>
      <c r="X128" s="30">
        <f>SUMIFS(Output!$L:$L,Output!$A:$A,Prediction!$A128,Output!$C:$C,Prediction!T$5)</f>
        <v>0</v>
      </c>
      <c r="Y128" s="25">
        <f>IFERROR(VLOOKUP($D128,Schedules!$A:$I,MATCH(Prediction!Y$6,Schedules!$A$1:$H$1,0),FALSE),0)</f>
        <v>0</v>
      </c>
      <c r="Z128" s="24">
        <f>IF(Y128=0,0,SUMIFS(Output!$L:$L,Output!$A:$A,Prediction!$A128,Output!$C:$C,Prediction!Y$5))</f>
        <v>0</v>
      </c>
      <c r="AA128" s="24">
        <f t="shared" si="41"/>
        <v>0</v>
      </c>
      <c r="AB128" s="24">
        <f t="shared" si="50"/>
        <v>0</v>
      </c>
      <c r="AC128" s="30">
        <f>SUMIFS(Output!$L:$L,Output!$A:$A,Prediction!$A128,Output!$C:$C,Prediction!Y$5)</f>
        <v>0</v>
      </c>
      <c r="AD128" s="29">
        <f>IFERROR(VLOOKUP($D128,Schedules!$A:$I,MATCH(Prediction!AD$6,Schedules!$A$1:$H$1,0),FALSE),0)</f>
        <v>0</v>
      </c>
      <c r="AE128" s="24">
        <f>IF(AD128=0,0,SUMIFS(Output!$L:$L,Output!$A:$A,Prediction!$A128,Output!$C:$C,Prediction!AD$5))</f>
        <v>0</v>
      </c>
      <c r="AF128" s="24">
        <f t="shared" si="42"/>
        <v>0</v>
      </c>
      <c r="AG128" s="24">
        <f t="shared" si="51"/>
        <v>0</v>
      </c>
      <c r="AH128" s="30">
        <f>SUMIFS(Output!$L:$L,Output!$A:$A,Prediction!$A128,Output!$C:$C,Prediction!AD$5)</f>
        <v>0</v>
      </c>
      <c r="AI128" s="29">
        <f>IFERROR(VLOOKUP($D128,Schedules!$A:$I,MATCH(Prediction!AI$6,Schedules!$A$1:$H$1,0),FALSE),0)</f>
        <v>0</v>
      </c>
      <c r="AJ128" s="24">
        <f>IF(AI128=0,0,SUMIFS(Output!$L:$L,Output!$A:$A,Prediction!$A128,Output!$C:$C,Prediction!AI$5))</f>
        <v>0</v>
      </c>
      <c r="AK128" s="24">
        <f t="shared" si="43"/>
        <v>0</v>
      </c>
      <c r="AL128" s="24">
        <f t="shared" si="52"/>
        <v>0</v>
      </c>
      <c r="AM128" s="30">
        <f>SUMIFS(Output!$L:$L,Output!$A:$A,Prediction!$A128,Output!$C:$C,Prediction!AI$5)</f>
        <v>0</v>
      </c>
      <c r="AN128">
        <f t="shared" si="53"/>
        <v>0</v>
      </c>
      <c r="AO128" s="3">
        <f t="shared" si="54"/>
        <v>0</v>
      </c>
      <c r="AP128" s="44"/>
      <c r="AQ128" s="3">
        <f t="shared" si="44"/>
        <v>0</v>
      </c>
      <c r="AR128" s="3">
        <f t="shared" si="55"/>
        <v>0</v>
      </c>
    </row>
    <row r="129" spans="1:44" x14ac:dyDescent="0.25">
      <c r="A129" s="9" t="str">
        <f t="array" ref="A129">IFERROR(INDEX(Output!A$1:A$2000,MATCH(0,COUNTIF(Prediction!$A$7:A128,Output!A$1:A$2000),0)),"")</f>
        <v/>
      </c>
      <c r="B129" t="str">
        <f>IFERROR(VLOOKUP($A129,Output!$A:$M,2,FALSE),"")</f>
        <v/>
      </c>
      <c r="C129" t="str">
        <f>IFERROR(VLOOKUP(B129,Departments!B:C,2,FALSE),"")</f>
        <v/>
      </c>
      <c r="D129" t="str">
        <f>IFERROR(VLOOKUP($A129,Output!$A:$M,13,FALSE),"")</f>
        <v/>
      </c>
      <c r="E129" s="29">
        <f>IFERROR(VLOOKUP($D129,Schedules!$A:$I,MATCH(Prediction!E$6,Schedules!$A$1:$H$1,0),FALSE),0)</f>
        <v>0</v>
      </c>
      <c r="F129" s="24">
        <f>IF(E129=0,0,SUMIFS(Output!$L:$L,Output!$A:$A,Prediction!$A129,Output!$C:$C,Prediction!E$5))</f>
        <v>0</v>
      </c>
      <c r="G129" s="24">
        <f t="shared" si="38"/>
        <v>0</v>
      </c>
      <c r="H129" s="45">
        <f t="shared" si="45"/>
        <v>0</v>
      </c>
      <c r="I129" s="30">
        <f>SUMIFS(Output!$L:$L,Output!$A:$A,Prediction!$A129,Output!$C:$C,Prediction!E$5)</f>
        <v>0</v>
      </c>
      <c r="J129" s="29">
        <f>IFERROR(VLOOKUP($D129,Schedules!$A:$I,MATCH(Prediction!J$6,Schedules!$A$1:$H$1,0),FALSE),0)</f>
        <v>0</v>
      </c>
      <c r="K129" s="24">
        <f>IF(J129=0,0,SUMIFS(Output!$L:$L,Output!$A:$A,Prediction!$A129,Output!$C:$C,Prediction!J$5))</f>
        <v>0</v>
      </c>
      <c r="L129" s="24">
        <f t="shared" si="39"/>
        <v>0</v>
      </c>
      <c r="M129" s="24">
        <f t="shared" si="46"/>
        <v>0</v>
      </c>
      <c r="N129" s="30">
        <f>SUMIFS(Output!$L:$L,Output!$A:$A,Prediction!$A129,Output!$C:$C,Prediction!J$5)</f>
        <v>0</v>
      </c>
      <c r="O129" s="29">
        <f>IFERROR(VLOOKUP($D129,Schedules!$A:$I,MATCH(Prediction!O$6,Schedules!$A$1:$H$1,0),FALSE),0)</f>
        <v>0</v>
      </c>
      <c r="P129" s="24">
        <f>IF(O129=0,0,SUMIFS(Output!$L:$L,Output!$A:$A,Prediction!$A129,Output!$C:$C,Prediction!O$5))</f>
        <v>0</v>
      </c>
      <c r="Q129" s="24">
        <f t="shared" si="40"/>
        <v>0</v>
      </c>
      <c r="R129" s="24">
        <f t="shared" si="47"/>
        <v>0</v>
      </c>
      <c r="S129" s="30">
        <f>SUMIFS(Output!$L:$L,Output!$A:$A,Prediction!$A129,Output!$C:$C,Prediction!O$5)</f>
        <v>0</v>
      </c>
      <c r="T129" s="29">
        <f>IFERROR(VLOOKUP($D129,Schedules!$A:$I,MATCH(Prediction!T$6,Schedules!$A$1:$H$1,0),FALSE),0)</f>
        <v>0</v>
      </c>
      <c r="U129" s="24">
        <f>IF(T129=0,0,SUMIFS(Output!$L:$L,Output!$A:$A,Prediction!$A129,Output!$C:$C,Prediction!T$5))</f>
        <v>0</v>
      </c>
      <c r="V129" s="24">
        <f t="shared" si="48"/>
        <v>0</v>
      </c>
      <c r="W129" s="24">
        <f t="shared" si="49"/>
        <v>0</v>
      </c>
      <c r="X129" s="30">
        <f>SUMIFS(Output!$L:$L,Output!$A:$A,Prediction!$A129,Output!$C:$C,Prediction!T$5)</f>
        <v>0</v>
      </c>
      <c r="Y129" s="25">
        <f>IFERROR(VLOOKUP($D129,Schedules!$A:$I,MATCH(Prediction!Y$6,Schedules!$A$1:$H$1,0),FALSE),0)</f>
        <v>0</v>
      </c>
      <c r="Z129" s="24">
        <f>IF(Y129=0,0,SUMIFS(Output!$L:$L,Output!$A:$A,Prediction!$A129,Output!$C:$C,Prediction!Y$5))</f>
        <v>0</v>
      </c>
      <c r="AA129" s="24">
        <f t="shared" si="41"/>
        <v>0</v>
      </c>
      <c r="AB129" s="24">
        <f t="shared" si="50"/>
        <v>0</v>
      </c>
      <c r="AC129" s="30">
        <f>SUMIFS(Output!$L:$L,Output!$A:$A,Prediction!$A129,Output!$C:$C,Prediction!Y$5)</f>
        <v>0</v>
      </c>
      <c r="AD129" s="29">
        <f>IFERROR(VLOOKUP($D129,Schedules!$A:$I,MATCH(Prediction!AD$6,Schedules!$A$1:$H$1,0),FALSE),0)</f>
        <v>0</v>
      </c>
      <c r="AE129" s="24">
        <f>IF(AD129=0,0,SUMIFS(Output!$L:$L,Output!$A:$A,Prediction!$A129,Output!$C:$C,Prediction!AD$5))</f>
        <v>0</v>
      </c>
      <c r="AF129" s="24">
        <f t="shared" si="42"/>
        <v>0</v>
      </c>
      <c r="AG129" s="24">
        <f t="shared" si="51"/>
        <v>0</v>
      </c>
      <c r="AH129" s="30">
        <f>SUMIFS(Output!$L:$L,Output!$A:$A,Prediction!$A129,Output!$C:$C,Prediction!AD$5)</f>
        <v>0</v>
      </c>
      <c r="AI129" s="29">
        <f>IFERROR(VLOOKUP($D129,Schedules!$A:$I,MATCH(Prediction!AI$6,Schedules!$A$1:$H$1,0),FALSE),0)</f>
        <v>0</v>
      </c>
      <c r="AJ129" s="24">
        <f>IF(AI129=0,0,SUMIFS(Output!$L:$L,Output!$A:$A,Prediction!$A129,Output!$C:$C,Prediction!AI$5))</f>
        <v>0</v>
      </c>
      <c r="AK129" s="24">
        <f t="shared" si="43"/>
        <v>0</v>
      </c>
      <c r="AL129" s="24">
        <f t="shared" si="52"/>
        <v>0</v>
      </c>
      <c r="AM129" s="30">
        <f>SUMIFS(Output!$L:$L,Output!$A:$A,Prediction!$A129,Output!$C:$C,Prediction!AI$5)</f>
        <v>0</v>
      </c>
      <c r="AN129">
        <f t="shared" si="53"/>
        <v>0</v>
      </c>
      <c r="AO129" s="3">
        <f t="shared" si="54"/>
        <v>0</v>
      </c>
      <c r="AP129" s="44"/>
      <c r="AQ129" s="3">
        <f t="shared" si="44"/>
        <v>0</v>
      </c>
      <c r="AR129" s="3">
        <f t="shared" si="55"/>
        <v>0</v>
      </c>
    </row>
    <row r="130" spans="1:44" x14ac:dyDescent="0.25">
      <c r="A130" s="9" t="str">
        <f t="array" ref="A130">IFERROR(INDEX(Output!A$1:A$2000,MATCH(0,COUNTIF(Prediction!$A$7:A129,Output!A$1:A$2000),0)),"")</f>
        <v/>
      </c>
      <c r="B130" t="str">
        <f>IFERROR(VLOOKUP($A130,Output!$A:$M,2,FALSE),"")</f>
        <v/>
      </c>
      <c r="C130" t="str">
        <f>IFERROR(VLOOKUP(B130,Departments!B:C,2,FALSE),"")</f>
        <v/>
      </c>
      <c r="D130" t="str">
        <f>IFERROR(VLOOKUP($A130,Output!$A:$M,13,FALSE),"")</f>
        <v/>
      </c>
      <c r="E130" s="29">
        <f>IFERROR(VLOOKUP($D130,Schedules!$A:$I,MATCH(Prediction!E$6,Schedules!$A$1:$H$1,0),FALSE),0)</f>
        <v>0</v>
      </c>
      <c r="F130" s="24">
        <f>IF(E130=0,0,SUMIFS(Output!$L:$L,Output!$A:$A,Prediction!$A130,Output!$C:$C,Prediction!E$5))</f>
        <v>0</v>
      </c>
      <c r="G130" s="24">
        <f t="shared" si="38"/>
        <v>0</v>
      </c>
      <c r="H130" s="45">
        <f t="shared" si="45"/>
        <v>0</v>
      </c>
      <c r="I130" s="30">
        <f>SUMIFS(Output!$L:$L,Output!$A:$A,Prediction!$A130,Output!$C:$C,Prediction!E$5)</f>
        <v>0</v>
      </c>
      <c r="J130" s="29">
        <f>IFERROR(VLOOKUP($D130,Schedules!$A:$I,MATCH(Prediction!J$6,Schedules!$A$1:$H$1,0),FALSE),0)</f>
        <v>0</v>
      </c>
      <c r="K130" s="24">
        <f>IF(J130=0,0,SUMIFS(Output!$L:$L,Output!$A:$A,Prediction!$A130,Output!$C:$C,Prediction!J$5))</f>
        <v>0</v>
      </c>
      <c r="L130" s="24">
        <f t="shared" si="39"/>
        <v>0</v>
      </c>
      <c r="M130" s="24">
        <f t="shared" si="46"/>
        <v>0</v>
      </c>
      <c r="N130" s="30">
        <f>SUMIFS(Output!$L:$L,Output!$A:$A,Prediction!$A130,Output!$C:$C,Prediction!J$5)</f>
        <v>0</v>
      </c>
      <c r="O130" s="29">
        <f>IFERROR(VLOOKUP($D130,Schedules!$A:$I,MATCH(Prediction!O$6,Schedules!$A$1:$H$1,0),FALSE),0)</f>
        <v>0</v>
      </c>
      <c r="P130" s="24">
        <f>IF(O130=0,0,SUMIFS(Output!$L:$L,Output!$A:$A,Prediction!$A130,Output!$C:$C,Prediction!O$5))</f>
        <v>0</v>
      </c>
      <c r="Q130" s="24">
        <f t="shared" si="40"/>
        <v>0</v>
      </c>
      <c r="R130" s="24">
        <f t="shared" si="47"/>
        <v>0</v>
      </c>
      <c r="S130" s="30">
        <f>SUMIFS(Output!$L:$L,Output!$A:$A,Prediction!$A130,Output!$C:$C,Prediction!O$5)</f>
        <v>0</v>
      </c>
      <c r="T130" s="29">
        <f>IFERROR(VLOOKUP($D130,Schedules!$A:$I,MATCH(Prediction!T$6,Schedules!$A$1:$H$1,0),FALSE),0)</f>
        <v>0</v>
      </c>
      <c r="U130" s="24">
        <f>IF(T130=0,0,SUMIFS(Output!$L:$L,Output!$A:$A,Prediction!$A130,Output!$C:$C,Prediction!T$5))</f>
        <v>0</v>
      </c>
      <c r="V130" s="24">
        <f t="shared" si="48"/>
        <v>0</v>
      </c>
      <c r="W130" s="24">
        <f t="shared" si="49"/>
        <v>0</v>
      </c>
      <c r="X130" s="30">
        <f>SUMIFS(Output!$L:$L,Output!$A:$A,Prediction!$A130,Output!$C:$C,Prediction!T$5)</f>
        <v>0</v>
      </c>
      <c r="Y130" s="25">
        <f>IFERROR(VLOOKUP($D130,Schedules!$A:$I,MATCH(Prediction!Y$6,Schedules!$A$1:$H$1,0),FALSE),0)</f>
        <v>0</v>
      </c>
      <c r="Z130" s="24">
        <f>IF(Y130=0,0,SUMIFS(Output!$L:$L,Output!$A:$A,Prediction!$A130,Output!$C:$C,Prediction!Y$5))</f>
        <v>0</v>
      </c>
      <c r="AA130" s="24">
        <f t="shared" si="41"/>
        <v>0</v>
      </c>
      <c r="AB130" s="24">
        <f t="shared" si="50"/>
        <v>0</v>
      </c>
      <c r="AC130" s="30">
        <f>SUMIFS(Output!$L:$L,Output!$A:$A,Prediction!$A130,Output!$C:$C,Prediction!Y$5)</f>
        <v>0</v>
      </c>
      <c r="AD130" s="29">
        <f>IFERROR(VLOOKUP($D130,Schedules!$A:$I,MATCH(Prediction!AD$6,Schedules!$A$1:$H$1,0),FALSE),0)</f>
        <v>0</v>
      </c>
      <c r="AE130" s="24">
        <f>IF(AD130=0,0,SUMIFS(Output!$L:$L,Output!$A:$A,Prediction!$A130,Output!$C:$C,Prediction!AD$5))</f>
        <v>0</v>
      </c>
      <c r="AF130" s="24">
        <f t="shared" si="42"/>
        <v>0</v>
      </c>
      <c r="AG130" s="24">
        <f t="shared" si="51"/>
        <v>0</v>
      </c>
      <c r="AH130" s="30">
        <f>SUMIFS(Output!$L:$L,Output!$A:$A,Prediction!$A130,Output!$C:$C,Prediction!AD$5)</f>
        <v>0</v>
      </c>
      <c r="AI130" s="29">
        <f>IFERROR(VLOOKUP($D130,Schedules!$A:$I,MATCH(Prediction!AI$6,Schedules!$A$1:$H$1,0),FALSE),0)</f>
        <v>0</v>
      </c>
      <c r="AJ130" s="24">
        <f>IF(AI130=0,0,SUMIFS(Output!$L:$L,Output!$A:$A,Prediction!$A130,Output!$C:$C,Prediction!AI$5))</f>
        <v>0</v>
      </c>
      <c r="AK130" s="24">
        <f t="shared" si="43"/>
        <v>0</v>
      </c>
      <c r="AL130" s="24">
        <f t="shared" si="52"/>
        <v>0</v>
      </c>
      <c r="AM130" s="30">
        <f>SUMIFS(Output!$L:$L,Output!$A:$A,Prediction!$A130,Output!$C:$C,Prediction!AI$5)</f>
        <v>0</v>
      </c>
      <c r="AN130">
        <f t="shared" si="53"/>
        <v>0</v>
      </c>
      <c r="AO130" s="3">
        <f t="shared" si="54"/>
        <v>0</v>
      </c>
      <c r="AP130" s="44"/>
      <c r="AQ130" s="3">
        <f t="shared" si="44"/>
        <v>0</v>
      </c>
      <c r="AR130" s="3">
        <f t="shared" si="55"/>
        <v>0</v>
      </c>
    </row>
    <row r="131" spans="1:44" x14ac:dyDescent="0.25">
      <c r="A131" s="9" t="str">
        <f t="array" ref="A131">IFERROR(INDEX(Output!A$1:A$2000,MATCH(0,COUNTIF(Prediction!$A$7:A130,Output!A$1:A$2000),0)),"")</f>
        <v/>
      </c>
      <c r="B131" t="str">
        <f>IFERROR(VLOOKUP($A131,Output!$A:$M,2,FALSE),"")</f>
        <v/>
      </c>
      <c r="C131" t="str">
        <f>IFERROR(VLOOKUP(B131,Departments!B:C,2,FALSE),"")</f>
        <v/>
      </c>
      <c r="D131" t="str">
        <f>IFERROR(VLOOKUP($A131,Output!$A:$M,13,FALSE),"")</f>
        <v/>
      </c>
      <c r="E131" s="29">
        <f>IFERROR(VLOOKUP($D131,Schedules!$A:$I,MATCH(Prediction!E$6,Schedules!$A$1:$H$1,0),FALSE),0)</f>
        <v>0</v>
      </c>
      <c r="F131" s="24">
        <f>IF(E131=0,0,SUMIFS(Output!$L:$L,Output!$A:$A,Prediction!$A131,Output!$C:$C,Prediction!E$5))</f>
        <v>0</v>
      </c>
      <c r="G131" s="24">
        <f t="shared" si="38"/>
        <v>0</v>
      </c>
      <c r="H131" s="45">
        <f t="shared" si="45"/>
        <v>0</v>
      </c>
      <c r="I131" s="30">
        <f>SUMIFS(Output!$L:$L,Output!$A:$A,Prediction!$A131,Output!$C:$C,Prediction!E$5)</f>
        <v>0</v>
      </c>
      <c r="J131" s="29">
        <f>IFERROR(VLOOKUP($D131,Schedules!$A:$I,MATCH(Prediction!J$6,Schedules!$A$1:$H$1,0),FALSE),0)</f>
        <v>0</v>
      </c>
      <c r="K131" s="24">
        <f>IF(J131=0,0,SUMIFS(Output!$L:$L,Output!$A:$A,Prediction!$A131,Output!$C:$C,Prediction!J$5))</f>
        <v>0</v>
      </c>
      <c r="L131" s="24">
        <f t="shared" si="39"/>
        <v>0</v>
      </c>
      <c r="M131" s="24">
        <f t="shared" si="46"/>
        <v>0</v>
      </c>
      <c r="N131" s="30">
        <f>SUMIFS(Output!$L:$L,Output!$A:$A,Prediction!$A131,Output!$C:$C,Prediction!J$5)</f>
        <v>0</v>
      </c>
      <c r="O131" s="29">
        <f>IFERROR(VLOOKUP($D131,Schedules!$A:$I,MATCH(Prediction!O$6,Schedules!$A$1:$H$1,0),FALSE),0)</f>
        <v>0</v>
      </c>
      <c r="P131" s="24">
        <f>IF(O131=0,0,SUMIFS(Output!$L:$L,Output!$A:$A,Prediction!$A131,Output!$C:$C,Prediction!O$5))</f>
        <v>0</v>
      </c>
      <c r="Q131" s="24">
        <f t="shared" si="40"/>
        <v>0</v>
      </c>
      <c r="R131" s="24">
        <f t="shared" si="47"/>
        <v>0</v>
      </c>
      <c r="S131" s="30">
        <f>SUMIFS(Output!$L:$L,Output!$A:$A,Prediction!$A131,Output!$C:$C,Prediction!O$5)</f>
        <v>0</v>
      </c>
      <c r="T131" s="29">
        <f>IFERROR(VLOOKUP($D131,Schedules!$A:$I,MATCH(Prediction!T$6,Schedules!$A$1:$H$1,0),FALSE),0)</f>
        <v>0</v>
      </c>
      <c r="U131" s="24">
        <f>IF(T131=0,0,SUMIFS(Output!$L:$L,Output!$A:$A,Prediction!$A131,Output!$C:$C,Prediction!T$5))</f>
        <v>0</v>
      </c>
      <c r="V131" s="24">
        <f t="shared" si="48"/>
        <v>0</v>
      </c>
      <c r="W131" s="24">
        <f t="shared" si="49"/>
        <v>0</v>
      </c>
      <c r="X131" s="30">
        <f>SUMIFS(Output!$L:$L,Output!$A:$A,Prediction!$A131,Output!$C:$C,Prediction!T$5)</f>
        <v>0</v>
      </c>
      <c r="Y131" s="25">
        <f>IFERROR(VLOOKUP($D131,Schedules!$A:$I,MATCH(Prediction!Y$6,Schedules!$A$1:$H$1,0),FALSE),0)</f>
        <v>0</v>
      </c>
      <c r="Z131" s="24">
        <f>IF(Y131=0,0,SUMIFS(Output!$L:$L,Output!$A:$A,Prediction!$A131,Output!$C:$C,Prediction!Y$5))</f>
        <v>0</v>
      </c>
      <c r="AA131" s="24">
        <f t="shared" si="41"/>
        <v>0</v>
      </c>
      <c r="AB131" s="24">
        <f t="shared" si="50"/>
        <v>0</v>
      </c>
      <c r="AC131" s="30">
        <f>SUMIFS(Output!$L:$L,Output!$A:$A,Prediction!$A131,Output!$C:$C,Prediction!Y$5)</f>
        <v>0</v>
      </c>
      <c r="AD131" s="29">
        <f>IFERROR(VLOOKUP($D131,Schedules!$A:$I,MATCH(Prediction!AD$6,Schedules!$A$1:$H$1,0),FALSE),0)</f>
        <v>0</v>
      </c>
      <c r="AE131" s="24">
        <f>IF(AD131=0,0,SUMIFS(Output!$L:$L,Output!$A:$A,Prediction!$A131,Output!$C:$C,Prediction!AD$5))</f>
        <v>0</v>
      </c>
      <c r="AF131" s="24">
        <f t="shared" si="42"/>
        <v>0</v>
      </c>
      <c r="AG131" s="24">
        <f t="shared" si="51"/>
        <v>0</v>
      </c>
      <c r="AH131" s="30">
        <f>SUMIFS(Output!$L:$L,Output!$A:$A,Prediction!$A131,Output!$C:$C,Prediction!AD$5)</f>
        <v>0</v>
      </c>
      <c r="AI131" s="29">
        <f>IFERROR(VLOOKUP($D131,Schedules!$A:$I,MATCH(Prediction!AI$6,Schedules!$A$1:$H$1,0),FALSE),0)</f>
        <v>0</v>
      </c>
      <c r="AJ131" s="24">
        <f>IF(AI131=0,0,SUMIFS(Output!$L:$L,Output!$A:$A,Prediction!$A131,Output!$C:$C,Prediction!AI$5))</f>
        <v>0</v>
      </c>
      <c r="AK131" s="24">
        <f t="shared" si="43"/>
        <v>0</v>
      </c>
      <c r="AL131" s="24">
        <f t="shared" si="52"/>
        <v>0</v>
      </c>
      <c r="AM131" s="30">
        <f>SUMIFS(Output!$L:$L,Output!$A:$A,Prediction!$A131,Output!$C:$C,Prediction!AI$5)</f>
        <v>0</v>
      </c>
      <c r="AN131">
        <f t="shared" si="53"/>
        <v>0</v>
      </c>
      <c r="AO131" s="3">
        <f t="shared" si="54"/>
        <v>0</v>
      </c>
      <c r="AP131" s="44"/>
      <c r="AQ131" s="3">
        <f t="shared" si="44"/>
        <v>0</v>
      </c>
      <c r="AR131" s="3">
        <f t="shared" si="55"/>
        <v>0</v>
      </c>
    </row>
    <row r="132" spans="1:44" x14ac:dyDescent="0.25">
      <c r="A132" s="9" t="str">
        <f t="array" ref="A132">IFERROR(INDEX(Output!A$1:A$2000,MATCH(0,COUNTIF(Prediction!$A$7:A131,Output!A$1:A$2000),0)),"")</f>
        <v/>
      </c>
      <c r="B132" t="str">
        <f>IFERROR(VLOOKUP($A132,Output!$A:$M,2,FALSE),"")</f>
        <v/>
      </c>
      <c r="C132" t="str">
        <f>IFERROR(VLOOKUP(B132,Departments!B:C,2,FALSE),"")</f>
        <v/>
      </c>
      <c r="D132" t="str">
        <f>IFERROR(VLOOKUP($A132,Output!$A:$M,13,FALSE),"")</f>
        <v/>
      </c>
      <c r="E132" s="29">
        <f>IFERROR(VLOOKUP($D132,Schedules!$A:$I,MATCH(Prediction!E$6,Schedules!$A$1:$H$1,0),FALSE),0)</f>
        <v>0</v>
      </c>
      <c r="F132" s="24">
        <f>IF(E132=0,0,SUMIFS(Output!$L:$L,Output!$A:$A,Prediction!$A132,Output!$C:$C,Prediction!E$5))</f>
        <v>0</v>
      </c>
      <c r="G132" s="24">
        <f t="shared" si="38"/>
        <v>0</v>
      </c>
      <c r="H132" s="45">
        <f t="shared" si="45"/>
        <v>0</v>
      </c>
      <c r="I132" s="30">
        <f>SUMIFS(Output!$L:$L,Output!$A:$A,Prediction!$A132,Output!$C:$C,Prediction!E$5)</f>
        <v>0</v>
      </c>
      <c r="J132" s="29">
        <f>IFERROR(VLOOKUP($D132,Schedules!$A:$I,MATCH(Prediction!J$6,Schedules!$A$1:$H$1,0),FALSE),0)</f>
        <v>0</v>
      </c>
      <c r="K132" s="24">
        <f>IF(J132=0,0,SUMIFS(Output!$L:$L,Output!$A:$A,Prediction!$A132,Output!$C:$C,Prediction!J$5))</f>
        <v>0</v>
      </c>
      <c r="L132" s="24">
        <f t="shared" si="39"/>
        <v>0</v>
      </c>
      <c r="M132" s="24">
        <f t="shared" si="46"/>
        <v>0</v>
      </c>
      <c r="N132" s="30">
        <f>SUMIFS(Output!$L:$L,Output!$A:$A,Prediction!$A132,Output!$C:$C,Prediction!J$5)</f>
        <v>0</v>
      </c>
      <c r="O132" s="29">
        <f>IFERROR(VLOOKUP($D132,Schedules!$A:$I,MATCH(Prediction!O$6,Schedules!$A$1:$H$1,0),FALSE),0)</f>
        <v>0</v>
      </c>
      <c r="P132" s="24">
        <f>IF(O132=0,0,SUMIFS(Output!$L:$L,Output!$A:$A,Prediction!$A132,Output!$C:$C,Prediction!O$5))</f>
        <v>0</v>
      </c>
      <c r="Q132" s="24">
        <f t="shared" si="40"/>
        <v>0</v>
      </c>
      <c r="R132" s="24">
        <f t="shared" si="47"/>
        <v>0</v>
      </c>
      <c r="S132" s="30">
        <f>SUMIFS(Output!$L:$L,Output!$A:$A,Prediction!$A132,Output!$C:$C,Prediction!O$5)</f>
        <v>0</v>
      </c>
      <c r="T132" s="29">
        <f>IFERROR(VLOOKUP($D132,Schedules!$A:$I,MATCH(Prediction!T$6,Schedules!$A$1:$H$1,0),FALSE),0)</f>
        <v>0</v>
      </c>
      <c r="U132" s="24">
        <f>IF(T132=0,0,SUMIFS(Output!$L:$L,Output!$A:$A,Prediction!$A132,Output!$C:$C,Prediction!T$5))</f>
        <v>0</v>
      </c>
      <c r="V132" s="24">
        <f t="shared" si="48"/>
        <v>0</v>
      </c>
      <c r="W132" s="24">
        <f t="shared" si="49"/>
        <v>0</v>
      </c>
      <c r="X132" s="30">
        <f>SUMIFS(Output!$L:$L,Output!$A:$A,Prediction!$A132,Output!$C:$C,Prediction!T$5)</f>
        <v>0</v>
      </c>
      <c r="Y132" s="25">
        <f>IFERROR(VLOOKUP($D132,Schedules!$A:$I,MATCH(Prediction!Y$6,Schedules!$A$1:$H$1,0),FALSE),0)</f>
        <v>0</v>
      </c>
      <c r="Z132" s="24">
        <f>IF(Y132=0,0,SUMIFS(Output!$L:$L,Output!$A:$A,Prediction!$A132,Output!$C:$C,Prediction!Y$5))</f>
        <v>0</v>
      </c>
      <c r="AA132" s="24">
        <f t="shared" si="41"/>
        <v>0</v>
      </c>
      <c r="AB132" s="24">
        <f t="shared" si="50"/>
        <v>0</v>
      </c>
      <c r="AC132" s="30">
        <f>SUMIFS(Output!$L:$L,Output!$A:$A,Prediction!$A132,Output!$C:$C,Prediction!Y$5)</f>
        <v>0</v>
      </c>
      <c r="AD132" s="29">
        <f>IFERROR(VLOOKUP($D132,Schedules!$A:$I,MATCH(Prediction!AD$6,Schedules!$A$1:$H$1,0),FALSE),0)</f>
        <v>0</v>
      </c>
      <c r="AE132" s="24">
        <f>IF(AD132=0,0,SUMIFS(Output!$L:$L,Output!$A:$A,Prediction!$A132,Output!$C:$C,Prediction!AD$5))</f>
        <v>0</v>
      </c>
      <c r="AF132" s="24">
        <f t="shared" si="42"/>
        <v>0</v>
      </c>
      <c r="AG132" s="24">
        <f t="shared" si="51"/>
        <v>0</v>
      </c>
      <c r="AH132" s="30">
        <f>SUMIFS(Output!$L:$L,Output!$A:$A,Prediction!$A132,Output!$C:$C,Prediction!AD$5)</f>
        <v>0</v>
      </c>
      <c r="AI132" s="29">
        <f>IFERROR(VLOOKUP($D132,Schedules!$A:$I,MATCH(Prediction!AI$6,Schedules!$A$1:$H$1,0),FALSE),0)</f>
        <v>0</v>
      </c>
      <c r="AJ132" s="24">
        <f>IF(AI132=0,0,SUMIFS(Output!$L:$L,Output!$A:$A,Prediction!$A132,Output!$C:$C,Prediction!AI$5))</f>
        <v>0</v>
      </c>
      <c r="AK132" s="24">
        <f t="shared" si="43"/>
        <v>0</v>
      </c>
      <c r="AL132" s="24">
        <f t="shared" si="52"/>
        <v>0</v>
      </c>
      <c r="AM132" s="30">
        <f>SUMIFS(Output!$L:$L,Output!$A:$A,Prediction!$A132,Output!$C:$C,Prediction!AI$5)</f>
        <v>0</v>
      </c>
      <c r="AN132">
        <f t="shared" si="53"/>
        <v>0</v>
      </c>
      <c r="AO132" s="3">
        <f t="shared" si="54"/>
        <v>0</v>
      </c>
      <c r="AP132" s="44"/>
      <c r="AQ132" s="3">
        <f t="shared" si="44"/>
        <v>0</v>
      </c>
      <c r="AR132" s="3">
        <f t="shared" si="55"/>
        <v>0</v>
      </c>
    </row>
    <row r="133" spans="1:44" x14ac:dyDescent="0.25">
      <c r="A133" s="9" t="str">
        <f t="array" ref="A133">IFERROR(INDEX(Output!A$1:A$2000,MATCH(0,COUNTIF(Prediction!$A$7:A132,Output!A$1:A$2000),0)),"")</f>
        <v/>
      </c>
      <c r="B133" t="str">
        <f>IFERROR(VLOOKUP($A133,Output!$A:$M,2,FALSE),"")</f>
        <v/>
      </c>
      <c r="C133" t="str">
        <f>IFERROR(VLOOKUP(B133,Departments!B:C,2,FALSE),"")</f>
        <v/>
      </c>
      <c r="D133" t="str">
        <f>IFERROR(VLOOKUP($A133,Output!$A:$M,13,FALSE),"")</f>
        <v/>
      </c>
      <c r="E133" s="29">
        <f>IFERROR(VLOOKUP($D133,Schedules!$A:$I,MATCH(Prediction!E$6,Schedules!$A$1:$H$1,0),FALSE),0)</f>
        <v>0</v>
      </c>
      <c r="F133" s="24">
        <f>IF(E133=0,0,SUMIFS(Output!$L:$L,Output!$A:$A,Prediction!$A133,Output!$C:$C,Prediction!E$5))</f>
        <v>0</v>
      </c>
      <c r="G133" s="24">
        <f t="shared" si="38"/>
        <v>0</v>
      </c>
      <c r="H133" s="45">
        <f t="shared" si="45"/>
        <v>0</v>
      </c>
      <c r="I133" s="30">
        <f>SUMIFS(Output!$L:$L,Output!$A:$A,Prediction!$A133,Output!$C:$C,Prediction!E$5)</f>
        <v>0</v>
      </c>
      <c r="J133" s="29">
        <f>IFERROR(VLOOKUP($D133,Schedules!$A:$I,MATCH(Prediction!J$6,Schedules!$A$1:$H$1,0),FALSE),0)</f>
        <v>0</v>
      </c>
      <c r="K133" s="24">
        <f>IF(J133=0,0,SUMIFS(Output!$L:$L,Output!$A:$A,Prediction!$A133,Output!$C:$C,Prediction!J$5))</f>
        <v>0</v>
      </c>
      <c r="L133" s="24">
        <f t="shared" si="39"/>
        <v>0</v>
      </c>
      <c r="M133" s="24">
        <f t="shared" si="46"/>
        <v>0</v>
      </c>
      <c r="N133" s="30">
        <f>SUMIFS(Output!$L:$L,Output!$A:$A,Prediction!$A133,Output!$C:$C,Prediction!J$5)</f>
        <v>0</v>
      </c>
      <c r="O133" s="29">
        <f>IFERROR(VLOOKUP($D133,Schedules!$A:$I,MATCH(Prediction!O$6,Schedules!$A$1:$H$1,0),FALSE),0)</f>
        <v>0</v>
      </c>
      <c r="P133" s="24">
        <f>IF(O133=0,0,SUMIFS(Output!$L:$L,Output!$A:$A,Prediction!$A133,Output!$C:$C,Prediction!O$5))</f>
        <v>0</v>
      </c>
      <c r="Q133" s="24">
        <f t="shared" si="40"/>
        <v>0</v>
      </c>
      <c r="R133" s="24">
        <f t="shared" si="47"/>
        <v>0</v>
      </c>
      <c r="S133" s="30">
        <f>SUMIFS(Output!$L:$L,Output!$A:$A,Prediction!$A133,Output!$C:$C,Prediction!O$5)</f>
        <v>0</v>
      </c>
      <c r="T133" s="29">
        <f>IFERROR(VLOOKUP($D133,Schedules!$A:$I,MATCH(Prediction!T$6,Schedules!$A$1:$H$1,0),FALSE),0)</f>
        <v>0</v>
      </c>
      <c r="U133" s="24">
        <f>IF(T133=0,0,SUMIFS(Output!$L:$L,Output!$A:$A,Prediction!$A133,Output!$C:$C,Prediction!T$5))</f>
        <v>0</v>
      </c>
      <c r="V133" s="24">
        <f t="shared" si="48"/>
        <v>0</v>
      </c>
      <c r="W133" s="24">
        <f t="shared" si="49"/>
        <v>0</v>
      </c>
      <c r="X133" s="30">
        <f>SUMIFS(Output!$L:$L,Output!$A:$A,Prediction!$A133,Output!$C:$C,Prediction!T$5)</f>
        <v>0</v>
      </c>
      <c r="Y133" s="25">
        <f>IFERROR(VLOOKUP($D133,Schedules!$A:$I,MATCH(Prediction!Y$6,Schedules!$A$1:$H$1,0),FALSE),0)</f>
        <v>0</v>
      </c>
      <c r="Z133" s="24">
        <f>IF(Y133=0,0,SUMIFS(Output!$L:$L,Output!$A:$A,Prediction!$A133,Output!$C:$C,Prediction!Y$5))</f>
        <v>0</v>
      </c>
      <c r="AA133" s="24">
        <f t="shared" si="41"/>
        <v>0</v>
      </c>
      <c r="AB133" s="24">
        <f t="shared" si="50"/>
        <v>0</v>
      </c>
      <c r="AC133" s="30">
        <f>SUMIFS(Output!$L:$L,Output!$A:$A,Prediction!$A133,Output!$C:$C,Prediction!Y$5)</f>
        <v>0</v>
      </c>
      <c r="AD133" s="29">
        <f>IFERROR(VLOOKUP($D133,Schedules!$A:$I,MATCH(Prediction!AD$6,Schedules!$A$1:$H$1,0),FALSE),0)</f>
        <v>0</v>
      </c>
      <c r="AE133" s="24">
        <f>IF(AD133=0,0,SUMIFS(Output!$L:$L,Output!$A:$A,Prediction!$A133,Output!$C:$C,Prediction!AD$5))</f>
        <v>0</v>
      </c>
      <c r="AF133" s="24">
        <f t="shared" si="42"/>
        <v>0</v>
      </c>
      <c r="AG133" s="24">
        <f t="shared" si="51"/>
        <v>0</v>
      </c>
      <c r="AH133" s="30">
        <f>SUMIFS(Output!$L:$L,Output!$A:$A,Prediction!$A133,Output!$C:$C,Prediction!AD$5)</f>
        <v>0</v>
      </c>
      <c r="AI133" s="29">
        <f>IFERROR(VLOOKUP($D133,Schedules!$A:$I,MATCH(Prediction!AI$6,Schedules!$A$1:$H$1,0),FALSE),0)</f>
        <v>0</v>
      </c>
      <c r="AJ133" s="24">
        <f>IF(AI133=0,0,SUMIFS(Output!$L:$L,Output!$A:$A,Prediction!$A133,Output!$C:$C,Prediction!AI$5))</f>
        <v>0</v>
      </c>
      <c r="AK133" s="24">
        <f t="shared" si="43"/>
        <v>0</v>
      </c>
      <c r="AL133" s="24">
        <f t="shared" si="52"/>
        <v>0</v>
      </c>
      <c r="AM133" s="30">
        <f>SUMIFS(Output!$L:$L,Output!$A:$A,Prediction!$A133,Output!$C:$C,Prediction!AI$5)</f>
        <v>0</v>
      </c>
      <c r="AN133">
        <f t="shared" si="53"/>
        <v>0</v>
      </c>
      <c r="AO133" s="3">
        <f t="shared" si="54"/>
        <v>0</v>
      </c>
      <c r="AP133" s="44"/>
      <c r="AQ133" s="3">
        <f t="shared" si="44"/>
        <v>0</v>
      </c>
      <c r="AR133" s="3">
        <f t="shared" si="55"/>
        <v>0</v>
      </c>
    </row>
    <row r="134" spans="1:44" x14ac:dyDescent="0.25">
      <c r="A134" s="9" t="str">
        <f t="array" ref="A134">IFERROR(INDEX(Output!A$1:A$2000,MATCH(0,COUNTIF(Prediction!$A$7:A133,Output!A$1:A$2000),0)),"")</f>
        <v/>
      </c>
      <c r="B134" t="str">
        <f>IFERROR(VLOOKUP($A134,Output!$A:$M,2,FALSE),"")</f>
        <v/>
      </c>
      <c r="C134" t="str">
        <f>IFERROR(VLOOKUP(B134,Departments!B:C,2,FALSE),"")</f>
        <v/>
      </c>
      <c r="D134" t="str">
        <f>IFERROR(VLOOKUP($A134,Output!$A:$M,13,FALSE),"")</f>
        <v/>
      </c>
      <c r="E134" s="29">
        <f>IFERROR(VLOOKUP($D134,Schedules!$A:$I,MATCH(Prediction!E$6,Schedules!$A$1:$H$1,0),FALSE),0)</f>
        <v>0</v>
      </c>
      <c r="F134" s="24">
        <f>IF(E134=0,0,SUMIFS(Output!$L:$L,Output!$A:$A,Prediction!$A134,Output!$C:$C,Prediction!E$5))</f>
        <v>0</v>
      </c>
      <c r="G134" s="24">
        <f t="shared" si="38"/>
        <v>0</v>
      </c>
      <c r="H134" s="45">
        <f t="shared" si="45"/>
        <v>0</v>
      </c>
      <c r="I134" s="30">
        <f>SUMIFS(Output!$L:$L,Output!$A:$A,Prediction!$A134,Output!$C:$C,Prediction!E$5)</f>
        <v>0</v>
      </c>
      <c r="J134" s="29">
        <f>IFERROR(VLOOKUP($D134,Schedules!$A:$I,MATCH(Prediction!J$6,Schedules!$A$1:$H$1,0),FALSE),0)</f>
        <v>0</v>
      </c>
      <c r="K134" s="24">
        <f>IF(J134=0,0,SUMIFS(Output!$L:$L,Output!$A:$A,Prediction!$A134,Output!$C:$C,Prediction!J$5))</f>
        <v>0</v>
      </c>
      <c r="L134" s="24">
        <f t="shared" si="39"/>
        <v>0</v>
      </c>
      <c r="M134" s="24">
        <f t="shared" si="46"/>
        <v>0</v>
      </c>
      <c r="N134" s="30">
        <f>SUMIFS(Output!$L:$L,Output!$A:$A,Prediction!$A134,Output!$C:$C,Prediction!J$5)</f>
        <v>0</v>
      </c>
      <c r="O134" s="29">
        <f>IFERROR(VLOOKUP($D134,Schedules!$A:$I,MATCH(Prediction!O$6,Schedules!$A$1:$H$1,0),FALSE),0)</f>
        <v>0</v>
      </c>
      <c r="P134" s="24">
        <f>IF(O134=0,0,SUMIFS(Output!$L:$L,Output!$A:$A,Prediction!$A134,Output!$C:$C,Prediction!O$5))</f>
        <v>0</v>
      </c>
      <c r="Q134" s="24">
        <f t="shared" si="40"/>
        <v>0</v>
      </c>
      <c r="R134" s="24">
        <f t="shared" si="47"/>
        <v>0</v>
      </c>
      <c r="S134" s="30">
        <f>SUMIFS(Output!$L:$L,Output!$A:$A,Prediction!$A134,Output!$C:$C,Prediction!O$5)</f>
        <v>0</v>
      </c>
      <c r="T134" s="29">
        <f>IFERROR(VLOOKUP($D134,Schedules!$A:$I,MATCH(Prediction!T$6,Schedules!$A$1:$H$1,0),FALSE),0)</f>
        <v>0</v>
      </c>
      <c r="U134" s="24">
        <f>IF(T134=0,0,SUMIFS(Output!$L:$L,Output!$A:$A,Prediction!$A134,Output!$C:$C,Prediction!T$5))</f>
        <v>0</v>
      </c>
      <c r="V134" s="24">
        <f t="shared" si="48"/>
        <v>0</v>
      </c>
      <c r="W134" s="24">
        <f t="shared" si="49"/>
        <v>0</v>
      </c>
      <c r="X134" s="30">
        <f>SUMIFS(Output!$L:$L,Output!$A:$A,Prediction!$A134,Output!$C:$C,Prediction!T$5)</f>
        <v>0</v>
      </c>
      <c r="Y134" s="25">
        <f>IFERROR(VLOOKUP($D134,Schedules!$A:$I,MATCH(Prediction!Y$6,Schedules!$A$1:$H$1,0),FALSE),0)</f>
        <v>0</v>
      </c>
      <c r="Z134" s="24">
        <f>IF(Y134=0,0,SUMIFS(Output!$L:$L,Output!$A:$A,Prediction!$A134,Output!$C:$C,Prediction!Y$5))</f>
        <v>0</v>
      </c>
      <c r="AA134" s="24">
        <f t="shared" si="41"/>
        <v>0</v>
      </c>
      <c r="AB134" s="24">
        <f t="shared" si="50"/>
        <v>0</v>
      </c>
      <c r="AC134" s="30">
        <f>SUMIFS(Output!$L:$L,Output!$A:$A,Prediction!$A134,Output!$C:$C,Prediction!Y$5)</f>
        <v>0</v>
      </c>
      <c r="AD134" s="29">
        <f>IFERROR(VLOOKUP($D134,Schedules!$A:$I,MATCH(Prediction!AD$6,Schedules!$A$1:$H$1,0),FALSE),0)</f>
        <v>0</v>
      </c>
      <c r="AE134" s="24">
        <f>IF(AD134=0,0,SUMIFS(Output!$L:$L,Output!$A:$A,Prediction!$A134,Output!$C:$C,Prediction!AD$5))</f>
        <v>0</v>
      </c>
      <c r="AF134" s="24">
        <f t="shared" si="42"/>
        <v>0</v>
      </c>
      <c r="AG134" s="24">
        <f t="shared" si="51"/>
        <v>0</v>
      </c>
      <c r="AH134" s="30">
        <f>SUMIFS(Output!$L:$L,Output!$A:$A,Prediction!$A134,Output!$C:$C,Prediction!AD$5)</f>
        <v>0</v>
      </c>
      <c r="AI134" s="29">
        <f>IFERROR(VLOOKUP($D134,Schedules!$A:$I,MATCH(Prediction!AI$6,Schedules!$A$1:$H$1,0),FALSE),0)</f>
        <v>0</v>
      </c>
      <c r="AJ134" s="24">
        <f>IF(AI134=0,0,SUMIFS(Output!$L:$L,Output!$A:$A,Prediction!$A134,Output!$C:$C,Prediction!AI$5))</f>
        <v>0</v>
      </c>
      <c r="AK134" s="24">
        <f t="shared" si="43"/>
        <v>0</v>
      </c>
      <c r="AL134" s="24">
        <f t="shared" si="52"/>
        <v>0</v>
      </c>
      <c r="AM134" s="30">
        <f>SUMIFS(Output!$L:$L,Output!$A:$A,Prediction!$A134,Output!$C:$C,Prediction!AI$5)</f>
        <v>0</v>
      </c>
      <c r="AN134">
        <f t="shared" si="53"/>
        <v>0</v>
      </c>
      <c r="AO134" s="3">
        <f t="shared" si="54"/>
        <v>0</v>
      </c>
      <c r="AP134" s="44"/>
      <c r="AQ134" s="3">
        <f t="shared" si="44"/>
        <v>0</v>
      </c>
      <c r="AR134" s="3">
        <f t="shared" si="55"/>
        <v>0</v>
      </c>
    </row>
    <row r="135" spans="1:44" x14ac:dyDescent="0.25">
      <c r="A135" s="9" t="str">
        <f t="array" ref="A135">IFERROR(INDEX(Output!A$1:A$2000,MATCH(0,COUNTIF(Prediction!$A$7:A134,Output!A$1:A$2000),0)),"")</f>
        <v/>
      </c>
      <c r="B135" t="str">
        <f>IFERROR(VLOOKUP($A135,Output!$A:$M,2,FALSE),"")</f>
        <v/>
      </c>
      <c r="C135" t="str">
        <f>IFERROR(VLOOKUP(B135,Departments!B:C,2,FALSE),"")</f>
        <v/>
      </c>
      <c r="D135" t="str">
        <f>IFERROR(VLOOKUP($A135,Output!$A:$M,13,FALSE),"")</f>
        <v/>
      </c>
      <c r="E135" s="29">
        <f>IFERROR(VLOOKUP($D135,Schedules!$A:$I,MATCH(Prediction!E$6,Schedules!$A$1:$H$1,0),FALSE),0)</f>
        <v>0</v>
      </c>
      <c r="F135" s="24">
        <f>IF(E135=0,0,SUMIFS(Output!$L:$L,Output!$A:$A,Prediction!$A135,Output!$C:$C,Prediction!E$5))</f>
        <v>0</v>
      </c>
      <c r="G135" s="24">
        <f t="shared" si="38"/>
        <v>0</v>
      </c>
      <c r="H135" s="45">
        <f t="shared" si="45"/>
        <v>0</v>
      </c>
      <c r="I135" s="30">
        <f>SUMIFS(Output!$L:$L,Output!$A:$A,Prediction!$A135,Output!$C:$C,Prediction!E$5)</f>
        <v>0</v>
      </c>
      <c r="J135" s="29">
        <f>IFERROR(VLOOKUP($D135,Schedules!$A:$I,MATCH(Prediction!J$6,Schedules!$A$1:$H$1,0),FALSE),0)</f>
        <v>0</v>
      </c>
      <c r="K135" s="24">
        <f>IF(J135=0,0,SUMIFS(Output!$L:$L,Output!$A:$A,Prediction!$A135,Output!$C:$C,Prediction!J$5))</f>
        <v>0</v>
      </c>
      <c r="L135" s="24">
        <f t="shared" si="39"/>
        <v>0</v>
      </c>
      <c r="M135" s="24">
        <f t="shared" si="46"/>
        <v>0</v>
      </c>
      <c r="N135" s="30">
        <f>SUMIFS(Output!$L:$L,Output!$A:$A,Prediction!$A135,Output!$C:$C,Prediction!J$5)</f>
        <v>0</v>
      </c>
      <c r="O135" s="29">
        <f>IFERROR(VLOOKUP($D135,Schedules!$A:$I,MATCH(Prediction!O$6,Schedules!$A$1:$H$1,0),FALSE),0)</f>
        <v>0</v>
      </c>
      <c r="P135" s="24">
        <f>IF(O135=0,0,SUMIFS(Output!$L:$L,Output!$A:$A,Prediction!$A135,Output!$C:$C,Prediction!O$5))</f>
        <v>0</v>
      </c>
      <c r="Q135" s="24">
        <f t="shared" si="40"/>
        <v>0</v>
      </c>
      <c r="R135" s="24">
        <f t="shared" si="47"/>
        <v>0</v>
      </c>
      <c r="S135" s="30">
        <f>SUMIFS(Output!$L:$L,Output!$A:$A,Prediction!$A135,Output!$C:$C,Prediction!O$5)</f>
        <v>0</v>
      </c>
      <c r="T135" s="29">
        <f>IFERROR(VLOOKUP($D135,Schedules!$A:$I,MATCH(Prediction!T$6,Schedules!$A$1:$H$1,0),FALSE),0)</f>
        <v>0</v>
      </c>
      <c r="U135" s="24">
        <f>IF(T135=0,0,SUMIFS(Output!$L:$L,Output!$A:$A,Prediction!$A135,Output!$C:$C,Prediction!T$5))</f>
        <v>0</v>
      </c>
      <c r="V135" s="24">
        <f t="shared" si="48"/>
        <v>0</v>
      </c>
      <c r="W135" s="24">
        <f t="shared" si="49"/>
        <v>0</v>
      </c>
      <c r="X135" s="30">
        <f>SUMIFS(Output!$L:$L,Output!$A:$A,Prediction!$A135,Output!$C:$C,Prediction!T$5)</f>
        <v>0</v>
      </c>
      <c r="Y135" s="25">
        <f>IFERROR(VLOOKUP($D135,Schedules!$A:$I,MATCH(Prediction!Y$6,Schedules!$A$1:$H$1,0),FALSE),0)</f>
        <v>0</v>
      </c>
      <c r="Z135" s="24">
        <f>IF(Y135=0,0,SUMIFS(Output!$L:$L,Output!$A:$A,Prediction!$A135,Output!$C:$C,Prediction!Y$5))</f>
        <v>0</v>
      </c>
      <c r="AA135" s="24">
        <f t="shared" si="41"/>
        <v>0</v>
      </c>
      <c r="AB135" s="24">
        <f t="shared" si="50"/>
        <v>0</v>
      </c>
      <c r="AC135" s="30">
        <f>SUMIFS(Output!$L:$L,Output!$A:$A,Prediction!$A135,Output!$C:$C,Prediction!Y$5)</f>
        <v>0</v>
      </c>
      <c r="AD135" s="29">
        <f>IFERROR(VLOOKUP($D135,Schedules!$A:$I,MATCH(Prediction!AD$6,Schedules!$A$1:$H$1,0),FALSE),0)</f>
        <v>0</v>
      </c>
      <c r="AE135" s="24">
        <f>IF(AD135=0,0,SUMIFS(Output!$L:$L,Output!$A:$A,Prediction!$A135,Output!$C:$C,Prediction!AD$5))</f>
        <v>0</v>
      </c>
      <c r="AF135" s="24">
        <f t="shared" si="42"/>
        <v>0</v>
      </c>
      <c r="AG135" s="24">
        <f t="shared" si="51"/>
        <v>0</v>
      </c>
      <c r="AH135" s="30">
        <f>SUMIFS(Output!$L:$L,Output!$A:$A,Prediction!$A135,Output!$C:$C,Prediction!AD$5)</f>
        <v>0</v>
      </c>
      <c r="AI135" s="29">
        <f>IFERROR(VLOOKUP($D135,Schedules!$A:$I,MATCH(Prediction!AI$6,Schedules!$A$1:$H$1,0),FALSE),0)</f>
        <v>0</v>
      </c>
      <c r="AJ135" s="24">
        <f>IF(AI135=0,0,SUMIFS(Output!$L:$L,Output!$A:$A,Prediction!$A135,Output!$C:$C,Prediction!AI$5))</f>
        <v>0</v>
      </c>
      <c r="AK135" s="24">
        <f t="shared" si="43"/>
        <v>0</v>
      </c>
      <c r="AL135" s="24">
        <f t="shared" si="52"/>
        <v>0</v>
      </c>
      <c r="AM135" s="30">
        <f>SUMIFS(Output!$L:$L,Output!$A:$A,Prediction!$A135,Output!$C:$C,Prediction!AI$5)</f>
        <v>0</v>
      </c>
      <c r="AN135">
        <f t="shared" si="53"/>
        <v>0</v>
      </c>
      <c r="AO135" s="3">
        <f t="shared" si="54"/>
        <v>0</v>
      </c>
      <c r="AP135" s="44"/>
      <c r="AQ135" s="3">
        <f t="shared" si="44"/>
        <v>0</v>
      </c>
      <c r="AR135" s="3">
        <f t="shared" si="55"/>
        <v>0</v>
      </c>
    </row>
    <row r="136" spans="1:44" x14ac:dyDescent="0.25">
      <c r="A136" s="9" t="str">
        <f t="array" ref="A136">IFERROR(INDEX(Output!A$1:A$2000,MATCH(0,COUNTIF(Prediction!$A$7:A135,Output!A$1:A$2000),0)),"")</f>
        <v/>
      </c>
      <c r="B136" t="str">
        <f>IFERROR(VLOOKUP($A136,Output!$A:$M,2,FALSE),"")</f>
        <v/>
      </c>
      <c r="C136" t="str">
        <f>IFERROR(VLOOKUP(B136,Departments!B:C,2,FALSE),"")</f>
        <v/>
      </c>
      <c r="D136" t="str">
        <f>IFERROR(VLOOKUP($A136,Output!$A:$M,13,FALSE),"")</f>
        <v/>
      </c>
      <c r="E136" s="29">
        <f>IFERROR(VLOOKUP($D136,Schedules!$A:$I,MATCH(Prediction!E$6,Schedules!$A$1:$H$1,0),FALSE),0)</f>
        <v>0</v>
      </c>
      <c r="F136" s="24">
        <f>IF(E136=0,0,SUMIFS(Output!$L:$L,Output!$A:$A,Prediction!$A136,Output!$C:$C,Prediction!E$5))</f>
        <v>0</v>
      </c>
      <c r="G136" s="24">
        <f t="shared" si="38"/>
        <v>0</v>
      </c>
      <c r="H136" s="45">
        <f t="shared" si="45"/>
        <v>0</v>
      </c>
      <c r="I136" s="30">
        <f>SUMIFS(Output!$L:$L,Output!$A:$A,Prediction!$A136,Output!$C:$C,Prediction!E$5)</f>
        <v>0</v>
      </c>
      <c r="J136" s="29">
        <f>IFERROR(VLOOKUP($D136,Schedules!$A:$I,MATCH(Prediction!J$6,Schedules!$A$1:$H$1,0),FALSE),0)</f>
        <v>0</v>
      </c>
      <c r="K136" s="24">
        <f>IF(J136=0,0,SUMIFS(Output!$L:$L,Output!$A:$A,Prediction!$A136,Output!$C:$C,Prediction!J$5))</f>
        <v>0</v>
      </c>
      <c r="L136" s="24">
        <f t="shared" si="39"/>
        <v>0</v>
      </c>
      <c r="M136" s="24">
        <f t="shared" ref="M136:M167" si="56">IF(AND($J$5&gt;$B$3,J136&gt;0),J136,0)</f>
        <v>0</v>
      </c>
      <c r="N136" s="30">
        <f>SUMIFS(Output!$L:$L,Output!$A:$A,Prediction!$A136,Output!$C:$C,Prediction!J$5)</f>
        <v>0</v>
      </c>
      <c r="O136" s="29">
        <f>IFERROR(VLOOKUP($D136,Schedules!$A:$I,MATCH(Prediction!O$6,Schedules!$A$1:$H$1,0),FALSE),0)</f>
        <v>0</v>
      </c>
      <c r="P136" s="24">
        <f>IF(O136=0,0,SUMIFS(Output!$L:$L,Output!$A:$A,Prediction!$A136,Output!$C:$C,Prediction!O$5))</f>
        <v>0</v>
      </c>
      <c r="Q136" s="24">
        <f t="shared" si="40"/>
        <v>0</v>
      </c>
      <c r="R136" s="24">
        <f t="shared" ref="R136:R167" si="57">IF(AND($O$5&gt;$B$3,O136&gt;0),O136,0)</f>
        <v>0</v>
      </c>
      <c r="S136" s="30">
        <f>SUMIFS(Output!$L:$L,Output!$A:$A,Prediction!$A136,Output!$C:$C,Prediction!O$5)</f>
        <v>0</v>
      </c>
      <c r="T136" s="29">
        <f>IFERROR(VLOOKUP($D136,Schedules!$A:$I,MATCH(Prediction!T$6,Schedules!$A$1:$H$1,0),FALSE),0)</f>
        <v>0</v>
      </c>
      <c r="U136" s="24">
        <f>IF(T136=0,0,SUMIFS(Output!$L:$L,Output!$A:$A,Prediction!$A136,Output!$C:$C,Prediction!T$5))</f>
        <v>0</v>
      </c>
      <c r="V136" s="24">
        <f t="shared" ref="V136:V167" si="58">IF(X136&gt;T136, X136-T136, 0)</f>
        <v>0</v>
      </c>
      <c r="W136" s="24">
        <f t="shared" ref="W136:W167" si="59">IF(AND($T$5&gt;$B$3,T136&gt;0),T136,0)</f>
        <v>0</v>
      </c>
      <c r="X136" s="30">
        <f>SUMIFS(Output!$L:$L,Output!$A:$A,Prediction!$A136,Output!$C:$C,Prediction!T$5)</f>
        <v>0</v>
      </c>
      <c r="Y136" s="25">
        <f>IFERROR(VLOOKUP($D136,Schedules!$A:$I,MATCH(Prediction!Y$6,Schedules!$A$1:$H$1,0),FALSE),0)</f>
        <v>0</v>
      </c>
      <c r="Z136" s="24">
        <f>IF(Y136=0,0,SUMIFS(Output!$L:$L,Output!$A:$A,Prediction!$A136,Output!$C:$C,Prediction!Y$5))</f>
        <v>0</v>
      </c>
      <c r="AA136" s="24">
        <f t="shared" si="41"/>
        <v>0</v>
      </c>
      <c r="AB136" s="24">
        <f t="shared" ref="AB136:AB167" si="60">IF(AND($Y$5&gt;$B$3,Y136&gt;0),Y136,0)</f>
        <v>0</v>
      </c>
      <c r="AC136" s="30">
        <f>SUMIFS(Output!$L:$L,Output!$A:$A,Prediction!$A136,Output!$C:$C,Prediction!Y$5)</f>
        <v>0</v>
      </c>
      <c r="AD136" s="29">
        <f>IFERROR(VLOOKUP($D136,Schedules!$A:$I,MATCH(Prediction!AD$6,Schedules!$A$1:$H$1,0),FALSE),0)</f>
        <v>0</v>
      </c>
      <c r="AE136" s="24">
        <f>IF(AD136=0,0,SUMIFS(Output!$L:$L,Output!$A:$A,Prediction!$A136,Output!$C:$C,Prediction!AD$5))</f>
        <v>0</v>
      </c>
      <c r="AF136" s="24">
        <f t="shared" si="42"/>
        <v>0</v>
      </c>
      <c r="AG136" s="24">
        <f t="shared" ref="AG136:AG167" si="61">IF(AND($AD$5&gt;$B$3,AD136&gt;0),AD136,0)</f>
        <v>0</v>
      </c>
      <c r="AH136" s="30">
        <f>SUMIFS(Output!$L:$L,Output!$A:$A,Prediction!$A136,Output!$C:$C,Prediction!AD$5)</f>
        <v>0</v>
      </c>
      <c r="AI136" s="29">
        <f>IFERROR(VLOOKUP($D136,Schedules!$A:$I,MATCH(Prediction!AI$6,Schedules!$A$1:$H$1,0),FALSE),0)</f>
        <v>0</v>
      </c>
      <c r="AJ136" s="24">
        <f>IF(AI136=0,0,SUMIFS(Output!$L:$L,Output!$A:$A,Prediction!$A136,Output!$C:$C,Prediction!AI$5))</f>
        <v>0</v>
      </c>
      <c r="AK136" s="24">
        <f t="shared" si="43"/>
        <v>0</v>
      </c>
      <c r="AL136" s="24">
        <f t="shared" ref="AL136:AL167" si="62">IF(AND($AI$5&gt;$B$3,AI136&gt;0),AI136,0)</f>
        <v>0</v>
      </c>
      <c r="AM136" s="30">
        <f>SUMIFS(Output!$L:$L,Output!$A:$A,Prediction!$A136,Output!$C:$C,Prediction!AI$5)</f>
        <v>0</v>
      </c>
      <c r="AN136">
        <f t="shared" ref="AN136:AN167" si="63">IFERROR(E136+J136+O136+T136+Y136+AD136+AI136,"")</f>
        <v>0</v>
      </c>
      <c r="AO136" s="3">
        <f t="shared" ref="AO136:AO167" si="64">SUM(I136,N136,S136,X136,AC136,AH136,AM136)</f>
        <v>0</v>
      </c>
      <c r="AP136" s="44"/>
      <c r="AQ136" s="3">
        <f t="shared" si="44"/>
        <v>0</v>
      </c>
      <c r="AR136" s="3">
        <f t="shared" ref="AR136:AR167" si="65">IF(AQ136-AN136&lt;0,0,AQ136-AN136)</f>
        <v>0</v>
      </c>
    </row>
    <row r="137" spans="1:44" x14ac:dyDescent="0.25">
      <c r="A137" s="9" t="str">
        <f t="array" ref="A137">IFERROR(INDEX(Output!A$1:A$2000,MATCH(0,COUNTIF(Prediction!$A$7:A136,Output!A$1:A$2000),0)),"")</f>
        <v/>
      </c>
      <c r="B137" t="str">
        <f>IFERROR(VLOOKUP($A137,Output!$A:$M,2,FALSE),"")</f>
        <v/>
      </c>
      <c r="C137" t="str">
        <f>IFERROR(VLOOKUP(B137,Departments!B:C,2,FALSE),"")</f>
        <v/>
      </c>
      <c r="D137" t="str">
        <f>IFERROR(VLOOKUP($A137,Output!$A:$M,13,FALSE),"")</f>
        <v/>
      </c>
      <c r="E137" s="29">
        <f>IFERROR(VLOOKUP($D137,Schedules!$A:$I,MATCH(Prediction!E$6,Schedules!$A$1:$H$1,0),FALSE),0)</f>
        <v>0</v>
      </c>
      <c r="F137" s="24">
        <f>IF(E137=0,0,SUMIFS(Output!$L:$L,Output!$A:$A,Prediction!$A137,Output!$C:$C,Prediction!E$5))</f>
        <v>0</v>
      </c>
      <c r="G137" s="24">
        <f t="shared" ref="G137:G200" si="66">IF(I137&gt;E137, I137-E137, 0)</f>
        <v>0</v>
      </c>
      <c r="H137" s="45">
        <f t="shared" si="45"/>
        <v>0</v>
      </c>
      <c r="I137" s="30">
        <f>SUMIFS(Output!$L:$L,Output!$A:$A,Prediction!$A137,Output!$C:$C,Prediction!E$5)</f>
        <v>0</v>
      </c>
      <c r="J137" s="29">
        <f>IFERROR(VLOOKUP($D137,Schedules!$A:$I,MATCH(Prediction!J$6,Schedules!$A$1:$H$1,0),FALSE),0)</f>
        <v>0</v>
      </c>
      <c r="K137" s="24">
        <f>IF(J137=0,0,SUMIFS(Output!$L:$L,Output!$A:$A,Prediction!$A137,Output!$C:$C,Prediction!J$5))</f>
        <v>0</v>
      </c>
      <c r="L137" s="24">
        <f t="shared" ref="L137:L200" si="67">IF(N137&gt;J137, N137-J137, 0)</f>
        <v>0</v>
      </c>
      <c r="M137" s="24">
        <f t="shared" si="56"/>
        <v>0</v>
      </c>
      <c r="N137" s="30">
        <f>SUMIFS(Output!$L:$L,Output!$A:$A,Prediction!$A137,Output!$C:$C,Prediction!J$5)</f>
        <v>0</v>
      </c>
      <c r="O137" s="29">
        <f>IFERROR(VLOOKUP($D137,Schedules!$A:$I,MATCH(Prediction!O$6,Schedules!$A$1:$H$1,0),FALSE),0)</f>
        <v>0</v>
      </c>
      <c r="P137" s="24">
        <f>IF(O137=0,0,SUMIFS(Output!$L:$L,Output!$A:$A,Prediction!$A137,Output!$C:$C,Prediction!O$5))</f>
        <v>0</v>
      </c>
      <c r="Q137" s="24">
        <f t="shared" ref="Q137:Q200" si="68">IF(S137&gt;O137, S137-O137, 0)</f>
        <v>0</v>
      </c>
      <c r="R137" s="24">
        <f t="shared" si="57"/>
        <v>0</v>
      </c>
      <c r="S137" s="30">
        <f>SUMIFS(Output!$L:$L,Output!$A:$A,Prediction!$A137,Output!$C:$C,Prediction!O$5)</f>
        <v>0</v>
      </c>
      <c r="T137" s="29">
        <f>IFERROR(VLOOKUP($D137,Schedules!$A:$I,MATCH(Prediction!T$6,Schedules!$A$1:$H$1,0),FALSE),0)</f>
        <v>0</v>
      </c>
      <c r="U137" s="24">
        <f>IF(T137=0,0,SUMIFS(Output!$L:$L,Output!$A:$A,Prediction!$A137,Output!$C:$C,Prediction!T$5))</f>
        <v>0</v>
      </c>
      <c r="V137" s="24">
        <f t="shared" si="58"/>
        <v>0</v>
      </c>
      <c r="W137" s="24">
        <f t="shared" si="59"/>
        <v>0</v>
      </c>
      <c r="X137" s="30">
        <f>SUMIFS(Output!$L:$L,Output!$A:$A,Prediction!$A137,Output!$C:$C,Prediction!T$5)</f>
        <v>0</v>
      </c>
      <c r="Y137" s="25">
        <f>IFERROR(VLOOKUP($D137,Schedules!$A:$I,MATCH(Prediction!Y$6,Schedules!$A$1:$H$1,0),FALSE),0)</f>
        <v>0</v>
      </c>
      <c r="Z137" s="24">
        <f>IF(Y137=0,0,SUMIFS(Output!$L:$L,Output!$A:$A,Prediction!$A137,Output!$C:$C,Prediction!Y$5))</f>
        <v>0</v>
      </c>
      <c r="AA137" s="24">
        <f t="shared" ref="AA137:AA200" si="69">IF(AC137&gt;Y137, AC137-Y137, 0)</f>
        <v>0</v>
      </c>
      <c r="AB137" s="24">
        <f t="shared" si="60"/>
        <v>0</v>
      </c>
      <c r="AC137" s="30">
        <f>SUMIFS(Output!$L:$L,Output!$A:$A,Prediction!$A137,Output!$C:$C,Prediction!Y$5)</f>
        <v>0</v>
      </c>
      <c r="AD137" s="29">
        <f>IFERROR(VLOOKUP($D137,Schedules!$A:$I,MATCH(Prediction!AD$6,Schedules!$A$1:$H$1,0),FALSE),0)</f>
        <v>0</v>
      </c>
      <c r="AE137" s="24">
        <f>IF(AD137=0,0,SUMIFS(Output!$L:$L,Output!$A:$A,Prediction!$A137,Output!$C:$C,Prediction!AD$5))</f>
        <v>0</v>
      </c>
      <c r="AF137" s="24">
        <f t="shared" ref="AF137:AF200" si="70">IF(AH137&gt;AD137, AH137-AD137, 0)</f>
        <v>0</v>
      </c>
      <c r="AG137" s="24">
        <f t="shared" si="61"/>
        <v>0</v>
      </c>
      <c r="AH137" s="30">
        <f>SUMIFS(Output!$L:$L,Output!$A:$A,Prediction!$A137,Output!$C:$C,Prediction!AD$5)</f>
        <v>0</v>
      </c>
      <c r="AI137" s="29">
        <f>IFERROR(VLOOKUP($D137,Schedules!$A:$I,MATCH(Prediction!AI$6,Schedules!$A$1:$H$1,0),FALSE),0)</f>
        <v>0</v>
      </c>
      <c r="AJ137" s="24">
        <f>IF(AI137=0,0,SUMIFS(Output!$L:$L,Output!$A:$A,Prediction!$A137,Output!$C:$C,Prediction!AI$5))</f>
        <v>0</v>
      </c>
      <c r="AK137" s="24">
        <f t="shared" ref="AK137:AK200" si="71">IF(AM137&gt;AI137, AM137-AI137, 0)</f>
        <v>0</v>
      </c>
      <c r="AL137" s="24">
        <f t="shared" si="62"/>
        <v>0</v>
      </c>
      <c r="AM137" s="30">
        <f>SUMIFS(Output!$L:$L,Output!$A:$A,Prediction!$A137,Output!$C:$C,Prediction!AI$5)</f>
        <v>0</v>
      </c>
      <c r="AN137">
        <f t="shared" si="63"/>
        <v>0</v>
      </c>
      <c r="AO137" s="3">
        <f t="shared" si="64"/>
        <v>0</v>
      </c>
      <c r="AP137" s="44"/>
      <c r="AQ137" s="3">
        <f t="shared" ref="AQ137:AQ200" si="72">SUM(H137:I137,M137:N137,R137:S137,W137:X137,AB137:AC137,AG137:AH137,AL137:AM137,AP137)</f>
        <v>0</v>
      </c>
      <c r="AR137" s="3">
        <f t="shared" si="65"/>
        <v>0</v>
      </c>
    </row>
    <row r="138" spans="1:44" x14ac:dyDescent="0.25">
      <c r="A138" s="9" t="str">
        <f t="array" ref="A138">IFERROR(INDEX(Output!A$1:A$2000,MATCH(0,COUNTIF(Prediction!$A$7:A137,Output!A$1:A$2000),0)),"")</f>
        <v/>
      </c>
      <c r="B138" t="str">
        <f>IFERROR(VLOOKUP($A138,Output!$A:$M,2,FALSE),"")</f>
        <v/>
      </c>
      <c r="C138" t="str">
        <f>IFERROR(VLOOKUP(B138,Departments!B:C,2,FALSE),"")</f>
        <v/>
      </c>
      <c r="D138" t="str">
        <f>IFERROR(VLOOKUP($A138,Output!$A:$M,13,FALSE),"")</f>
        <v/>
      </c>
      <c r="E138" s="29">
        <f>IFERROR(VLOOKUP($D138,Schedules!$A:$I,MATCH(Prediction!E$6,Schedules!$A$1:$H$1,0),FALSE),0)</f>
        <v>0</v>
      </c>
      <c r="F138" s="24">
        <f>IF(E138=0,0,SUMIFS(Output!$L:$L,Output!$A:$A,Prediction!$A138,Output!$C:$C,Prediction!E$5))</f>
        <v>0</v>
      </c>
      <c r="G138" s="24">
        <f t="shared" si="66"/>
        <v>0</v>
      </c>
      <c r="H138" s="45">
        <f t="shared" ref="H138:H201" si="73">IF(AND($E$5&gt;$B$3,E138&gt;0),E138,0)</f>
        <v>0</v>
      </c>
      <c r="I138" s="30">
        <f>SUMIFS(Output!$L:$L,Output!$A:$A,Prediction!$A138,Output!$C:$C,Prediction!E$5)</f>
        <v>0</v>
      </c>
      <c r="J138" s="29">
        <f>IFERROR(VLOOKUP($D138,Schedules!$A:$I,MATCH(Prediction!J$6,Schedules!$A$1:$H$1,0),FALSE),0)</f>
        <v>0</v>
      </c>
      <c r="K138" s="24">
        <f>IF(J138=0,0,SUMIFS(Output!$L:$L,Output!$A:$A,Prediction!$A138,Output!$C:$C,Prediction!J$5))</f>
        <v>0</v>
      </c>
      <c r="L138" s="24">
        <f t="shared" si="67"/>
        <v>0</v>
      </c>
      <c r="M138" s="24">
        <f t="shared" si="56"/>
        <v>0</v>
      </c>
      <c r="N138" s="30">
        <f>SUMIFS(Output!$L:$L,Output!$A:$A,Prediction!$A138,Output!$C:$C,Prediction!J$5)</f>
        <v>0</v>
      </c>
      <c r="O138" s="29">
        <f>IFERROR(VLOOKUP($D138,Schedules!$A:$I,MATCH(Prediction!O$6,Schedules!$A$1:$H$1,0),FALSE),0)</f>
        <v>0</v>
      </c>
      <c r="P138" s="24">
        <f>IF(O138=0,0,SUMIFS(Output!$L:$L,Output!$A:$A,Prediction!$A138,Output!$C:$C,Prediction!O$5))</f>
        <v>0</v>
      </c>
      <c r="Q138" s="24">
        <f t="shared" si="68"/>
        <v>0</v>
      </c>
      <c r="R138" s="24">
        <f t="shared" si="57"/>
        <v>0</v>
      </c>
      <c r="S138" s="30">
        <f>SUMIFS(Output!$L:$L,Output!$A:$A,Prediction!$A138,Output!$C:$C,Prediction!O$5)</f>
        <v>0</v>
      </c>
      <c r="T138" s="29">
        <f>IFERROR(VLOOKUP($D138,Schedules!$A:$I,MATCH(Prediction!T$6,Schedules!$A$1:$H$1,0),FALSE),0)</f>
        <v>0</v>
      </c>
      <c r="U138" s="24">
        <f>IF(T138=0,0,SUMIFS(Output!$L:$L,Output!$A:$A,Prediction!$A138,Output!$C:$C,Prediction!T$5))</f>
        <v>0</v>
      </c>
      <c r="V138" s="24">
        <f t="shared" si="58"/>
        <v>0</v>
      </c>
      <c r="W138" s="24">
        <f t="shared" si="59"/>
        <v>0</v>
      </c>
      <c r="X138" s="30">
        <f>SUMIFS(Output!$L:$L,Output!$A:$A,Prediction!$A138,Output!$C:$C,Prediction!T$5)</f>
        <v>0</v>
      </c>
      <c r="Y138" s="25">
        <f>IFERROR(VLOOKUP($D138,Schedules!$A:$I,MATCH(Prediction!Y$6,Schedules!$A$1:$H$1,0),FALSE),0)</f>
        <v>0</v>
      </c>
      <c r="Z138" s="24">
        <f>IF(Y138=0,0,SUMIFS(Output!$L:$L,Output!$A:$A,Prediction!$A138,Output!$C:$C,Prediction!Y$5))</f>
        <v>0</v>
      </c>
      <c r="AA138" s="24">
        <f t="shared" si="69"/>
        <v>0</v>
      </c>
      <c r="AB138" s="24">
        <f t="shared" si="60"/>
        <v>0</v>
      </c>
      <c r="AC138" s="30">
        <f>SUMIFS(Output!$L:$L,Output!$A:$A,Prediction!$A138,Output!$C:$C,Prediction!Y$5)</f>
        <v>0</v>
      </c>
      <c r="AD138" s="29">
        <f>IFERROR(VLOOKUP($D138,Schedules!$A:$I,MATCH(Prediction!AD$6,Schedules!$A$1:$H$1,0),FALSE),0)</f>
        <v>0</v>
      </c>
      <c r="AE138" s="24">
        <f>IF(AD138=0,0,SUMIFS(Output!$L:$L,Output!$A:$A,Prediction!$A138,Output!$C:$C,Prediction!AD$5))</f>
        <v>0</v>
      </c>
      <c r="AF138" s="24">
        <f t="shared" si="70"/>
        <v>0</v>
      </c>
      <c r="AG138" s="24">
        <f t="shared" si="61"/>
        <v>0</v>
      </c>
      <c r="AH138" s="30">
        <f>SUMIFS(Output!$L:$L,Output!$A:$A,Prediction!$A138,Output!$C:$C,Prediction!AD$5)</f>
        <v>0</v>
      </c>
      <c r="AI138" s="29">
        <f>IFERROR(VLOOKUP($D138,Schedules!$A:$I,MATCH(Prediction!AI$6,Schedules!$A$1:$H$1,0),FALSE),0)</f>
        <v>0</v>
      </c>
      <c r="AJ138" s="24">
        <f>IF(AI138=0,0,SUMIFS(Output!$L:$L,Output!$A:$A,Prediction!$A138,Output!$C:$C,Prediction!AI$5))</f>
        <v>0</v>
      </c>
      <c r="AK138" s="24">
        <f t="shared" si="71"/>
        <v>0</v>
      </c>
      <c r="AL138" s="24">
        <f t="shared" si="62"/>
        <v>0</v>
      </c>
      <c r="AM138" s="30">
        <f>SUMIFS(Output!$L:$L,Output!$A:$A,Prediction!$A138,Output!$C:$C,Prediction!AI$5)</f>
        <v>0</v>
      </c>
      <c r="AN138">
        <f t="shared" si="63"/>
        <v>0</v>
      </c>
      <c r="AO138" s="3">
        <f t="shared" si="64"/>
        <v>0</v>
      </c>
      <c r="AP138" s="44"/>
      <c r="AQ138" s="3">
        <f t="shared" si="72"/>
        <v>0</v>
      </c>
      <c r="AR138" s="3">
        <f t="shared" si="65"/>
        <v>0</v>
      </c>
    </row>
    <row r="139" spans="1:44" x14ac:dyDescent="0.25">
      <c r="A139" s="9" t="str">
        <f t="array" ref="A139">IFERROR(INDEX(Output!A$1:A$2000,MATCH(0,COUNTIF(Prediction!$A$7:A138,Output!A$1:A$2000),0)),"")</f>
        <v/>
      </c>
      <c r="B139" t="str">
        <f>IFERROR(VLOOKUP($A139,Output!$A:$M,2,FALSE),"")</f>
        <v/>
      </c>
      <c r="C139" t="str">
        <f>IFERROR(VLOOKUP(B139,Departments!B:C,2,FALSE),"")</f>
        <v/>
      </c>
      <c r="D139" t="str">
        <f>IFERROR(VLOOKUP($A139,Output!$A:$M,13,FALSE),"")</f>
        <v/>
      </c>
      <c r="E139" s="29">
        <f>IFERROR(VLOOKUP($D139,Schedules!$A:$I,MATCH(Prediction!E$6,Schedules!$A$1:$H$1,0),FALSE),0)</f>
        <v>0</v>
      </c>
      <c r="F139" s="24">
        <f>IF(E139=0,0,SUMIFS(Output!$L:$L,Output!$A:$A,Prediction!$A139,Output!$C:$C,Prediction!E$5))</f>
        <v>0</v>
      </c>
      <c r="G139" s="24">
        <f t="shared" si="66"/>
        <v>0</v>
      </c>
      <c r="H139" s="45">
        <f t="shared" si="73"/>
        <v>0</v>
      </c>
      <c r="I139" s="30">
        <f>SUMIFS(Output!$L:$L,Output!$A:$A,Prediction!$A139,Output!$C:$C,Prediction!E$5)</f>
        <v>0</v>
      </c>
      <c r="J139" s="29">
        <f>IFERROR(VLOOKUP($D139,Schedules!$A:$I,MATCH(Prediction!J$6,Schedules!$A$1:$H$1,0),FALSE),0)</f>
        <v>0</v>
      </c>
      <c r="K139" s="24">
        <f>IF(J139=0,0,SUMIFS(Output!$L:$L,Output!$A:$A,Prediction!$A139,Output!$C:$C,Prediction!J$5))</f>
        <v>0</v>
      </c>
      <c r="L139" s="24">
        <f t="shared" si="67"/>
        <v>0</v>
      </c>
      <c r="M139" s="24">
        <f t="shared" si="56"/>
        <v>0</v>
      </c>
      <c r="N139" s="30">
        <f>SUMIFS(Output!$L:$L,Output!$A:$A,Prediction!$A139,Output!$C:$C,Prediction!J$5)</f>
        <v>0</v>
      </c>
      <c r="O139" s="29">
        <f>IFERROR(VLOOKUP($D139,Schedules!$A:$I,MATCH(Prediction!O$6,Schedules!$A$1:$H$1,0),FALSE),0)</f>
        <v>0</v>
      </c>
      <c r="P139" s="24">
        <f>IF(O139=0,0,SUMIFS(Output!$L:$L,Output!$A:$A,Prediction!$A139,Output!$C:$C,Prediction!O$5))</f>
        <v>0</v>
      </c>
      <c r="Q139" s="24">
        <f t="shared" si="68"/>
        <v>0</v>
      </c>
      <c r="R139" s="24">
        <f t="shared" si="57"/>
        <v>0</v>
      </c>
      <c r="S139" s="30">
        <f>SUMIFS(Output!$L:$L,Output!$A:$A,Prediction!$A139,Output!$C:$C,Prediction!O$5)</f>
        <v>0</v>
      </c>
      <c r="T139" s="29">
        <f>IFERROR(VLOOKUP($D139,Schedules!$A:$I,MATCH(Prediction!T$6,Schedules!$A$1:$H$1,0),FALSE),0)</f>
        <v>0</v>
      </c>
      <c r="U139" s="24">
        <f>IF(T139=0,0,SUMIFS(Output!$L:$L,Output!$A:$A,Prediction!$A139,Output!$C:$C,Prediction!T$5))</f>
        <v>0</v>
      </c>
      <c r="V139" s="24">
        <f t="shared" si="58"/>
        <v>0</v>
      </c>
      <c r="W139" s="24">
        <f t="shared" si="59"/>
        <v>0</v>
      </c>
      <c r="X139" s="30">
        <f>SUMIFS(Output!$L:$L,Output!$A:$A,Prediction!$A139,Output!$C:$C,Prediction!T$5)</f>
        <v>0</v>
      </c>
      <c r="Y139" s="25">
        <f>IFERROR(VLOOKUP($D139,Schedules!$A:$I,MATCH(Prediction!Y$6,Schedules!$A$1:$H$1,0),FALSE),0)</f>
        <v>0</v>
      </c>
      <c r="Z139" s="24">
        <f>IF(Y139=0,0,SUMIFS(Output!$L:$L,Output!$A:$A,Prediction!$A139,Output!$C:$C,Prediction!Y$5))</f>
        <v>0</v>
      </c>
      <c r="AA139" s="24">
        <f t="shared" si="69"/>
        <v>0</v>
      </c>
      <c r="AB139" s="24">
        <f t="shared" si="60"/>
        <v>0</v>
      </c>
      <c r="AC139" s="30">
        <f>SUMIFS(Output!$L:$L,Output!$A:$A,Prediction!$A139,Output!$C:$C,Prediction!Y$5)</f>
        <v>0</v>
      </c>
      <c r="AD139" s="29">
        <f>IFERROR(VLOOKUP($D139,Schedules!$A:$I,MATCH(Prediction!AD$6,Schedules!$A$1:$H$1,0),FALSE),0)</f>
        <v>0</v>
      </c>
      <c r="AE139" s="24">
        <f>IF(AD139=0,0,SUMIFS(Output!$L:$L,Output!$A:$A,Prediction!$A139,Output!$C:$C,Prediction!AD$5))</f>
        <v>0</v>
      </c>
      <c r="AF139" s="24">
        <f t="shared" si="70"/>
        <v>0</v>
      </c>
      <c r="AG139" s="24">
        <f t="shared" si="61"/>
        <v>0</v>
      </c>
      <c r="AH139" s="30">
        <f>SUMIFS(Output!$L:$L,Output!$A:$A,Prediction!$A139,Output!$C:$C,Prediction!AD$5)</f>
        <v>0</v>
      </c>
      <c r="AI139" s="29">
        <f>IFERROR(VLOOKUP($D139,Schedules!$A:$I,MATCH(Prediction!AI$6,Schedules!$A$1:$H$1,0),FALSE),0)</f>
        <v>0</v>
      </c>
      <c r="AJ139" s="24">
        <f>IF(AI139=0,0,SUMIFS(Output!$L:$L,Output!$A:$A,Prediction!$A139,Output!$C:$C,Prediction!AI$5))</f>
        <v>0</v>
      </c>
      <c r="AK139" s="24">
        <f t="shared" si="71"/>
        <v>0</v>
      </c>
      <c r="AL139" s="24">
        <f t="shared" si="62"/>
        <v>0</v>
      </c>
      <c r="AM139" s="30">
        <f>SUMIFS(Output!$L:$L,Output!$A:$A,Prediction!$A139,Output!$C:$C,Prediction!AI$5)</f>
        <v>0</v>
      </c>
      <c r="AN139">
        <f t="shared" si="63"/>
        <v>0</v>
      </c>
      <c r="AO139" s="3">
        <f t="shared" si="64"/>
        <v>0</v>
      </c>
      <c r="AP139" s="44"/>
      <c r="AQ139" s="3">
        <f t="shared" si="72"/>
        <v>0</v>
      </c>
      <c r="AR139" s="3">
        <f t="shared" si="65"/>
        <v>0</v>
      </c>
    </row>
    <row r="140" spans="1:44" x14ac:dyDescent="0.25">
      <c r="A140" s="9" t="str">
        <f t="array" ref="A140">IFERROR(INDEX(Output!A$1:A$2000,MATCH(0,COUNTIF(Prediction!$A$7:A139,Output!A$1:A$2000),0)),"")</f>
        <v/>
      </c>
      <c r="B140" t="str">
        <f>IFERROR(VLOOKUP($A140,Output!$A:$M,2,FALSE),"")</f>
        <v/>
      </c>
      <c r="C140" t="str">
        <f>IFERROR(VLOOKUP(B140,Departments!B:C,2,FALSE),"")</f>
        <v/>
      </c>
      <c r="D140" t="str">
        <f>IFERROR(VLOOKUP($A140,Output!$A:$M,13,FALSE),"")</f>
        <v/>
      </c>
      <c r="E140" s="29">
        <f>IFERROR(VLOOKUP($D140,Schedules!$A:$I,MATCH(Prediction!E$6,Schedules!$A$1:$H$1,0),FALSE),0)</f>
        <v>0</v>
      </c>
      <c r="F140" s="24">
        <f>IF(E140=0,0,SUMIFS(Output!$L:$L,Output!$A:$A,Prediction!$A140,Output!$C:$C,Prediction!E$5))</f>
        <v>0</v>
      </c>
      <c r="G140" s="24">
        <f t="shared" si="66"/>
        <v>0</v>
      </c>
      <c r="H140" s="45">
        <f t="shared" si="73"/>
        <v>0</v>
      </c>
      <c r="I140" s="30">
        <f>SUMIFS(Output!$L:$L,Output!$A:$A,Prediction!$A140,Output!$C:$C,Prediction!E$5)</f>
        <v>0</v>
      </c>
      <c r="J140" s="29">
        <f>IFERROR(VLOOKUP($D140,Schedules!$A:$I,MATCH(Prediction!J$6,Schedules!$A$1:$H$1,0),FALSE),0)</f>
        <v>0</v>
      </c>
      <c r="K140" s="24">
        <f>IF(J140=0,0,SUMIFS(Output!$L:$L,Output!$A:$A,Prediction!$A140,Output!$C:$C,Prediction!J$5))</f>
        <v>0</v>
      </c>
      <c r="L140" s="24">
        <f t="shared" si="67"/>
        <v>0</v>
      </c>
      <c r="M140" s="24">
        <f t="shared" si="56"/>
        <v>0</v>
      </c>
      <c r="N140" s="30">
        <f>SUMIFS(Output!$L:$L,Output!$A:$A,Prediction!$A140,Output!$C:$C,Prediction!J$5)</f>
        <v>0</v>
      </c>
      <c r="O140" s="29">
        <f>IFERROR(VLOOKUP($D140,Schedules!$A:$I,MATCH(Prediction!O$6,Schedules!$A$1:$H$1,0),FALSE),0)</f>
        <v>0</v>
      </c>
      <c r="P140" s="24">
        <f>IF(O140=0,0,SUMIFS(Output!$L:$L,Output!$A:$A,Prediction!$A140,Output!$C:$C,Prediction!O$5))</f>
        <v>0</v>
      </c>
      <c r="Q140" s="24">
        <f t="shared" si="68"/>
        <v>0</v>
      </c>
      <c r="R140" s="24">
        <f t="shared" si="57"/>
        <v>0</v>
      </c>
      <c r="S140" s="30">
        <f>SUMIFS(Output!$L:$L,Output!$A:$A,Prediction!$A140,Output!$C:$C,Prediction!O$5)</f>
        <v>0</v>
      </c>
      <c r="T140" s="29">
        <f>IFERROR(VLOOKUP($D140,Schedules!$A:$I,MATCH(Prediction!T$6,Schedules!$A$1:$H$1,0),FALSE),0)</f>
        <v>0</v>
      </c>
      <c r="U140" s="24">
        <f>IF(T140=0,0,SUMIFS(Output!$L:$L,Output!$A:$A,Prediction!$A140,Output!$C:$C,Prediction!T$5))</f>
        <v>0</v>
      </c>
      <c r="V140" s="24">
        <f t="shared" si="58"/>
        <v>0</v>
      </c>
      <c r="W140" s="24">
        <f t="shared" si="59"/>
        <v>0</v>
      </c>
      <c r="X140" s="30">
        <f>SUMIFS(Output!$L:$L,Output!$A:$A,Prediction!$A140,Output!$C:$C,Prediction!T$5)</f>
        <v>0</v>
      </c>
      <c r="Y140" s="25">
        <f>IFERROR(VLOOKUP($D140,Schedules!$A:$I,MATCH(Prediction!Y$6,Schedules!$A$1:$H$1,0),FALSE),0)</f>
        <v>0</v>
      </c>
      <c r="Z140" s="24">
        <f>IF(Y140=0,0,SUMIFS(Output!$L:$L,Output!$A:$A,Prediction!$A140,Output!$C:$C,Prediction!Y$5))</f>
        <v>0</v>
      </c>
      <c r="AA140" s="24">
        <f t="shared" si="69"/>
        <v>0</v>
      </c>
      <c r="AB140" s="24">
        <f t="shared" si="60"/>
        <v>0</v>
      </c>
      <c r="AC140" s="30">
        <f>SUMIFS(Output!$L:$L,Output!$A:$A,Prediction!$A140,Output!$C:$C,Prediction!Y$5)</f>
        <v>0</v>
      </c>
      <c r="AD140" s="29">
        <f>IFERROR(VLOOKUP($D140,Schedules!$A:$I,MATCH(Prediction!AD$6,Schedules!$A$1:$H$1,0),FALSE),0)</f>
        <v>0</v>
      </c>
      <c r="AE140" s="24">
        <f>IF(AD140=0,0,SUMIFS(Output!$L:$L,Output!$A:$A,Prediction!$A140,Output!$C:$C,Prediction!AD$5))</f>
        <v>0</v>
      </c>
      <c r="AF140" s="24">
        <f t="shared" si="70"/>
        <v>0</v>
      </c>
      <c r="AG140" s="24">
        <f t="shared" si="61"/>
        <v>0</v>
      </c>
      <c r="AH140" s="30">
        <f>SUMIFS(Output!$L:$L,Output!$A:$A,Prediction!$A140,Output!$C:$C,Prediction!AD$5)</f>
        <v>0</v>
      </c>
      <c r="AI140" s="29">
        <f>IFERROR(VLOOKUP($D140,Schedules!$A:$I,MATCH(Prediction!AI$6,Schedules!$A$1:$H$1,0),FALSE),0)</f>
        <v>0</v>
      </c>
      <c r="AJ140" s="24">
        <f>IF(AI140=0,0,SUMIFS(Output!$L:$L,Output!$A:$A,Prediction!$A140,Output!$C:$C,Prediction!AI$5))</f>
        <v>0</v>
      </c>
      <c r="AK140" s="24">
        <f t="shared" si="71"/>
        <v>0</v>
      </c>
      <c r="AL140" s="24">
        <f t="shared" si="62"/>
        <v>0</v>
      </c>
      <c r="AM140" s="30">
        <f>SUMIFS(Output!$L:$L,Output!$A:$A,Prediction!$A140,Output!$C:$C,Prediction!AI$5)</f>
        <v>0</v>
      </c>
      <c r="AN140">
        <f t="shared" si="63"/>
        <v>0</v>
      </c>
      <c r="AO140" s="3">
        <f t="shared" si="64"/>
        <v>0</v>
      </c>
      <c r="AP140" s="44"/>
      <c r="AQ140" s="3">
        <f t="shared" si="72"/>
        <v>0</v>
      </c>
      <c r="AR140" s="3">
        <f t="shared" si="65"/>
        <v>0</v>
      </c>
    </row>
    <row r="141" spans="1:44" x14ac:dyDescent="0.25">
      <c r="A141" s="9" t="str">
        <f t="array" ref="A141">IFERROR(INDEX(Output!A$1:A$2000,MATCH(0,COUNTIF(Prediction!$A$7:A140,Output!A$1:A$2000),0)),"")</f>
        <v/>
      </c>
      <c r="B141" t="str">
        <f>IFERROR(VLOOKUP($A141,Output!$A:$M,2,FALSE),"")</f>
        <v/>
      </c>
      <c r="C141" t="str">
        <f>IFERROR(VLOOKUP(B141,Departments!B:C,2,FALSE),"")</f>
        <v/>
      </c>
      <c r="D141" t="str">
        <f>IFERROR(VLOOKUP($A141,Output!$A:$M,13,FALSE),"")</f>
        <v/>
      </c>
      <c r="E141" s="29">
        <f>IFERROR(VLOOKUP($D141,Schedules!$A:$I,MATCH(Prediction!E$6,Schedules!$A$1:$H$1,0),FALSE),0)</f>
        <v>0</v>
      </c>
      <c r="F141" s="24">
        <f>IF(E141=0,0,SUMIFS(Output!$L:$L,Output!$A:$A,Prediction!$A141,Output!$C:$C,Prediction!E$5))</f>
        <v>0</v>
      </c>
      <c r="G141" s="24">
        <f t="shared" si="66"/>
        <v>0</v>
      </c>
      <c r="H141" s="45">
        <f t="shared" si="73"/>
        <v>0</v>
      </c>
      <c r="I141" s="30">
        <f>SUMIFS(Output!$L:$L,Output!$A:$A,Prediction!$A141,Output!$C:$C,Prediction!E$5)</f>
        <v>0</v>
      </c>
      <c r="J141" s="29">
        <f>IFERROR(VLOOKUP($D141,Schedules!$A:$I,MATCH(Prediction!J$6,Schedules!$A$1:$H$1,0),FALSE),0)</f>
        <v>0</v>
      </c>
      <c r="K141" s="24">
        <f>IF(J141=0,0,SUMIFS(Output!$L:$L,Output!$A:$A,Prediction!$A141,Output!$C:$C,Prediction!J$5))</f>
        <v>0</v>
      </c>
      <c r="L141" s="24">
        <f t="shared" si="67"/>
        <v>0</v>
      </c>
      <c r="M141" s="24">
        <f t="shared" si="56"/>
        <v>0</v>
      </c>
      <c r="N141" s="30">
        <f>SUMIFS(Output!$L:$L,Output!$A:$A,Prediction!$A141,Output!$C:$C,Prediction!J$5)</f>
        <v>0</v>
      </c>
      <c r="O141" s="29">
        <f>IFERROR(VLOOKUP($D141,Schedules!$A:$I,MATCH(Prediction!O$6,Schedules!$A$1:$H$1,0),FALSE),0)</f>
        <v>0</v>
      </c>
      <c r="P141" s="24">
        <f>IF(O141=0,0,SUMIFS(Output!$L:$L,Output!$A:$A,Prediction!$A141,Output!$C:$C,Prediction!O$5))</f>
        <v>0</v>
      </c>
      <c r="Q141" s="24">
        <f t="shared" si="68"/>
        <v>0</v>
      </c>
      <c r="R141" s="24">
        <f t="shared" si="57"/>
        <v>0</v>
      </c>
      <c r="S141" s="30">
        <f>SUMIFS(Output!$L:$L,Output!$A:$A,Prediction!$A141,Output!$C:$C,Prediction!O$5)</f>
        <v>0</v>
      </c>
      <c r="T141" s="29">
        <f>IFERROR(VLOOKUP($D141,Schedules!$A:$I,MATCH(Prediction!T$6,Schedules!$A$1:$H$1,0),FALSE),0)</f>
        <v>0</v>
      </c>
      <c r="U141" s="24">
        <f>IF(T141=0,0,SUMIFS(Output!$L:$L,Output!$A:$A,Prediction!$A141,Output!$C:$C,Prediction!T$5))</f>
        <v>0</v>
      </c>
      <c r="V141" s="24">
        <f t="shared" si="58"/>
        <v>0</v>
      </c>
      <c r="W141" s="24">
        <f t="shared" si="59"/>
        <v>0</v>
      </c>
      <c r="X141" s="30">
        <f>SUMIFS(Output!$L:$L,Output!$A:$A,Prediction!$A141,Output!$C:$C,Prediction!T$5)</f>
        <v>0</v>
      </c>
      <c r="Y141" s="25">
        <f>IFERROR(VLOOKUP($D141,Schedules!$A:$I,MATCH(Prediction!Y$6,Schedules!$A$1:$H$1,0),FALSE),0)</f>
        <v>0</v>
      </c>
      <c r="Z141" s="24">
        <f>IF(Y141=0,0,SUMIFS(Output!$L:$L,Output!$A:$A,Prediction!$A141,Output!$C:$C,Prediction!Y$5))</f>
        <v>0</v>
      </c>
      <c r="AA141" s="24">
        <f t="shared" si="69"/>
        <v>0</v>
      </c>
      <c r="AB141" s="24">
        <f t="shared" si="60"/>
        <v>0</v>
      </c>
      <c r="AC141" s="30">
        <f>SUMIFS(Output!$L:$L,Output!$A:$A,Prediction!$A141,Output!$C:$C,Prediction!Y$5)</f>
        <v>0</v>
      </c>
      <c r="AD141" s="29">
        <f>IFERROR(VLOOKUP($D141,Schedules!$A:$I,MATCH(Prediction!AD$6,Schedules!$A$1:$H$1,0),FALSE),0)</f>
        <v>0</v>
      </c>
      <c r="AE141" s="24">
        <f>IF(AD141=0,0,SUMIFS(Output!$L:$L,Output!$A:$A,Prediction!$A141,Output!$C:$C,Prediction!AD$5))</f>
        <v>0</v>
      </c>
      <c r="AF141" s="24">
        <f t="shared" si="70"/>
        <v>0</v>
      </c>
      <c r="AG141" s="24">
        <f t="shared" si="61"/>
        <v>0</v>
      </c>
      <c r="AH141" s="30">
        <f>SUMIFS(Output!$L:$L,Output!$A:$A,Prediction!$A141,Output!$C:$C,Prediction!AD$5)</f>
        <v>0</v>
      </c>
      <c r="AI141" s="29">
        <f>IFERROR(VLOOKUP($D141,Schedules!$A:$I,MATCH(Prediction!AI$6,Schedules!$A$1:$H$1,0),FALSE),0)</f>
        <v>0</v>
      </c>
      <c r="AJ141" s="24">
        <f>IF(AI141=0,0,SUMIFS(Output!$L:$L,Output!$A:$A,Prediction!$A141,Output!$C:$C,Prediction!AI$5))</f>
        <v>0</v>
      </c>
      <c r="AK141" s="24">
        <f t="shared" si="71"/>
        <v>0</v>
      </c>
      <c r="AL141" s="24">
        <f t="shared" si="62"/>
        <v>0</v>
      </c>
      <c r="AM141" s="30">
        <f>SUMIFS(Output!$L:$L,Output!$A:$A,Prediction!$A141,Output!$C:$C,Prediction!AI$5)</f>
        <v>0</v>
      </c>
      <c r="AN141">
        <f t="shared" si="63"/>
        <v>0</v>
      </c>
      <c r="AO141" s="3">
        <f t="shared" si="64"/>
        <v>0</v>
      </c>
      <c r="AP141" s="44"/>
      <c r="AQ141" s="3">
        <f t="shared" si="72"/>
        <v>0</v>
      </c>
      <c r="AR141" s="3">
        <f t="shared" si="65"/>
        <v>0</v>
      </c>
    </row>
    <row r="142" spans="1:44" x14ac:dyDescent="0.25">
      <c r="A142" s="9" t="str">
        <f t="array" ref="A142">IFERROR(INDEX(Output!A$1:A$2000,MATCH(0,COUNTIF(Prediction!$A$7:A141,Output!A$1:A$2000),0)),"")</f>
        <v/>
      </c>
      <c r="B142" t="str">
        <f>IFERROR(VLOOKUP($A142,Output!$A:$M,2,FALSE),"")</f>
        <v/>
      </c>
      <c r="C142" t="str">
        <f>IFERROR(VLOOKUP(B142,Departments!B:C,2,FALSE),"")</f>
        <v/>
      </c>
      <c r="D142" t="str">
        <f>IFERROR(VLOOKUP($A142,Output!$A:$M,13,FALSE),"")</f>
        <v/>
      </c>
      <c r="E142" s="29">
        <f>IFERROR(VLOOKUP($D142,Schedules!$A:$I,MATCH(Prediction!E$6,Schedules!$A$1:$H$1,0),FALSE),0)</f>
        <v>0</v>
      </c>
      <c r="F142" s="24">
        <f>IF(E142=0,0,SUMIFS(Output!$L:$L,Output!$A:$A,Prediction!$A142,Output!$C:$C,Prediction!E$5))</f>
        <v>0</v>
      </c>
      <c r="G142" s="24">
        <f t="shared" si="66"/>
        <v>0</v>
      </c>
      <c r="H142" s="45">
        <f t="shared" si="73"/>
        <v>0</v>
      </c>
      <c r="I142" s="30">
        <f>SUMIFS(Output!$L:$L,Output!$A:$A,Prediction!$A142,Output!$C:$C,Prediction!E$5)</f>
        <v>0</v>
      </c>
      <c r="J142" s="29">
        <f>IFERROR(VLOOKUP($D142,Schedules!$A:$I,MATCH(Prediction!J$6,Schedules!$A$1:$H$1,0),FALSE),0)</f>
        <v>0</v>
      </c>
      <c r="K142" s="24">
        <f>IF(J142=0,0,SUMIFS(Output!$L:$L,Output!$A:$A,Prediction!$A142,Output!$C:$C,Prediction!J$5))</f>
        <v>0</v>
      </c>
      <c r="L142" s="24">
        <f t="shared" si="67"/>
        <v>0</v>
      </c>
      <c r="M142" s="24">
        <f t="shared" si="56"/>
        <v>0</v>
      </c>
      <c r="N142" s="30">
        <f>SUMIFS(Output!$L:$L,Output!$A:$A,Prediction!$A142,Output!$C:$C,Prediction!J$5)</f>
        <v>0</v>
      </c>
      <c r="O142" s="29">
        <f>IFERROR(VLOOKUP($D142,Schedules!$A:$I,MATCH(Prediction!O$6,Schedules!$A$1:$H$1,0),FALSE),0)</f>
        <v>0</v>
      </c>
      <c r="P142" s="24">
        <f>IF(O142=0,0,SUMIFS(Output!$L:$L,Output!$A:$A,Prediction!$A142,Output!$C:$C,Prediction!O$5))</f>
        <v>0</v>
      </c>
      <c r="Q142" s="24">
        <f t="shared" si="68"/>
        <v>0</v>
      </c>
      <c r="R142" s="24">
        <f t="shared" si="57"/>
        <v>0</v>
      </c>
      <c r="S142" s="30">
        <f>SUMIFS(Output!$L:$L,Output!$A:$A,Prediction!$A142,Output!$C:$C,Prediction!O$5)</f>
        <v>0</v>
      </c>
      <c r="T142" s="29">
        <f>IFERROR(VLOOKUP($D142,Schedules!$A:$I,MATCH(Prediction!T$6,Schedules!$A$1:$H$1,0),FALSE),0)</f>
        <v>0</v>
      </c>
      <c r="U142" s="24">
        <f>IF(T142=0,0,SUMIFS(Output!$L:$L,Output!$A:$A,Prediction!$A142,Output!$C:$C,Prediction!T$5))</f>
        <v>0</v>
      </c>
      <c r="V142" s="24">
        <f t="shared" si="58"/>
        <v>0</v>
      </c>
      <c r="W142" s="24">
        <f t="shared" si="59"/>
        <v>0</v>
      </c>
      <c r="X142" s="30">
        <f>SUMIFS(Output!$L:$L,Output!$A:$A,Prediction!$A142,Output!$C:$C,Prediction!T$5)</f>
        <v>0</v>
      </c>
      <c r="Y142" s="25">
        <f>IFERROR(VLOOKUP($D142,Schedules!$A:$I,MATCH(Prediction!Y$6,Schedules!$A$1:$H$1,0),FALSE),0)</f>
        <v>0</v>
      </c>
      <c r="Z142" s="24">
        <f>IF(Y142=0,0,SUMIFS(Output!$L:$L,Output!$A:$A,Prediction!$A142,Output!$C:$C,Prediction!Y$5))</f>
        <v>0</v>
      </c>
      <c r="AA142" s="24">
        <f t="shared" si="69"/>
        <v>0</v>
      </c>
      <c r="AB142" s="24">
        <f t="shared" si="60"/>
        <v>0</v>
      </c>
      <c r="AC142" s="30">
        <f>SUMIFS(Output!$L:$L,Output!$A:$A,Prediction!$A142,Output!$C:$C,Prediction!Y$5)</f>
        <v>0</v>
      </c>
      <c r="AD142" s="29">
        <f>IFERROR(VLOOKUP($D142,Schedules!$A:$I,MATCH(Prediction!AD$6,Schedules!$A$1:$H$1,0),FALSE),0)</f>
        <v>0</v>
      </c>
      <c r="AE142" s="24">
        <f>IF(AD142=0,0,SUMIFS(Output!$L:$L,Output!$A:$A,Prediction!$A142,Output!$C:$C,Prediction!AD$5))</f>
        <v>0</v>
      </c>
      <c r="AF142" s="24">
        <f t="shared" si="70"/>
        <v>0</v>
      </c>
      <c r="AG142" s="24">
        <f t="shared" si="61"/>
        <v>0</v>
      </c>
      <c r="AH142" s="30">
        <f>SUMIFS(Output!$L:$L,Output!$A:$A,Prediction!$A142,Output!$C:$C,Prediction!AD$5)</f>
        <v>0</v>
      </c>
      <c r="AI142" s="29">
        <f>IFERROR(VLOOKUP($D142,Schedules!$A:$I,MATCH(Prediction!AI$6,Schedules!$A$1:$H$1,0),FALSE),0)</f>
        <v>0</v>
      </c>
      <c r="AJ142" s="24">
        <f>IF(AI142=0,0,SUMIFS(Output!$L:$L,Output!$A:$A,Prediction!$A142,Output!$C:$C,Prediction!AI$5))</f>
        <v>0</v>
      </c>
      <c r="AK142" s="24">
        <f t="shared" si="71"/>
        <v>0</v>
      </c>
      <c r="AL142" s="24">
        <f t="shared" si="62"/>
        <v>0</v>
      </c>
      <c r="AM142" s="30">
        <f>SUMIFS(Output!$L:$L,Output!$A:$A,Prediction!$A142,Output!$C:$C,Prediction!AI$5)</f>
        <v>0</v>
      </c>
      <c r="AN142">
        <f t="shared" si="63"/>
        <v>0</v>
      </c>
      <c r="AO142" s="3">
        <f t="shared" si="64"/>
        <v>0</v>
      </c>
      <c r="AP142" s="44"/>
      <c r="AQ142" s="3">
        <f t="shared" si="72"/>
        <v>0</v>
      </c>
      <c r="AR142" s="3">
        <f t="shared" si="65"/>
        <v>0</v>
      </c>
    </row>
    <row r="143" spans="1:44" x14ac:dyDescent="0.25">
      <c r="A143" s="9" t="str">
        <f t="array" ref="A143">IFERROR(INDEX(Output!A$1:A$2000,MATCH(0,COUNTIF(Prediction!$A$7:A142,Output!A$1:A$2000),0)),"")</f>
        <v/>
      </c>
      <c r="B143" t="str">
        <f>IFERROR(VLOOKUP($A143,Output!$A:$M,2,FALSE),"")</f>
        <v/>
      </c>
      <c r="C143" t="str">
        <f>IFERROR(VLOOKUP(B143,Departments!B:C,2,FALSE),"")</f>
        <v/>
      </c>
      <c r="D143" t="str">
        <f>IFERROR(VLOOKUP($A143,Output!$A:$M,13,FALSE),"")</f>
        <v/>
      </c>
      <c r="E143" s="29">
        <f>IFERROR(VLOOKUP($D143,Schedules!$A:$I,MATCH(Prediction!E$6,Schedules!$A$1:$H$1,0),FALSE),0)</f>
        <v>0</v>
      </c>
      <c r="F143" s="24">
        <f>IF(E143=0,0,SUMIFS(Output!$L:$L,Output!$A:$A,Prediction!$A143,Output!$C:$C,Prediction!E$5))</f>
        <v>0</v>
      </c>
      <c r="G143" s="24">
        <f t="shared" si="66"/>
        <v>0</v>
      </c>
      <c r="H143" s="45">
        <f t="shared" si="73"/>
        <v>0</v>
      </c>
      <c r="I143" s="30">
        <f>SUMIFS(Output!$L:$L,Output!$A:$A,Prediction!$A143,Output!$C:$C,Prediction!E$5)</f>
        <v>0</v>
      </c>
      <c r="J143" s="29">
        <f>IFERROR(VLOOKUP($D143,Schedules!$A:$I,MATCH(Prediction!J$6,Schedules!$A$1:$H$1,0),FALSE),0)</f>
        <v>0</v>
      </c>
      <c r="K143" s="24">
        <f>IF(J143=0,0,SUMIFS(Output!$L:$L,Output!$A:$A,Prediction!$A143,Output!$C:$C,Prediction!J$5))</f>
        <v>0</v>
      </c>
      <c r="L143" s="24">
        <f t="shared" si="67"/>
        <v>0</v>
      </c>
      <c r="M143" s="24">
        <f t="shared" si="56"/>
        <v>0</v>
      </c>
      <c r="N143" s="30">
        <f>SUMIFS(Output!$L:$L,Output!$A:$A,Prediction!$A143,Output!$C:$C,Prediction!J$5)</f>
        <v>0</v>
      </c>
      <c r="O143" s="29">
        <f>IFERROR(VLOOKUP($D143,Schedules!$A:$I,MATCH(Prediction!O$6,Schedules!$A$1:$H$1,0),FALSE),0)</f>
        <v>0</v>
      </c>
      <c r="P143" s="24">
        <f>IF(O143=0,0,SUMIFS(Output!$L:$L,Output!$A:$A,Prediction!$A143,Output!$C:$C,Prediction!O$5))</f>
        <v>0</v>
      </c>
      <c r="Q143" s="24">
        <f t="shared" si="68"/>
        <v>0</v>
      </c>
      <c r="R143" s="24">
        <f t="shared" si="57"/>
        <v>0</v>
      </c>
      <c r="S143" s="30">
        <f>SUMIFS(Output!$L:$L,Output!$A:$A,Prediction!$A143,Output!$C:$C,Prediction!O$5)</f>
        <v>0</v>
      </c>
      <c r="T143" s="29">
        <f>IFERROR(VLOOKUP($D143,Schedules!$A:$I,MATCH(Prediction!T$6,Schedules!$A$1:$H$1,0),FALSE),0)</f>
        <v>0</v>
      </c>
      <c r="U143" s="24">
        <f>IF(T143=0,0,SUMIFS(Output!$L:$L,Output!$A:$A,Prediction!$A143,Output!$C:$C,Prediction!T$5))</f>
        <v>0</v>
      </c>
      <c r="V143" s="24">
        <f t="shared" si="58"/>
        <v>0</v>
      </c>
      <c r="W143" s="24">
        <f t="shared" si="59"/>
        <v>0</v>
      </c>
      <c r="X143" s="30">
        <f>SUMIFS(Output!$L:$L,Output!$A:$A,Prediction!$A143,Output!$C:$C,Prediction!T$5)</f>
        <v>0</v>
      </c>
      <c r="Y143" s="25">
        <f>IFERROR(VLOOKUP($D143,Schedules!$A:$I,MATCH(Prediction!Y$6,Schedules!$A$1:$H$1,0),FALSE),0)</f>
        <v>0</v>
      </c>
      <c r="Z143" s="24">
        <f>IF(Y143=0,0,SUMIFS(Output!$L:$L,Output!$A:$A,Prediction!$A143,Output!$C:$C,Prediction!Y$5))</f>
        <v>0</v>
      </c>
      <c r="AA143" s="24">
        <f t="shared" si="69"/>
        <v>0</v>
      </c>
      <c r="AB143" s="24">
        <f t="shared" si="60"/>
        <v>0</v>
      </c>
      <c r="AC143" s="30">
        <f>SUMIFS(Output!$L:$L,Output!$A:$A,Prediction!$A143,Output!$C:$C,Prediction!Y$5)</f>
        <v>0</v>
      </c>
      <c r="AD143" s="29">
        <f>IFERROR(VLOOKUP($D143,Schedules!$A:$I,MATCH(Prediction!AD$6,Schedules!$A$1:$H$1,0),FALSE),0)</f>
        <v>0</v>
      </c>
      <c r="AE143" s="24">
        <f>IF(AD143=0,0,SUMIFS(Output!$L:$L,Output!$A:$A,Prediction!$A143,Output!$C:$C,Prediction!AD$5))</f>
        <v>0</v>
      </c>
      <c r="AF143" s="24">
        <f t="shared" si="70"/>
        <v>0</v>
      </c>
      <c r="AG143" s="24">
        <f t="shared" si="61"/>
        <v>0</v>
      </c>
      <c r="AH143" s="30">
        <f>SUMIFS(Output!$L:$L,Output!$A:$A,Prediction!$A143,Output!$C:$C,Prediction!AD$5)</f>
        <v>0</v>
      </c>
      <c r="AI143" s="29">
        <f>IFERROR(VLOOKUP($D143,Schedules!$A:$I,MATCH(Prediction!AI$6,Schedules!$A$1:$H$1,0),FALSE),0)</f>
        <v>0</v>
      </c>
      <c r="AJ143" s="24">
        <f>IF(AI143=0,0,SUMIFS(Output!$L:$L,Output!$A:$A,Prediction!$A143,Output!$C:$C,Prediction!AI$5))</f>
        <v>0</v>
      </c>
      <c r="AK143" s="24">
        <f t="shared" si="71"/>
        <v>0</v>
      </c>
      <c r="AL143" s="24">
        <f t="shared" si="62"/>
        <v>0</v>
      </c>
      <c r="AM143" s="30">
        <f>SUMIFS(Output!$L:$L,Output!$A:$A,Prediction!$A143,Output!$C:$C,Prediction!AI$5)</f>
        <v>0</v>
      </c>
      <c r="AN143">
        <f t="shared" si="63"/>
        <v>0</v>
      </c>
      <c r="AO143" s="3">
        <f t="shared" si="64"/>
        <v>0</v>
      </c>
      <c r="AP143" s="44"/>
      <c r="AQ143" s="3">
        <f t="shared" si="72"/>
        <v>0</v>
      </c>
      <c r="AR143" s="3">
        <f t="shared" si="65"/>
        <v>0</v>
      </c>
    </row>
    <row r="144" spans="1:44" x14ac:dyDescent="0.25">
      <c r="A144" s="9" t="str">
        <f t="array" ref="A144">IFERROR(INDEX(Output!A$1:A$2000,MATCH(0,COUNTIF(Prediction!$A$7:A143,Output!A$1:A$2000),0)),"")</f>
        <v/>
      </c>
      <c r="B144" t="str">
        <f>IFERROR(VLOOKUP($A144,Output!$A:$M,2,FALSE),"")</f>
        <v/>
      </c>
      <c r="C144" t="str">
        <f>IFERROR(VLOOKUP(B144,Departments!B:C,2,FALSE),"")</f>
        <v/>
      </c>
      <c r="D144" t="str">
        <f>IFERROR(VLOOKUP($A144,Output!$A:$M,13,FALSE),"")</f>
        <v/>
      </c>
      <c r="E144" s="29">
        <f>IFERROR(VLOOKUP($D144,Schedules!$A:$I,MATCH(Prediction!E$6,Schedules!$A$1:$H$1,0),FALSE),0)</f>
        <v>0</v>
      </c>
      <c r="F144" s="24">
        <f>IF(E144=0,0,SUMIFS(Output!$L:$L,Output!$A:$A,Prediction!$A144,Output!$C:$C,Prediction!E$5))</f>
        <v>0</v>
      </c>
      <c r="G144" s="24">
        <f t="shared" si="66"/>
        <v>0</v>
      </c>
      <c r="H144" s="45">
        <f t="shared" si="73"/>
        <v>0</v>
      </c>
      <c r="I144" s="30">
        <f>SUMIFS(Output!$L:$L,Output!$A:$A,Prediction!$A144,Output!$C:$C,Prediction!E$5)</f>
        <v>0</v>
      </c>
      <c r="J144" s="29">
        <f>IFERROR(VLOOKUP($D144,Schedules!$A:$I,MATCH(Prediction!J$6,Schedules!$A$1:$H$1,0),FALSE),0)</f>
        <v>0</v>
      </c>
      <c r="K144" s="24">
        <f>IF(J144=0,0,SUMIFS(Output!$L:$L,Output!$A:$A,Prediction!$A144,Output!$C:$C,Prediction!J$5))</f>
        <v>0</v>
      </c>
      <c r="L144" s="24">
        <f t="shared" si="67"/>
        <v>0</v>
      </c>
      <c r="M144" s="24">
        <f t="shared" si="56"/>
        <v>0</v>
      </c>
      <c r="N144" s="30">
        <f>SUMIFS(Output!$L:$L,Output!$A:$A,Prediction!$A144,Output!$C:$C,Prediction!J$5)</f>
        <v>0</v>
      </c>
      <c r="O144" s="29">
        <f>IFERROR(VLOOKUP($D144,Schedules!$A:$I,MATCH(Prediction!O$6,Schedules!$A$1:$H$1,0),FALSE),0)</f>
        <v>0</v>
      </c>
      <c r="P144" s="24">
        <f>IF(O144=0,0,SUMIFS(Output!$L:$L,Output!$A:$A,Prediction!$A144,Output!$C:$C,Prediction!O$5))</f>
        <v>0</v>
      </c>
      <c r="Q144" s="24">
        <f t="shared" si="68"/>
        <v>0</v>
      </c>
      <c r="R144" s="24">
        <f t="shared" si="57"/>
        <v>0</v>
      </c>
      <c r="S144" s="30">
        <f>SUMIFS(Output!$L:$L,Output!$A:$A,Prediction!$A144,Output!$C:$C,Prediction!O$5)</f>
        <v>0</v>
      </c>
      <c r="T144" s="29">
        <f>IFERROR(VLOOKUP($D144,Schedules!$A:$I,MATCH(Prediction!T$6,Schedules!$A$1:$H$1,0),FALSE),0)</f>
        <v>0</v>
      </c>
      <c r="U144" s="24">
        <f>IF(T144=0,0,SUMIFS(Output!$L:$L,Output!$A:$A,Prediction!$A144,Output!$C:$C,Prediction!T$5))</f>
        <v>0</v>
      </c>
      <c r="V144" s="24">
        <f t="shared" si="58"/>
        <v>0</v>
      </c>
      <c r="W144" s="24">
        <f t="shared" si="59"/>
        <v>0</v>
      </c>
      <c r="X144" s="30">
        <f>SUMIFS(Output!$L:$L,Output!$A:$A,Prediction!$A144,Output!$C:$C,Prediction!T$5)</f>
        <v>0</v>
      </c>
      <c r="Y144" s="25">
        <f>IFERROR(VLOOKUP($D144,Schedules!$A:$I,MATCH(Prediction!Y$6,Schedules!$A$1:$H$1,0),FALSE),0)</f>
        <v>0</v>
      </c>
      <c r="Z144" s="24">
        <f>IF(Y144=0,0,SUMIFS(Output!$L:$L,Output!$A:$A,Prediction!$A144,Output!$C:$C,Prediction!Y$5))</f>
        <v>0</v>
      </c>
      <c r="AA144" s="24">
        <f t="shared" si="69"/>
        <v>0</v>
      </c>
      <c r="AB144" s="24">
        <f t="shared" si="60"/>
        <v>0</v>
      </c>
      <c r="AC144" s="30">
        <f>SUMIFS(Output!$L:$L,Output!$A:$A,Prediction!$A144,Output!$C:$C,Prediction!Y$5)</f>
        <v>0</v>
      </c>
      <c r="AD144" s="29">
        <f>IFERROR(VLOOKUP($D144,Schedules!$A:$I,MATCH(Prediction!AD$6,Schedules!$A$1:$H$1,0),FALSE),0)</f>
        <v>0</v>
      </c>
      <c r="AE144" s="24">
        <f>IF(AD144=0,0,SUMIFS(Output!$L:$L,Output!$A:$A,Prediction!$A144,Output!$C:$C,Prediction!AD$5))</f>
        <v>0</v>
      </c>
      <c r="AF144" s="24">
        <f t="shared" si="70"/>
        <v>0</v>
      </c>
      <c r="AG144" s="24">
        <f t="shared" si="61"/>
        <v>0</v>
      </c>
      <c r="AH144" s="30">
        <f>SUMIFS(Output!$L:$L,Output!$A:$A,Prediction!$A144,Output!$C:$C,Prediction!AD$5)</f>
        <v>0</v>
      </c>
      <c r="AI144" s="29">
        <f>IFERROR(VLOOKUP($D144,Schedules!$A:$I,MATCH(Prediction!AI$6,Schedules!$A$1:$H$1,0),FALSE),0)</f>
        <v>0</v>
      </c>
      <c r="AJ144" s="24">
        <f>IF(AI144=0,0,SUMIFS(Output!$L:$L,Output!$A:$A,Prediction!$A144,Output!$C:$C,Prediction!AI$5))</f>
        <v>0</v>
      </c>
      <c r="AK144" s="24">
        <f t="shared" si="71"/>
        <v>0</v>
      </c>
      <c r="AL144" s="24">
        <f t="shared" si="62"/>
        <v>0</v>
      </c>
      <c r="AM144" s="30">
        <f>SUMIFS(Output!$L:$L,Output!$A:$A,Prediction!$A144,Output!$C:$C,Prediction!AI$5)</f>
        <v>0</v>
      </c>
      <c r="AN144">
        <f t="shared" si="63"/>
        <v>0</v>
      </c>
      <c r="AO144" s="3">
        <f t="shared" si="64"/>
        <v>0</v>
      </c>
      <c r="AP144" s="44"/>
      <c r="AQ144" s="3">
        <f t="shared" si="72"/>
        <v>0</v>
      </c>
      <c r="AR144" s="3">
        <f t="shared" si="65"/>
        <v>0</v>
      </c>
    </row>
    <row r="145" spans="1:44" x14ac:dyDescent="0.25">
      <c r="A145" s="9" t="str">
        <f t="array" ref="A145">IFERROR(INDEX(Output!A$1:A$2000,MATCH(0,COUNTIF(Prediction!$A$7:A144,Output!A$1:A$2000),0)),"")</f>
        <v/>
      </c>
      <c r="B145" t="str">
        <f>IFERROR(VLOOKUP($A145,Output!$A:$M,2,FALSE),"")</f>
        <v/>
      </c>
      <c r="C145" t="str">
        <f>IFERROR(VLOOKUP(B145,Departments!B:C,2,FALSE),"")</f>
        <v/>
      </c>
      <c r="D145" t="str">
        <f>IFERROR(VLOOKUP($A145,Output!$A:$M,13,FALSE),"")</f>
        <v/>
      </c>
      <c r="E145" s="29">
        <f>IFERROR(VLOOKUP($D145,Schedules!$A:$I,MATCH(Prediction!E$6,Schedules!$A$1:$H$1,0),FALSE),0)</f>
        <v>0</v>
      </c>
      <c r="F145" s="24">
        <f>IF(E145=0,0,SUMIFS(Output!$L:$L,Output!$A:$A,Prediction!$A145,Output!$C:$C,Prediction!E$5))</f>
        <v>0</v>
      </c>
      <c r="G145" s="24">
        <f t="shared" si="66"/>
        <v>0</v>
      </c>
      <c r="H145" s="45">
        <f t="shared" si="73"/>
        <v>0</v>
      </c>
      <c r="I145" s="30">
        <f>SUMIFS(Output!$L:$L,Output!$A:$A,Prediction!$A145,Output!$C:$C,Prediction!E$5)</f>
        <v>0</v>
      </c>
      <c r="J145" s="29">
        <f>IFERROR(VLOOKUP($D145,Schedules!$A:$I,MATCH(Prediction!J$6,Schedules!$A$1:$H$1,0),FALSE),0)</f>
        <v>0</v>
      </c>
      <c r="K145" s="24">
        <f>IF(J145=0,0,SUMIFS(Output!$L:$L,Output!$A:$A,Prediction!$A145,Output!$C:$C,Prediction!J$5))</f>
        <v>0</v>
      </c>
      <c r="L145" s="24">
        <f t="shared" si="67"/>
        <v>0</v>
      </c>
      <c r="M145" s="24">
        <f t="shared" si="56"/>
        <v>0</v>
      </c>
      <c r="N145" s="30">
        <f>SUMIFS(Output!$L:$L,Output!$A:$A,Prediction!$A145,Output!$C:$C,Prediction!J$5)</f>
        <v>0</v>
      </c>
      <c r="O145" s="29">
        <f>IFERROR(VLOOKUP($D145,Schedules!$A:$I,MATCH(Prediction!O$6,Schedules!$A$1:$H$1,0),FALSE),0)</f>
        <v>0</v>
      </c>
      <c r="P145" s="24">
        <f>IF(O145=0,0,SUMIFS(Output!$L:$L,Output!$A:$A,Prediction!$A145,Output!$C:$C,Prediction!O$5))</f>
        <v>0</v>
      </c>
      <c r="Q145" s="24">
        <f t="shared" si="68"/>
        <v>0</v>
      </c>
      <c r="R145" s="24">
        <f t="shared" si="57"/>
        <v>0</v>
      </c>
      <c r="S145" s="30">
        <f>SUMIFS(Output!$L:$L,Output!$A:$A,Prediction!$A145,Output!$C:$C,Prediction!O$5)</f>
        <v>0</v>
      </c>
      <c r="T145" s="29">
        <f>IFERROR(VLOOKUP($D145,Schedules!$A:$I,MATCH(Prediction!T$6,Schedules!$A$1:$H$1,0),FALSE),0)</f>
        <v>0</v>
      </c>
      <c r="U145" s="24">
        <f>IF(T145=0,0,SUMIFS(Output!$L:$L,Output!$A:$A,Prediction!$A145,Output!$C:$C,Prediction!T$5))</f>
        <v>0</v>
      </c>
      <c r="V145" s="24">
        <f t="shared" si="58"/>
        <v>0</v>
      </c>
      <c r="W145" s="24">
        <f t="shared" si="59"/>
        <v>0</v>
      </c>
      <c r="X145" s="30">
        <f>SUMIFS(Output!$L:$L,Output!$A:$A,Prediction!$A145,Output!$C:$C,Prediction!T$5)</f>
        <v>0</v>
      </c>
      <c r="Y145" s="25">
        <f>IFERROR(VLOOKUP($D145,Schedules!$A:$I,MATCH(Prediction!Y$6,Schedules!$A$1:$H$1,0),FALSE),0)</f>
        <v>0</v>
      </c>
      <c r="Z145" s="24">
        <f>IF(Y145=0,0,SUMIFS(Output!$L:$L,Output!$A:$A,Prediction!$A145,Output!$C:$C,Prediction!Y$5))</f>
        <v>0</v>
      </c>
      <c r="AA145" s="24">
        <f t="shared" si="69"/>
        <v>0</v>
      </c>
      <c r="AB145" s="24">
        <f t="shared" si="60"/>
        <v>0</v>
      </c>
      <c r="AC145" s="30">
        <f>SUMIFS(Output!$L:$L,Output!$A:$A,Prediction!$A145,Output!$C:$C,Prediction!Y$5)</f>
        <v>0</v>
      </c>
      <c r="AD145" s="29">
        <f>IFERROR(VLOOKUP($D145,Schedules!$A:$I,MATCH(Prediction!AD$6,Schedules!$A$1:$H$1,0),FALSE),0)</f>
        <v>0</v>
      </c>
      <c r="AE145" s="24">
        <f>IF(AD145=0,0,SUMIFS(Output!$L:$L,Output!$A:$A,Prediction!$A145,Output!$C:$C,Prediction!AD$5))</f>
        <v>0</v>
      </c>
      <c r="AF145" s="24">
        <f t="shared" si="70"/>
        <v>0</v>
      </c>
      <c r="AG145" s="24">
        <f t="shared" si="61"/>
        <v>0</v>
      </c>
      <c r="AH145" s="30">
        <f>SUMIFS(Output!$L:$L,Output!$A:$A,Prediction!$A145,Output!$C:$C,Prediction!AD$5)</f>
        <v>0</v>
      </c>
      <c r="AI145" s="29">
        <f>IFERROR(VLOOKUP($D145,Schedules!$A:$I,MATCH(Prediction!AI$6,Schedules!$A$1:$H$1,0),FALSE),0)</f>
        <v>0</v>
      </c>
      <c r="AJ145" s="24">
        <f>IF(AI145=0,0,SUMIFS(Output!$L:$L,Output!$A:$A,Prediction!$A145,Output!$C:$C,Prediction!AI$5))</f>
        <v>0</v>
      </c>
      <c r="AK145" s="24">
        <f t="shared" si="71"/>
        <v>0</v>
      </c>
      <c r="AL145" s="24">
        <f t="shared" si="62"/>
        <v>0</v>
      </c>
      <c r="AM145" s="30">
        <f>SUMIFS(Output!$L:$L,Output!$A:$A,Prediction!$A145,Output!$C:$C,Prediction!AI$5)</f>
        <v>0</v>
      </c>
      <c r="AN145">
        <f t="shared" si="63"/>
        <v>0</v>
      </c>
      <c r="AO145" s="3">
        <f t="shared" si="64"/>
        <v>0</v>
      </c>
      <c r="AP145" s="44"/>
      <c r="AQ145" s="3">
        <f t="shared" si="72"/>
        <v>0</v>
      </c>
      <c r="AR145" s="3">
        <f t="shared" si="65"/>
        <v>0</v>
      </c>
    </row>
    <row r="146" spans="1:44" x14ac:dyDescent="0.25">
      <c r="A146" s="9" t="str">
        <f t="array" ref="A146">IFERROR(INDEX(Output!A$1:A$2000,MATCH(0,COUNTIF(Prediction!$A$7:A145,Output!A$1:A$2000),0)),"")</f>
        <v/>
      </c>
      <c r="B146" t="str">
        <f>IFERROR(VLOOKUP($A146,Output!$A:$M,2,FALSE),"")</f>
        <v/>
      </c>
      <c r="C146" t="str">
        <f>IFERROR(VLOOKUP(B146,Departments!B:C,2,FALSE),"")</f>
        <v/>
      </c>
      <c r="D146" t="str">
        <f>IFERROR(VLOOKUP($A146,Output!$A:$M,13,FALSE),"")</f>
        <v/>
      </c>
      <c r="E146" s="29">
        <f>IFERROR(VLOOKUP($D146,Schedules!$A:$I,MATCH(Prediction!E$6,Schedules!$A$1:$H$1,0),FALSE),0)</f>
        <v>0</v>
      </c>
      <c r="F146" s="24">
        <f>IF(E146=0,0,SUMIFS(Output!$L:$L,Output!$A:$A,Prediction!$A146,Output!$C:$C,Prediction!E$5))</f>
        <v>0</v>
      </c>
      <c r="G146" s="24">
        <f t="shared" si="66"/>
        <v>0</v>
      </c>
      <c r="H146" s="45">
        <f t="shared" si="73"/>
        <v>0</v>
      </c>
      <c r="I146" s="30">
        <f>SUMIFS(Output!$L:$L,Output!$A:$A,Prediction!$A146,Output!$C:$C,Prediction!E$5)</f>
        <v>0</v>
      </c>
      <c r="J146" s="29">
        <f>IFERROR(VLOOKUP($D146,Schedules!$A:$I,MATCH(Prediction!J$6,Schedules!$A$1:$H$1,0),FALSE),0)</f>
        <v>0</v>
      </c>
      <c r="K146" s="24">
        <f>IF(J146=0,0,SUMIFS(Output!$L:$L,Output!$A:$A,Prediction!$A146,Output!$C:$C,Prediction!J$5))</f>
        <v>0</v>
      </c>
      <c r="L146" s="24">
        <f t="shared" si="67"/>
        <v>0</v>
      </c>
      <c r="M146" s="24">
        <f t="shared" si="56"/>
        <v>0</v>
      </c>
      <c r="N146" s="30">
        <f>SUMIFS(Output!$L:$L,Output!$A:$A,Prediction!$A146,Output!$C:$C,Prediction!J$5)</f>
        <v>0</v>
      </c>
      <c r="O146" s="29">
        <f>IFERROR(VLOOKUP($D146,Schedules!$A:$I,MATCH(Prediction!O$6,Schedules!$A$1:$H$1,0),FALSE),0)</f>
        <v>0</v>
      </c>
      <c r="P146" s="24">
        <f>IF(O146=0,0,SUMIFS(Output!$L:$L,Output!$A:$A,Prediction!$A146,Output!$C:$C,Prediction!O$5))</f>
        <v>0</v>
      </c>
      <c r="Q146" s="24">
        <f t="shared" si="68"/>
        <v>0</v>
      </c>
      <c r="R146" s="24">
        <f t="shared" si="57"/>
        <v>0</v>
      </c>
      <c r="S146" s="30">
        <f>SUMIFS(Output!$L:$L,Output!$A:$A,Prediction!$A146,Output!$C:$C,Prediction!O$5)</f>
        <v>0</v>
      </c>
      <c r="T146" s="29">
        <f>IFERROR(VLOOKUP($D146,Schedules!$A:$I,MATCH(Prediction!T$6,Schedules!$A$1:$H$1,0),FALSE),0)</f>
        <v>0</v>
      </c>
      <c r="U146" s="24">
        <f>IF(T146=0,0,SUMIFS(Output!$L:$L,Output!$A:$A,Prediction!$A146,Output!$C:$C,Prediction!T$5))</f>
        <v>0</v>
      </c>
      <c r="V146" s="24">
        <f t="shared" si="58"/>
        <v>0</v>
      </c>
      <c r="W146" s="24">
        <f t="shared" si="59"/>
        <v>0</v>
      </c>
      <c r="X146" s="30">
        <f>SUMIFS(Output!$L:$L,Output!$A:$A,Prediction!$A146,Output!$C:$C,Prediction!T$5)</f>
        <v>0</v>
      </c>
      <c r="Y146" s="25">
        <f>IFERROR(VLOOKUP($D146,Schedules!$A:$I,MATCH(Prediction!Y$6,Schedules!$A$1:$H$1,0),FALSE),0)</f>
        <v>0</v>
      </c>
      <c r="Z146" s="24">
        <f>IF(Y146=0,0,SUMIFS(Output!$L:$L,Output!$A:$A,Prediction!$A146,Output!$C:$C,Prediction!Y$5))</f>
        <v>0</v>
      </c>
      <c r="AA146" s="24">
        <f t="shared" si="69"/>
        <v>0</v>
      </c>
      <c r="AB146" s="24">
        <f t="shared" si="60"/>
        <v>0</v>
      </c>
      <c r="AC146" s="30">
        <f>SUMIFS(Output!$L:$L,Output!$A:$A,Prediction!$A146,Output!$C:$C,Prediction!Y$5)</f>
        <v>0</v>
      </c>
      <c r="AD146" s="29">
        <f>IFERROR(VLOOKUP($D146,Schedules!$A:$I,MATCH(Prediction!AD$6,Schedules!$A$1:$H$1,0),FALSE),0)</f>
        <v>0</v>
      </c>
      <c r="AE146" s="24">
        <f>IF(AD146=0,0,SUMIFS(Output!$L:$L,Output!$A:$A,Prediction!$A146,Output!$C:$C,Prediction!AD$5))</f>
        <v>0</v>
      </c>
      <c r="AF146" s="24">
        <f t="shared" si="70"/>
        <v>0</v>
      </c>
      <c r="AG146" s="24">
        <f t="shared" si="61"/>
        <v>0</v>
      </c>
      <c r="AH146" s="30">
        <f>SUMIFS(Output!$L:$L,Output!$A:$A,Prediction!$A146,Output!$C:$C,Prediction!AD$5)</f>
        <v>0</v>
      </c>
      <c r="AI146" s="29">
        <f>IFERROR(VLOOKUP($D146,Schedules!$A:$I,MATCH(Prediction!AI$6,Schedules!$A$1:$H$1,0),FALSE),0)</f>
        <v>0</v>
      </c>
      <c r="AJ146" s="24">
        <f>IF(AI146=0,0,SUMIFS(Output!$L:$L,Output!$A:$A,Prediction!$A146,Output!$C:$C,Prediction!AI$5))</f>
        <v>0</v>
      </c>
      <c r="AK146" s="24">
        <f t="shared" si="71"/>
        <v>0</v>
      </c>
      <c r="AL146" s="24">
        <f t="shared" si="62"/>
        <v>0</v>
      </c>
      <c r="AM146" s="30">
        <f>SUMIFS(Output!$L:$L,Output!$A:$A,Prediction!$A146,Output!$C:$C,Prediction!AI$5)</f>
        <v>0</v>
      </c>
      <c r="AN146">
        <f t="shared" si="63"/>
        <v>0</v>
      </c>
      <c r="AO146" s="3">
        <f t="shared" si="64"/>
        <v>0</v>
      </c>
      <c r="AP146" s="44"/>
      <c r="AQ146" s="3">
        <f t="shared" si="72"/>
        <v>0</v>
      </c>
      <c r="AR146" s="3">
        <f t="shared" si="65"/>
        <v>0</v>
      </c>
    </row>
    <row r="147" spans="1:44" x14ac:dyDescent="0.25">
      <c r="A147" s="9" t="str">
        <f t="array" ref="A147">IFERROR(INDEX(Output!A$1:A$2000,MATCH(0,COUNTIF(Prediction!$A$7:A146,Output!A$1:A$2000),0)),"")</f>
        <v/>
      </c>
      <c r="B147" t="str">
        <f>IFERROR(VLOOKUP($A147,Output!$A:$M,2,FALSE),"")</f>
        <v/>
      </c>
      <c r="C147" t="str">
        <f>IFERROR(VLOOKUP(B147,Departments!B:C,2,FALSE),"")</f>
        <v/>
      </c>
      <c r="D147" t="str">
        <f>IFERROR(VLOOKUP($A147,Output!$A:$M,13,FALSE),"")</f>
        <v/>
      </c>
      <c r="E147" s="29">
        <f>IFERROR(VLOOKUP($D147,Schedules!$A:$I,MATCH(Prediction!E$6,Schedules!$A$1:$H$1,0),FALSE),0)</f>
        <v>0</v>
      </c>
      <c r="F147" s="24">
        <f>IF(E147=0,0,SUMIFS(Output!$L:$L,Output!$A:$A,Prediction!$A147,Output!$C:$C,Prediction!E$5))</f>
        <v>0</v>
      </c>
      <c r="G147" s="24">
        <f t="shared" si="66"/>
        <v>0</v>
      </c>
      <c r="H147" s="45">
        <f t="shared" si="73"/>
        <v>0</v>
      </c>
      <c r="I147" s="30">
        <f>SUMIFS(Output!$L:$L,Output!$A:$A,Prediction!$A147,Output!$C:$C,Prediction!E$5)</f>
        <v>0</v>
      </c>
      <c r="J147" s="29">
        <f>IFERROR(VLOOKUP($D147,Schedules!$A:$I,MATCH(Prediction!J$6,Schedules!$A$1:$H$1,0),FALSE),0)</f>
        <v>0</v>
      </c>
      <c r="K147" s="24">
        <f>IF(J147=0,0,SUMIFS(Output!$L:$L,Output!$A:$A,Prediction!$A147,Output!$C:$C,Prediction!J$5))</f>
        <v>0</v>
      </c>
      <c r="L147" s="24">
        <f t="shared" si="67"/>
        <v>0</v>
      </c>
      <c r="M147" s="24">
        <f t="shared" si="56"/>
        <v>0</v>
      </c>
      <c r="N147" s="30">
        <f>SUMIFS(Output!$L:$L,Output!$A:$A,Prediction!$A147,Output!$C:$C,Prediction!J$5)</f>
        <v>0</v>
      </c>
      <c r="O147" s="29">
        <f>IFERROR(VLOOKUP($D147,Schedules!$A:$I,MATCH(Prediction!O$6,Schedules!$A$1:$H$1,0),FALSE),0)</f>
        <v>0</v>
      </c>
      <c r="P147" s="24">
        <f>IF(O147=0,0,SUMIFS(Output!$L:$L,Output!$A:$A,Prediction!$A147,Output!$C:$C,Prediction!O$5))</f>
        <v>0</v>
      </c>
      <c r="Q147" s="24">
        <f t="shared" si="68"/>
        <v>0</v>
      </c>
      <c r="R147" s="24">
        <f t="shared" si="57"/>
        <v>0</v>
      </c>
      <c r="S147" s="30">
        <f>SUMIFS(Output!$L:$L,Output!$A:$A,Prediction!$A147,Output!$C:$C,Prediction!O$5)</f>
        <v>0</v>
      </c>
      <c r="T147" s="29">
        <f>IFERROR(VLOOKUP($D147,Schedules!$A:$I,MATCH(Prediction!T$6,Schedules!$A$1:$H$1,0),FALSE),0)</f>
        <v>0</v>
      </c>
      <c r="U147" s="24">
        <f>IF(T147=0,0,SUMIFS(Output!$L:$L,Output!$A:$A,Prediction!$A147,Output!$C:$C,Prediction!T$5))</f>
        <v>0</v>
      </c>
      <c r="V147" s="24">
        <f t="shared" si="58"/>
        <v>0</v>
      </c>
      <c r="W147" s="24">
        <f t="shared" si="59"/>
        <v>0</v>
      </c>
      <c r="X147" s="30">
        <f>SUMIFS(Output!$L:$L,Output!$A:$A,Prediction!$A147,Output!$C:$C,Prediction!T$5)</f>
        <v>0</v>
      </c>
      <c r="Y147" s="25">
        <f>IFERROR(VLOOKUP($D147,Schedules!$A:$I,MATCH(Prediction!Y$6,Schedules!$A$1:$H$1,0),FALSE),0)</f>
        <v>0</v>
      </c>
      <c r="Z147" s="24">
        <f>IF(Y147=0,0,SUMIFS(Output!$L:$L,Output!$A:$A,Prediction!$A147,Output!$C:$C,Prediction!Y$5))</f>
        <v>0</v>
      </c>
      <c r="AA147" s="24">
        <f t="shared" si="69"/>
        <v>0</v>
      </c>
      <c r="AB147" s="24">
        <f t="shared" si="60"/>
        <v>0</v>
      </c>
      <c r="AC147" s="30">
        <f>SUMIFS(Output!$L:$L,Output!$A:$A,Prediction!$A147,Output!$C:$C,Prediction!Y$5)</f>
        <v>0</v>
      </c>
      <c r="AD147" s="29">
        <f>IFERROR(VLOOKUP($D147,Schedules!$A:$I,MATCH(Prediction!AD$6,Schedules!$A$1:$H$1,0),FALSE),0)</f>
        <v>0</v>
      </c>
      <c r="AE147" s="24">
        <f>IF(AD147=0,0,SUMIFS(Output!$L:$L,Output!$A:$A,Prediction!$A147,Output!$C:$C,Prediction!AD$5))</f>
        <v>0</v>
      </c>
      <c r="AF147" s="24">
        <f t="shared" si="70"/>
        <v>0</v>
      </c>
      <c r="AG147" s="24">
        <f t="shared" si="61"/>
        <v>0</v>
      </c>
      <c r="AH147" s="30">
        <f>SUMIFS(Output!$L:$L,Output!$A:$A,Prediction!$A147,Output!$C:$C,Prediction!AD$5)</f>
        <v>0</v>
      </c>
      <c r="AI147" s="29">
        <f>IFERROR(VLOOKUP($D147,Schedules!$A:$I,MATCH(Prediction!AI$6,Schedules!$A$1:$H$1,0),FALSE),0)</f>
        <v>0</v>
      </c>
      <c r="AJ147" s="24">
        <f>IF(AI147=0,0,SUMIFS(Output!$L:$L,Output!$A:$A,Prediction!$A147,Output!$C:$C,Prediction!AI$5))</f>
        <v>0</v>
      </c>
      <c r="AK147" s="24">
        <f t="shared" si="71"/>
        <v>0</v>
      </c>
      <c r="AL147" s="24">
        <f t="shared" si="62"/>
        <v>0</v>
      </c>
      <c r="AM147" s="30">
        <f>SUMIFS(Output!$L:$L,Output!$A:$A,Prediction!$A147,Output!$C:$C,Prediction!AI$5)</f>
        <v>0</v>
      </c>
      <c r="AN147">
        <f t="shared" si="63"/>
        <v>0</v>
      </c>
      <c r="AO147" s="3">
        <f t="shared" si="64"/>
        <v>0</v>
      </c>
      <c r="AP147" s="44"/>
      <c r="AQ147" s="3">
        <f t="shared" si="72"/>
        <v>0</v>
      </c>
      <c r="AR147" s="3">
        <f t="shared" si="65"/>
        <v>0</v>
      </c>
    </row>
    <row r="148" spans="1:44" x14ac:dyDescent="0.25">
      <c r="A148" s="9" t="str">
        <f t="array" ref="A148">IFERROR(INDEX(Output!A$1:A$2000,MATCH(0,COUNTIF(Prediction!$A$7:A147,Output!A$1:A$2000),0)),"")</f>
        <v/>
      </c>
      <c r="B148" t="str">
        <f>IFERROR(VLOOKUP($A148,Output!$A:$M,2,FALSE),"")</f>
        <v/>
      </c>
      <c r="C148" t="str">
        <f>IFERROR(VLOOKUP(B148,Departments!B:C,2,FALSE),"")</f>
        <v/>
      </c>
      <c r="D148" t="str">
        <f>IFERROR(VLOOKUP($A148,Output!$A:$M,13,FALSE),"")</f>
        <v/>
      </c>
      <c r="E148" s="29">
        <f>IFERROR(VLOOKUP($D148,Schedules!$A:$I,MATCH(Prediction!E$6,Schedules!$A$1:$H$1,0),FALSE),0)</f>
        <v>0</v>
      </c>
      <c r="F148" s="24">
        <f>IF(E148=0,0,SUMIFS(Output!$L:$L,Output!$A:$A,Prediction!$A148,Output!$C:$C,Prediction!E$5))</f>
        <v>0</v>
      </c>
      <c r="G148" s="24">
        <f t="shared" si="66"/>
        <v>0</v>
      </c>
      <c r="H148" s="45">
        <f t="shared" si="73"/>
        <v>0</v>
      </c>
      <c r="I148" s="30">
        <f>SUMIFS(Output!$L:$L,Output!$A:$A,Prediction!$A148,Output!$C:$C,Prediction!E$5)</f>
        <v>0</v>
      </c>
      <c r="J148" s="29">
        <f>IFERROR(VLOOKUP($D148,Schedules!$A:$I,MATCH(Prediction!J$6,Schedules!$A$1:$H$1,0),FALSE),0)</f>
        <v>0</v>
      </c>
      <c r="K148" s="24">
        <f>IF(J148=0,0,SUMIFS(Output!$L:$L,Output!$A:$A,Prediction!$A148,Output!$C:$C,Prediction!J$5))</f>
        <v>0</v>
      </c>
      <c r="L148" s="24">
        <f t="shared" si="67"/>
        <v>0</v>
      </c>
      <c r="M148" s="24">
        <f t="shared" si="56"/>
        <v>0</v>
      </c>
      <c r="N148" s="30">
        <f>SUMIFS(Output!$L:$L,Output!$A:$A,Prediction!$A148,Output!$C:$C,Prediction!J$5)</f>
        <v>0</v>
      </c>
      <c r="O148" s="29">
        <f>IFERROR(VLOOKUP($D148,Schedules!$A:$I,MATCH(Prediction!O$6,Schedules!$A$1:$H$1,0),FALSE),0)</f>
        <v>0</v>
      </c>
      <c r="P148" s="24">
        <f>IF(O148=0,0,SUMIFS(Output!$L:$L,Output!$A:$A,Prediction!$A148,Output!$C:$C,Prediction!O$5))</f>
        <v>0</v>
      </c>
      <c r="Q148" s="24">
        <f t="shared" si="68"/>
        <v>0</v>
      </c>
      <c r="R148" s="24">
        <f t="shared" si="57"/>
        <v>0</v>
      </c>
      <c r="S148" s="30">
        <f>SUMIFS(Output!$L:$L,Output!$A:$A,Prediction!$A148,Output!$C:$C,Prediction!O$5)</f>
        <v>0</v>
      </c>
      <c r="T148" s="29">
        <f>IFERROR(VLOOKUP($D148,Schedules!$A:$I,MATCH(Prediction!T$6,Schedules!$A$1:$H$1,0),FALSE),0)</f>
        <v>0</v>
      </c>
      <c r="U148" s="24">
        <f>IF(T148=0,0,SUMIFS(Output!$L:$L,Output!$A:$A,Prediction!$A148,Output!$C:$C,Prediction!T$5))</f>
        <v>0</v>
      </c>
      <c r="V148" s="24">
        <f t="shared" si="58"/>
        <v>0</v>
      </c>
      <c r="W148" s="24">
        <f t="shared" si="59"/>
        <v>0</v>
      </c>
      <c r="X148" s="30">
        <f>SUMIFS(Output!$L:$L,Output!$A:$A,Prediction!$A148,Output!$C:$C,Prediction!T$5)</f>
        <v>0</v>
      </c>
      <c r="Y148" s="25">
        <f>IFERROR(VLOOKUP($D148,Schedules!$A:$I,MATCH(Prediction!Y$6,Schedules!$A$1:$H$1,0),FALSE),0)</f>
        <v>0</v>
      </c>
      <c r="Z148" s="24">
        <f>IF(Y148=0,0,SUMIFS(Output!$L:$L,Output!$A:$A,Prediction!$A148,Output!$C:$C,Prediction!Y$5))</f>
        <v>0</v>
      </c>
      <c r="AA148" s="24">
        <f t="shared" si="69"/>
        <v>0</v>
      </c>
      <c r="AB148" s="24">
        <f t="shared" si="60"/>
        <v>0</v>
      </c>
      <c r="AC148" s="30">
        <f>SUMIFS(Output!$L:$L,Output!$A:$A,Prediction!$A148,Output!$C:$C,Prediction!Y$5)</f>
        <v>0</v>
      </c>
      <c r="AD148" s="29">
        <f>IFERROR(VLOOKUP($D148,Schedules!$A:$I,MATCH(Prediction!AD$6,Schedules!$A$1:$H$1,0),FALSE),0)</f>
        <v>0</v>
      </c>
      <c r="AE148" s="24">
        <f>IF(AD148=0,0,SUMIFS(Output!$L:$L,Output!$A:$A,Prediction!$A148,Output!$C:$C,Prediction!AD$5))</f>
        <v>0</v>
      </c>
      <c r="AF148" s="24">
        <f t="shared" si="70"/>
        <v>0</v>
      </c>
      <c r="AG148" s="24">
        <f t="shared" si="61"/>
        <v>0</v>
      </c>
      <c r="AH148" s="30">
        <f>SUMIFS(Output!$L:$L,Output!$A:$A,Prediction!$A148,Output!$C:$C,Prediction!AD$5)</f>
        <v>0</v>
      </c>
      <c r="AI148" s="29">
        <f>IFERROR(VLOOKUP($D148,Schedules!$A:$I,MATCH(Prediction!AI$6,Schedules!$A$1:$H$1,0),FALSE),0)</f>
        <v>0</v>
      </c>
      <c r="AJ148" s="24">
        <f>IF(AI148=0,0,SUMIFS(Output!$L:$L,Output!$A:$A,Prediction!$A148,Output!$C:$C,Prediction!AI$5))</f>
        <v>0</v>
      </c>
      <c r="AK148" s="24">
        <f t="shared" si="71"/>
        <v>0</v>
      </c>
      <c r="AL148" s="24">
        <f t="shared" si="62"/>
        <v>0</v>
      </c>
      <c r="AM148" s="30">
        <f>SUMIFS(Output!$L:$L,Output!$A:$A,Prediction!$A148,Output!$C:$C,Prediction!AI$5)</f>
        <v>0</v>
      </c>
      <c r="AN148">
        <f t="shared" si="63"/>
        <v>0</v>
      </c>
      <c r="AO148" s="3">
        <f t="shared" si="64"/>
        <v>0</v>
      </c>
      <c r="AP148" s="44"/>
      <c r="AQ148" s="3">
        <f t="shared" si="72"/>
        <v>0</v>
      </c>
      <c r="AR148" s="3">
        <f t="shared" si="65"/>
        <v>0</v>
      </c>
    </row>
    <row r="149" spans="1:44" x14ac:dyDescent="0.25">
      <c r="A149" s="9" t="str">
        <f t="array" ref="A149">IFERROR(INDEX(Output!A$1:A$2000,MATCH(0,COUNTIF(Prediction!$A$7:A148,Output!A$1:A$2000),0)),"")</f>
        <v/>
      </c>
      <c r="B149" t="str">
        <f>IFERROR(VLOOKUP($A149,Output!$A:$M,2,FALSE),"")</f>
        <v/>
      </c>
      <c r="C149" t="str">
        <f>IFERROR(VLOOKUP(B149,Departments!B:C,2,FALSE),"")</f>
        <v/>
      </c>
      <c r="D149" t="str">
        <f>IFERROR(VLOOKUP($A149,Output!$A:$M,13,FALSE),"")</f>
        <v/>
      </c>
      <c r="E149" s="29">
        <f>IFERROR(VLOOKUP($D149,Schedules!$A:$I,MATCH(Prediction!E$6,Schedules!$A$1:$H$1,0),FALSE),0)</f>
        <v>0</v>
      </c>
      <c r="F149" s="24">
        <f>IF(E149=0,0,SUMIFS(Output!$L:$L,Output!$A:$A,Prediction!$A149,Output!$C:$C,Prediction!E$5))</f>
        <v>0</v>
      </c>
      <c r="G149" s="24">
        <f t="shared" si="66"/>
        <v>0</v>
      </c>
      <c r="H149" s="45">
        <f t="shared" si="73"/>
        <v>0</v>
      </c>
      <c r="I149" s="30">
        <f>SUMIFS(Output!$L:$L,Output!$A:$A,Prediction!$A149,Output!$C:$C,Prediction!E$5)</f>
        <v>0</v>
      </c>
      <c r="J149" s="29">
        <f>IFERROR(VLOOKUP($D149,Schedules!$A:$I,MATCH(Prediction!J$6,Schedules!$A$1:$H$1,0),FALSE),0)</f>
        <v>0</v>
      </c>
      <c r="K149" s="24">
        <f>IF(J149=0,0,SUMIFS(Output!$L:$L,Output!$A:$A,Prediction!$A149,Output!$C:$C,Prediction!J$5))</f>
        <v>0</v>
      </c>
      <c r="L149" s="24">
        <f t="shared" si="67"/>
        <v>0</v>
      </c>
      <c r="M149" s="24">
        <f t="shared" si="56"/>
        <v>0</v>
      </c>
      <c r="N149" s="30">
        <f>SUMIFS(Output!$L:$L,Output!$A:$A,Prediction!$A149,Output!$C:$C,Prediction!J$5)</f>
        <v>0</v>
      </c>
      <c r="O149" s="29">
        <f>IFERROR(VLOOKUP($D149,Schedules!$A:$I,MATCH(Prediction!O$6,Schedules!$A$1:$H$1,0),FALSE),0)</f>
        <v>0</v>
      </c>
      <c r="P149" s="24">
        <f>IF(O149=0,0,SUMIFS(Output!$L:$L,Output!$A:$A,Prediction!$A149,Output!$C:$C,Prediction!O$5))</f>
        <v>0</v>
      </c>
      <c r="Q149" s="24">
        <f t="shared" si="68"/>
        <v>0</v>
      </c>
      <c r="R149" s="24">
        <f t="shared" si="57"/>
        <v>0</v>
      </c>
      <c r="S149" s="30">
        <f>SUMIFS(Output!$L:$L,Output!$A:$A,Prediction!$A149,Output!$C:$C,Prediction!O$5)</f>
        <v>0</v>
      </c>
      <c r="T149" s="29">
        <f>IFERROR(VLOOKUP($D149,Schedules!$A:$I,MATCH(Prediction!T$6,Schedules!$A$1:$H$1,0),FALSE),0)</f>
        <v>0</v>
      </c>
      <c r="U149" s="24">
        <f>IF(T149=0,0,SUMIFS(Output!$L:$L,Output!$A:$A,Prediction!$A149,Output!$C:$C,Prediction!T$5))</f>
        <v>0</v>
      </c>
      <c r="V149" s="24">
        <f t="shared" si="58"/>
        <v>0</v>
      </c>
      <c r="W149" s="24">
        <f t="shared" si="59"/>
        <v>0</v>
      </c>
      <c r="X149" s="30">
        <f>SUMIFS(Output!$L:$L,Output!$A:$A,Prediction!$A149,Output!$C:$C,Prediction!T$5)</f>
        <v>0</v>
      </c>
      <c r="Y149" s="25">
        <f>IFERROR(VLOOKUP($D149,Schedules!$A:$I,MATCH(Prediction!Y$6,Schedules!$A$1:$H$1,0),FALSE),0)</f>
        <v>0</v>
      </c>
      <c r="Z149" s="24">
        <f>IF(Y149=0,0,SUMIFS(Output!$L:$L,Output!$A:$A,Prediction!$A149,Output!$C:$C,Prediction!Y$5))</f>
        <v>0</v>
      </c>
      <c r="AA149" s="24">
        <f t="shared" si="69"/>
        <v>0</v>
      </c>
      <c r="AB149" s="24">
        <f t="shared" si="60"/>
        <v>0</v>
      </c>
      <c r="AC149" s="30">
        <f>SUMIFS(Output!$L:$L,Output!$A:$A,Prediction!$A149,Output!$C:$C,Prediction!Y$5)</f>
        <v>0</v>
      </c>
      <c r="AD149" s="29">
        <f>IFERROR(VLOOKUP($D149,Schedules!$A:$I,MATCH(Prediction!AD$6,Schedules!$A$1:$H$1,0),FALSE),0)</f>
        <v>0</v>
      </c>
      <c r="AE149" s="24">
        <f>IF(AD149=0,0,SUMIFS(Output!$L:$L,Output!$A:$A,Prediction!$A149,Output!$C:$C,Prediction!AD$5))</f>
        <v>0</v>
      </c>
      <c r="AF149" s="24">
        <f t="shared" si="70"/>
        <v>0</v>
      </c>
      <c r="AG149" s="24">
        <f t="shared" si="61"/>
        <v>0</v>
      </c>
      <c r="AH149" s="30">
        <f>SUMIFS(Output!$L:$L,Output!$A:$A,Prediction!$A149,Output!$C:$C,Prediction!AD$5)</f>
        <v>0</v>
      </c>
      <c r="AI149" s="29">
        <f>IFERROR(VLOOKUP($D149,Schedules!$A:$I,MATCH(Prediction!AI$6,Schedules!$A$1:$H$1,0),FALSE),0)</f>
        <v>0</v>
      </c>
      <c r="AJ149" s="24">
        <f>IF(AI149=0,0,SUMIFS(Output!$L:$L,Output!$A:$A,Prediction!$A149,Output!$C:$C,Prediction!AI$5))</f>
        <v>0</v>
      </c>
      <c r="AK149" s="24">
        <f t="shared" si="71"/>
        <v>0</v>
      </c>
      <c r="AL149" s="24">
        <f t="shared" si="62"/>
        <v>0</v>
      </c>
      <c r="AM149" s="30">
        <f>SUMIFS(Output!$L:$L,Output!$A:$A,Prediction!$A149,Output!$C:$C,Prediction!AI$5)</f>
        <v>0</v>
      </c>
      <c r="AN149">
        <f t="shared" si="63"/>
        <v>0</v>
      </c>
      <c r="AO149" s="3">
        <f t="shared" si="64"/>
        <v>0</v>
      </c>
      <c r="AP149" s="44"/>
      <c r="AQ149" s="3">
        <f t="shared" si="72"/>
        <v>0</v>
      </c>
      <c r="AR149" s="3">
        <f t="shared" si="65"/>
        <v>0</v>
      </c>
    </row>
    <row r="150" spans="1:44" x14ac:dyDescent="0.25">
      <c r="A150" s="9" t="str">
        <f t="array" ref="A150">IFERROR(INDEX(Output!A$1:A$2000,MATCH(0,COUNTIF(Prediction!$A$7:A149,Output!A$1:A$2000),0)),"")</f>
        <v/>
      </c>
      <c r="B150" t="str">
        <f>IFERROR(VLOOKUP($A150,Output!$A:$M,2,FALSE),"")</f>
        <v/>
      </c>
      <c r="C150" t="str">
        <f>IFERROR(VLOOKUP(B150,Departments!B:C,2,FALSE),"")</f>
        <v/>
      </c>
      <c r="D150" t="str">
        <f>IFERROR(VLOOKUP($A150,Output!$A:$M,13,FALSE),"")</f>
        <v/>
      </c>
      <c r="E150" s="29">
        <f>IFERROR(VLOOKUP($D150,Schedules!$A:$I,MATCH(Prediction!E$6,Schedules!$A$1:$H$1,0),FALSE),0)</f>
        <v>0</v>
      </c>
      <c r="F150" s="24">
        <f>IF(E150=0,0,SUMIFS(Output!$L:$L,Output!$A:$A,Prediction!$A150,Output!$C:$C,Prediction!E$5))</f>
        <v>0</v>
      </c>
      <c r="G150" s="24">
        <f t="shared" si="66"/>
        <v>0</v>
      </c>
      <c r="H150" s="45">
        <f t="shared" si="73"/>
        <v>0</v>
      </c>
      <c r="I150" s="30">
        <f>SUMIFS(Output!$L:$L,Output!$A:$A,Prediction!$A150,Output!$C:$C,Prediction!E$5)</f>
        <v>0</v>
      </c>
      <c r="J150" s="29">
        <f>IFERROR(VLOOKUP($D150,Schedules!$A:$I,MATCH(Prediction!J$6,Schedules!$A$1:$H$1,0),FALSE),0)</f>
        <v>0</v>
      </c>
      <c r="K150" s="24">
        <f>IF(J150=0,0,SUMIFS(Output!$L:$L,Output!$A:$A,Prediction!$A150,Output!$C:$C,Prediction!J$5))</f>
        <v>0</v>
      </c>
      <c r="L150" s="24">
        <f t="shared" si="67"/>
        <v>0</v>
      </c>
      <c r="M150" s="24">
        <f t="shared" si="56"/>
        <v>0</v>
      </c>
      <c r="N150" s="30">
        <f>SUMIFS(Output!$L:$L,Output!$A:$A,Prediction!$A150,Output!$C:$C,Prediction!J$5)</f>
        <v>0</v>
      </c>
      <c r="O150" s="29">
        <f>IFERROR(VLOOKUP($D150,Schedules!$A:$I,MATCH(Prediction!O$6,Schedules!$A$1:$H$1,0),FALSE),0)</f>
        <v>0</v>
      </c>
      <c r="P150" s="24">
        <f>IF(O150=0,0,SUMIFS(Output!$L:$L,Output!$A:$A,Prediction!$A150,Output!$C:$C,Prediction!O$5))</f>
        <v>0</v>
      </c>
      <c r="Q150" s="24">
        <f t="shared" si="68"/>
        <v>0</v>
      </c>
      <c r="R150" s="24">
        <f t="shared" si="57"/>
        <v>0</v>
      </c>
      <c r="S150" s="30">
        <f>SUMIFS(Output!$L:$L,Output!$A:$A,Prediction!$A150,Output!$C:$C,Prediction!O$5)</f>
        <v>0</v>
      </c>
      <c r="T150" s="29">
        <f>IFERROR(VLOOKUP($D150,Schedules!$A:$I,MATCH(Prediction!T$6,Schedules!$A$1:$H$1,0),FALSE),0)</f>
        <v>0</v>
      </c>
      <c r="U150" s="24">
        <f>IF(T150=0,0,SUMIFS(Output!$L:$L,Output!$A:$A,Prediction!$A150,Output!$C:$C,Prediction!T$5))</f>
        <v>0</v>
      </c>
      <c r="V150" s="24">
        <f t="shared" si="58"/>
        <v>0</v>
      </c>
      <c r="W150" s="24">
        <f t="shared" si="59"/>
        <v>0</v>
      </c>
      <c r="X150" s="30">
        <f>SUMIFS(Output!$L:$L,Output!$A:$A,Prediction!$A150,Output!$C:$C,Prediction!T$5)</f>
        <v>0</v>
      </c>
      <c r="Y150" s="25">
        <f>IFERROR(VLOOKUP($D150,Schedules!$A:$I,MATCH(Prediction!Y$6,Schedules!$A$1:$H$1,0),FALSE),0)</f>
        <v>0</v>
      </c>
      <c r="Z150" s="24">
        <f>IF(Y150=0,0,SUMIFS(Output!$L:$L,Output!$A:$A,Prediction!$A150,Output!$C:$C,Prediction!Y$5))</f>
        <v>0</v>
      </c>
      <c r="AA150" s="24">
        <f t="shared" si="69"/>
        <v>0</v>
      </c>
      <c r="AB150" s="24">
        <f t="shared" si="60"/>
        <v>0</v>
      </c>
      <c r="AC150" s="30">
        <f>SUMIFS(Output!$L:$L,Output!$A:$A,Prediction!$A150,Output!$C:$C,Prediction!Y$5)</f>
        <v>0</v>
      </c>
      <c r="AD150" s="29">
        <f>IFERROR(VLOOKUP($D150,Schedules!$A:$I,MATCH(Prediction!AD$6,Schedules!$A$1:$H$1,0),FALSE),0)</f>
        <v>0</v>
      </c>
      <c r="AE150" s="24">
        <f>IF(AD150=0,0,SUMIFS(Output!$L:$L,Output!$A:$A,Prediction!$A150,Output!$C:$C,Prediction!AD$5))</f>
        <v>0</v>
      </c>
      <c r="AF150" s="24">
        <f t="shared" si="70"/>
        <v>0</v>
      </c>
      <c r="AG150" s="24">
        <f t="shared" si="61"/>
        <v>0</v>
      </c>
      <c r="AH150" s="30">
        <f>SUMIFS(Output!$L:$L,Output!$A:$A,Prediction!$A150,Output!$C:$C,Prediction!AD$5)</f>
        <v>0</v>
      </c>
      <c r="AI150" s="29">
        <f>IFERROR(VLOOKUP($D150,Schedules!$A:$I,MATCH(Prediction!AI$6,Schedules!$A$1:$H$1,0),FALSE),0)</f>
        <v>0</v>
      </c>
      <c r="AJ150" s="24">
        <f>IF(AI150=0,0,SUMIFS(Output!$L:$L,Output!$A:$A,Prediction!$A150,Output!$C:$C,Prediction!AI$5))</f>
        <v>0</v>
      </c>
      <c r="AK150" s="24">
        <f t="shared" si="71"/>
        <v>0</v>
      </c>
      <c r="AL150" s="24">
        <f t="shared" si="62"/>
        <v>0</v>
      </c>
      <c r="AM150" s="30">
        <f>SUMIFS(Output!$L:$L,Output!$A:$A,Prediction!$A150,Output!$C:$C,Prediction!AI$5)</f>
        <v>0</v>
      </c>
      <c r="AN150">
        <f t="shared" si="63"/>
        <v>0</v>
      </c>
      <c r="AO150" s="3">
        <f t="shared" si="64"/>
        <v>0</v>
      </c>
      <c r="AP150" s="44"/>
      <c r="AQ150" s="3">
        <f t="shared" si="72"/>
        <v>0</v>
      </c>
      <c r="AR150" s="3">
        <f t="shared" si="65"/>
        <v>0</v>
      </c>
    </row>
    <row r="151" spans="1:44" x14ac:dyDescent="0.25">
      <c r="A151" s="9" t="str">
        <f t="array" ref="A151">IFERROR(INDEX(Output!A$1:A$2000,MATCH(0,COUNTIF(Prediction!$A$7:A150,Output!A$1:A$2000),0)),"")</f>
        <v/>
      </c>
      <c r="B151" t="str">
        <f>IFERROR(VLOOKUP($A151,Output!$A:$M,2,FALSE),"")</f>
        <v/>
      </c>
      <c r="C151" t="str">
        <f>IFERROR(VLOOKUP(B151,Departments!B:C,2,FALSE),"")</f>
        <v/>
      </c>
      <c r="D151" t="str">
        <f>IFERROR(VLOOKUP($A151,Output!$A:$M,13,FALSE),"")</f>
        <v/>
      </c>
      <c r="E151" s="29">
        <f>IFERROR(VLOOKUP($D151,Schedules!$A:$I,MATCH(Prediction!E$6,Schedules!$A$1:$H$1,0),FALSE),0)</f>
        <v>0</v>
      </c>
      <c r="F151" s="24">
        <f>IF(E151=0,0,SUMIFS(Output!$L:$L,Output!$A:$A,Prediction!$A151,Output!$C:$C,Prediction!E$5))</f>
        <v>0</v>
      </c>
      <c r="G151" s="24">
        <f t="shared" si="66"/>
        <v>0</v>
      </c>
      <c r="H151" s="45">
        <f t="shared" si="73"/>
        <v>0</v>
      </c>
      <c r="I151" s="30">
        <f>SUMIFS(Output!$L:$L,Output!$A:$A,Prediction!$A151,Output!$C:$C,Prediction!E$5)</f>
        <v>0</v>
      </c>
      <c r="J151" s="29">
        <f>IFERROR(VLOOKUP($D151,Schedules!$A:$I,MATCH(Prediction!J$6,Schedules!$A$1:$H$1,0),FALSE),0)</f>
        <v>0</v>
      </c>
      <c r="K151" s="24">
        <f>IF(J151=0,0,SUMIFS(Output!$L:$L,Output!$A:$A,Prediction!$A151,Output!$C:$C,Prediction!J$5))</f>
        <v>0</v>
      </c>
      <c r="L151" s="24">
        <f t="shared" si="67"/>
        <v>0</v>
      </c>
      <c r="M151" s="24">
        <f t="shared" si="56"/>
        <v>0</v>
      </c>
      <c r="N151" s="30">
        <f>SUMIFS(Output!$L:$L,Output!$A:$A,Prediction!$A151,Output!$C:$C,Prediction!J$5)</f>
        <v>0</v>
      </c>
      <c r="O151" s="29">
        <f>IFERROR(VLOOKUP($D151,Schedules!$A:$I,MATCH(Prediction!O$6,Schedules!$A$1:$H$1,0),FALSE),0)</f>
        <v>0</v>
      </c>
      <c r="P151" s="24">
        <f>IF(O151=0,0,SUMIFS(Output!$L:$L,Output!$A:$A,Prediction!$A151,Output!$C:$C,Prediction!O$5))</f>
        <v>0</v>
      </c>
      <c r="Q151" s="24">
        <f t="shared" si="68"/>
        <v>0</v>
      </c>
      <c r="R151" s="24">
        <f t="shared" si="57"/>
        <v>0</v>
      </c>
      <c r="S151" s="30">
        <f>SUMIFS(Output!$L:$L,Output!$A:$A,Prediction!$A151,Output!$C:$C,Prediction!O$5)</f>
        <v>0</v>
      </c>
      <c r="T151" s="29">
        <f>IFERROR(VLOOKUP($D151,Schedules!$A:$I,MATCH(Prediction!T$6,Schedules!$A$1:$H$1,0),FALSE),0)</f>
        <v>0</v>
      </c>
      <c r="U151" s="24">
        <f>IF(T151=0,0,SUMIFS(Output!$L:$L,Output!$A:$A,Prediction!$A151,Output!$C:$C,Prediction!T$5))</f>
        <v>0</v>
      </c>
      <c r="V151" s="24">
        <f t="shared" si="58"/>
        <v>0</v>
      </c>
      <c r="W151" s="24">
        <f t="shared" si="59"/>
        <v>0</v>
      </c>
      <c r="X151" s="30">
        <f>SUMIFS(Output!$L:$L,Output!$A:$A,Prediction!$A151,Output!$C:$C,Prediction!T$5)</f>
        <v>0</v>
      </c>
      <c r="Y151" s="25">
        <f>IFERROR(VLOOKUP($D151,Schedules!$A:$I,MATCH(Prediction!Y$6,Schedules!$A$1:$H$1,0),FALSE),0)</f>
        <v>0</v>
      </c>
      <c r="Z151" s="24">
        <f>IF(Y151=0,0,SUMIFS(Output!$L:$L,Output!$A:$A,Prediction!$A151,Output!$C:$C,Prediction!Y$5))</f>
        <v>0</v>
      </c>
      <c r="AA151" s="24">
        <f t="shared" si="69"/>
        <v>0</v>
      </c>
      <c r="AB151" s="24">
        <f t="shared" si="60"/>
        <v>0</v>
      </c>
      <c r="AC151" s="30">
        <f>SUMIFS(Output!$L:$L,Output!$A:$A,Prediction!$A151,Output!$C:$C,Prediction!Y$5)</f>
        <v>0</v>
      </c>
      <c r="AD151" s="29">
        <f>IFERROR(VLOOKUP($D151,Schedules!$A:$I,MATCH(Prediction!AD$6,Schedules!$A$1:$H$1,0),FALSE),0)</f>
        <v>0</v>
      </c>
      <c r="AE151" s="24">
        <f>IF(AD151=0,0,SUMIFS(Output!$L:$L,Output!$A:$A,Prediction!$A151,Output!$C:$C,Prediction!AD$5))</f>
        <v>0</v>
      </c>
      <c r="AF151" s="24">
        <f t="shared" si="70"/>
        <v>0</v>
      </c>
      <c r="AG151" s="24">
        <f t="shared" si="61"/>
        <v>0</v>
      </c>
      <c r="AH151" s="30">
        <f>SUMIFS(Output!$L:$L,Output!$A:$A,Prediction!$A151,Output!$C:$C,Prediction!AD$5)</f>
        <v>0</v>
      </c>
      <c r="AI151" s="29">
        <f>IFERROR(VLOOKUP($D151,Schedules!$A:$I,MATCH(Prediction!AI$6,Schedules!$A$1:$H$1,0),FALSE),0)</f>
        <v>0</v>
      </c>
      <c r="AJ151" s="24">
        <f>IF(AI151=0,0,SUMIFS(Output!$L:$L,Output!$A:$A,Prediction!$A151,Output!$C:$C,Prediction!AI$5))</f>
        <v>0</v>
      </c>
      <c r="AK151" s="24">
        <f t="shared" si="71"/>
        <v>0</v>
      </c>
      <c r="AL151" s="24">
        <f t="shared" si="62"/>
        <v>0</v>
      </c>
      <c r="AM151" s="30">
        <f>SUMIFS(Output!$L:$L,Output!$A:$A,Prediction!$A151,Output!$C:$C,Prediction!AI$5)</f>
        <v>0</v>
      </c>
      <c r="AN151">
        <f t="shared" si="63"/>
        <v>0</v>
      </c>
      <c r="AO151" s="3">
        <f t="shared" si="64"/>
        <v>0</v>
      </c>
      <c r="AP151" s="44"/>
      <c r="AQ151" s="3">
        <f t="shared" si="72"/>
        <v>0</v>
      </c>
      <c r="AR151" s="3">
        <f t="shared" si="65"/>
        <v>0</v>
      </c>
    </row>
    <row r="152" spans="1:44" x14ac:dyDescent="0.25">
      <c r="A152" s="9" t="str">
        <f t="array" ref="A152">IFERROR(INDEX(Output!A$1:A$2000,MATCH(0,COUNTIF(Prediction!$A$7:A151,Output!A$1:A$2000),0)),"")</f>
        <v/>
      </c>
      <c r="B152" t="str">
        <f>IFERROR(VLOOKUP($A152,Output!$A:$M,2,FALSE),"")</f>
        <v/>
      </c>
      <c r="C152" t="str">
        <f>IFERROR(VLOOKUP(B152,Departments!B:C,2,FALSE),"")</f>
        <v/>
      </c>
      <c r="D152" t="str">
        <f>IFERROR(VLOOKUP($A152,Output!$A:$M,13,FALSE),"")</f>
        <v/>
      </c>
      <c r="E152" s="29">
        <f>IFERROR(VLOOKUP($D152,Schedules!$A:$I,MATCH(Prediction!E$6,Schedules!$A$1:$H$1,0),FALSE),0)</f>
        <v>0</v>
      </c>
      <c r="F152" s="24">
        <f>IF(E152=0,0,SUMIFS(Output!$L:$L,Output!$A:$A,Prediction!$A152,Output!$C:$C,Prediction!E$5))</f>
        <v>0</v>
      </c>
      <c r="G152" s="24">
        <f t="shared" si="66"/>
        <v>0</v>
      </c>
      <c r="H152" s="45">
        <f t="shared" si="73"/>
        <v>0</v>
      </c>
      <c r="I152" s="30">
        <f>SUMIFS(Output!$L:$L,Output!$A:$A,Prediction!$A152,Output!$C:$C,Prediction!E$5)</f>
        <v>0</v>
      </c>
      <c r="J152" s="29">
        <f>IFERROR(VLOOKUP($D152,Schedules!$A:$I,MATCH(Prediction!J$6,Schedules!$A$1:$H$1,0),FALSE),0)</f>
        <v>0</v>
      </c>
      <c r="K152" s="24">
        <f>IF(J152=0,0,SUMIFS(Output!$L:$L,Output!$A:$A,Prediction!$A152,Output!$C:$C,Prediction!J$5))</f>
        <v>0</v>
      </c>
      <c r="L152" s="24">
        <f t="shared" si="67"/>
        <v>0</v>
      </c>
      <c r="M152" s="24">
        <f t="shared" si="56"/>
        <v>0</v>
      </c>
      <c r="N152" s="30">
        <f>SUMIFS(Output!$L:$L,Output!$A:$A,Prediction!$A152,Output!$C:$C,Prediction!J$5)</f>
        <v>0</v>
      </c>
      <c r="O152" s="29">
        <f>IFERROR(VLOOKUP($D152,Schedules!$A:$I,MATCH(Prediction!O$6,Schedules!$A$1:$H$1,0),FALSE),0)</f>
        <v>0</v>
      </c>
      <c r="P152" s="24">
        <f>IF(O152=0,0,SUMIFS(Output!$L:$L,Output!$A:$A,Prediction!$A152,Output!$C:$C,Prediction!O$5))</f>
        <v>0</v>
      </c>
      <c r="Q152" s="24">
        <f t="shared" si="68"/>
        <v>0</v>
      </c>
      <c r="R152" s="24">
        <f t="shared" si="57"/>
        <v>0</v>
      </c>
      <c r="S152" s="30">
        <f>SUMIFS(Output!$L:$L,Output!$A:$A,Prediction!$A152,Output!$C:$C,Prediction!O$5)</f>
        <v>0</v>
      </c>
      <c r="T152" s="29">
        <f>IFERROR(VLOOKUP($D152,Schedules!$A:$I,MATCH(Prediction!T$6,Schedules!$A$1:$H$1,0),FALSE),0)</f>
        <v>0</v>
      </c>
      <c r="U152" s="24">
        <f>IF(T152=0,0,SUMIFS(Output!$L:$L,Output!$A:$A,Prediction!$A152,Output!$C:$C,Prediction!T$5))</f>
        <v>0</v>
      </c>
      <c r="V152" s="24">
        <f t="shared" si="58"/>
        <v>0</v>
      </c>
      <c r="W152" s="24">
        <f t="shared" si="59"/>
        <v>0</v>
      </c>
      <c r="X152" s="30">
        <f>SUMIFS(Output!$L:$L,Output!$A:$A,Prediction!$A152,Output!$C:$C,Prediction!T$5)</f>
        <v>0</v>
      </c>
      <c r="Y152" s="25">
        <f>IFERROR(VLOOKUP($D152,Schedules!$A:$I,MATCH(Prediction!Y$6,Schedules!$A$1:$H$1,0),FALSE),0)</f>
        <v>0</v>
      </c>
      <c r="Z152" s="24">
        <f>IF(Y152=0,0,SUMIFS(Output!$L:$L,Output!$A:$A,Prediction!$A152,Output!$C:$C,Prediction!Y$5))</f>
        <v>0</v>
      </c>
      <c r="AA152" s="24">
        <f t="shared" si="69"/>
        <v>0</v>
      </c>
      <c r="AB152" s="24">
        <f t="shared" si="60"/>
        <v>0</v>
      </c>
      <c r="AC152" s="30">
        <f>SUMIFS(Output!$L:$L,Output!$A:$A,Prediction!$A152,Output!$C:$C,Prediction!Y$5)</f>
        <v>0</v>
      </c>
      <c r="AD152" s="29">
        <f>IFERROR(VLOOKUP($D152,Schedules!$A:$I,MATCH(Prediction!AD$6,Schedules!$A$1:$H$1,0),FALSE),0)</f>
        <v>0</v>
      </c>
      <c r="AE152" s="24">
        <f>IF(AD152=0,0,SUMIFS(Output!$L:$L,Output!$A:$A,Prediction!$A152,Output!$C:$C,Prediction!AD$5))</f>
        <v>0</v>
      </c>
      <c r="AF152" s="24">
        <f t="shared" si="70"/>
        <v>0</v>
      </c>
      <c r="AG152" s="24">
        <f t="shared" si="61"/>
        <v>0</v>
      </c>
      <c r="AH152" s="30">
        <f>SUMIFS(Output!$L:$L,Output!$A:$A,Prediction!$A152,Output!$C:$C,Prediction!AD$5)</f>
        <v>0</v>
      </c>
      <c r="AI152" s="29">
        <f>IFERROR(VLOOKUP($D152,Schedules!$A:$I,MATCH(Prediction!AI$6,Schedules!$A$1:$H$1,0),FALSE),0)</f>
        <v>0</v>
      </c>
      <c r="AJ152" s="24">
        <f>IF(AI152=0,0,SUMIFS(Output!$L:$L,Output!$A:$A,Prediction!$A152,Output!$C:$C,Prediction!AI$5))</f>
        <v>0</v>
      </c>
      <c r="AK152" s="24">
        <f t="shared" si="71"/>
        <v>0</v>
      </c>
      <c r="AL152" s="24">
        <f t="shared" si="62"/>
        <v>0</v>
      </c>
      <c r="AM152" s="30">
        <f>SUMIFS(Output!$L:$L,Output!$A:$A,Prediction!$A152,Output!$C:$C,Prediction!AI$5)</f>
        <v>0</v>
      </c>
      <c r="AN152">
        <f t="shared" si="63"/>
        <v>0</v>
      </c>
      <c r="AO152" s="3">
        <f t="shared" si="64"/>
        <v>0</v>
      </c>
      <c r="AP152" s="44"/>
      <c r="AQ152" s="3">
        <f t="shared" si="72"/>
        <v>0</v>
      </c>
      <c r="AR152" s="3">
        <f t="shared" si="65"/>
        <v>0</v>
      </c>
    </row>
    <row r="153" spans="1:44" x14ac:dyDescent="0.25">
      <c r="A153" s="9" t="str">
        <f t="array" ref="A153">IFERROR(INDEX(Output!A$1:A$2000,MATCH(0,COUNTIF(Prediction!$A$7:A152,Output!A$1:A$2000),0)),"")</f>
        <v/>
      </c>
      <c r="B153" t="str">
        <f>IFERROR(VLOOKUP($A153,Output!$A:$M,2,FALSE),"")</f>
        <v/>
      </c>
      <c r="C153" t="str">
        <f>IFERROR(VLOOKUP(B153,Departments!B:C,2,FALSE),"")</f>
        <v/>
      </c>
      <c r="D153" t="str">
        <f>IFERROR(VLOOKUP($A153,Output!$A:$M,13,FALSE),"")</f>
        <v/>
      </c>
      <c r="E153" s="29">
        <f>IFERROR(VLOOKUP($D153,Schedules!$A:$I,MATCH(Prediction!E$6,Schedules!$A$1:$H$1,0),FALSE),0)</f>
        <v>0</v>
      </c>
      <c r="F153" s="24">
        <f>IF(E153=0,0,SUMIFS(Output!$L:$L,Output!$A:$A,Prediction!$A153,Output!$C:$C,Prediction!E$5))</f>
        <v>0</v>
      </c>
      <c r="G153" s="24">
        <f t="shared" si="66"/>
        <v>0</v>
      </c>
      <c r="H153" s="45">
        <f t="shared" si="73"/>
        <v>0</v>
      </c>
      <c r="I153" s="30">
        <f>SUMIFS(Output!$L:$L,Output!$A:$A,Prediction!$A153,Output!$C:$C,Prediction!E$5)</f>
        <v>0</v>
      </c>
      <c r="J153" s="29">
        <f>IFERROR(VLOOKUP($D153,Schedules!$A:$I,MATCH(Prediction!J$6,Schedules!$A$1:$H$1,0),FALSE),0)</f>
        <v>0</v>
      </c>
      <c r="K153" s="24">
        <f>IF(J153=0,0,SUMIFS(Output!$L:$L,Output!$A:$A,Prediction!$A153,Output!$C:$C,Prediction!J$5))</f>
        <v>0</v>
      </c>
      <c r="L153" s="24">
        <f t="shared" si="67"/>
        <v>0</v>
      </c>
      <c r="M153" s="24">
        <f t="shared" si="56"/>
        <v>0</v>
      </c>
      <c r="N153" s="30">
        <f>SUMIFS(Output!$L:$L,Output!$A:$A,Prediction!$A153,Output!$C:$C,Prediction!J$5)</f>
        <v>0</v>
      </c>
      <c r="O153" s="29">
        <f>IFERROR(VLOOKUP($D153,Schedules!$A:$I,MATCH(Prediction!O$6,Schedules!$A$1:$H$1,0),FALSE),0)</f>
        <v>0</v>
      </c>
      <c r="P153" s="24">
        <f>IF(O153=0,0,SUMIFS(Output!$L:$L,Output!$A:$A,Prediction!$A153,Output!$C:$C,Prediction!O$5))</f>
        <v>0</v>
      </c>
      <c r="Q153" s="24">
        <f t="shared" si="68"/>
        <v>0</v>
      </c>
      <c r="R153" s="24">
        <f t="shared" si="57"/>
        <v>0</v>
      </c>
      <c r="S153" s="30">
        <f>SUMIFS(Output!$L:$L,Output!$A:$A,Prediction!$A153,Output!$C:$C,Prediction!O$5)</f>
        <v>0</v>
      </c>
      <c r="T153" s="29">
        <f>IFERROR(VLOOKUP($D153,Schedules!$A:$I,MATCH(Prediction!T$6,Schedules!$A$1:$H$1,0),FALSE),0)</f>
        <v>0</v>
      </c>
      <c r="U153" s="24">
        <f>IF(T153=0,0,SUMIFS(Output!$L:$L,Output!$A:$A,Prediction!$A153,Output!$C:$C,Prediction!T$5))</f>
        <v>0</v>
      </c>
      <c r="V153" s="24">
        <f t="shared" si="58"/>
        <v>0</v>
      </c>
      <c r="W153" s="24">
        <f t="shared" si="59"/>
        <v>0</v>
      </c>
      <c r="X153" s="30">
        <f>SUMIFS(Output!$L:$L,Output!$A:$A,Prediction!$A153,Output!$C:$C,Prediction!T$5)</f>
        <v>0</v>
      </c>
      <c r="Y153" s="25">
        <f>IFERROR(VLOOKUP($D153,Schedules!$A:$I,MATCH(Prediction!Y$6,Schedules!$A$1:$H$1,0),FALSE),0)</f>
        <v>0</v>
      </c>
      <c r="Z153" s="24">
        <f>IF(Y153=0,0,SUMIFS(Output!$L:$L,Output!$A:$A,Prediction!$A153,Output!$C:$C,Prediction!Y$5))</f>
        <v>0</v>
      </c>
      <c r="AA153" s="24">
        <f t="shared" si="69"/>
        <v>0</v>
      </c>
      <c r="AB153" s="24">
        <f t="shared" si="60"/>
        <v>0</v>
      </c>
      <c r="AC153" s="30">
        <f>SUMIFS(Output!$L:$L,Output!$A:$A,Prediction!$A153,Output!$C:$C,Prediction!Y$5)</f>
        <v>0</v>
      </c>
      <c r="AD153" s="29">
        <f>IFERROR(VLOOKUP($D153,Schedules!$A:$I,MATCH(Prediction!AD$6,Schedules!$A$1:$H$1,0),FALSE),0)</f>
        <v>0</v>
      </c>
      <c r="AE153" s="24">
        <f>IF(AD153=0,0,SUMIFS(Output!$L:$L,Output!$A:$A,Prediction!$A153,Output!$C:$C,Prediction!AD$5))</f>
        <v>0</v>
      </c>
      <c r="AF153" s="24">
        <f t="shared" si="70"/>
        <v>0</v>
      </c>
      <c r="AG153" s="24">
        <f t="shared" si="61"/>
        <v>0</v>
      </c>
      <c r="AH153" s="30">
        <f>SUMIFS(Output!$L:$L,Output!$A:$A,Prediction!$A153,Output!$C:$C,Prediction!AD$5)</f>
        <v>0</v>
      </c>
      <c r="AI153" s="29">
        <f>IFERROR(VLOOKUP($D153,Schedules!$A:$I,MATCH(Prediction!AI$6,Schedules!$A$1:$H$1,0),FALSE),0)</f>
        <v>0</v>
      </c>
      <c r="AJ153" s="24">
        <f>IF(AI153=0,0,SUMIFS(Output!$L:$L,Output!$A:$A,Prediction!$A153,Output!$C:$C,Prediction!AI$5))</f>
        <v>0</v>
      </c>
      <c r="AK153" s="24">
        <f t="shared" si="71"/>
        <v>0</v>
      </c>
      <c r="AL153" s="24">
        <f t="shared" si="62"/>
        <v>0</v>
      </c>
      <c r="AM153" s="30">
        <f>SUMIFS(Output!$L:$L,Output!$A:$A,Prediction!$A153,Output!$C:$C,Prediction!AI$5)</f>
        <v>0</v>
      </c>
      <c r="AN153">
        <f t="shared" si="63"/>
        <v>0</v>
      </c>
      <c r="AO153" s="3">
        <f t="shared" si="64"/>
        <v>0</v>
      </c>
      <c r="AP153" s="44"/>
      <c r="AQ153" s="3">
        <f t="shared" si="72"/>
        <v>0</v>
      </c>
      <c r="AR153" s="3">
        <f t="shared" si="65"/>
        <v>0</v>
      </c>
    </row>
    <row r="154" spans="1:44" x14ac:dyDescent="0.25">
      <c r="A154" s="9" t="str">
        <f t="array" ref="A154">IFERROR(INDEX(Output!A$1:A$2000,MATCH(0,COUNTIF(Prediction!$A$7:A153,Output!A$1:A$2000),0)),"")</f>
        <v/>
      </c>
      <c r="B154" t="str">
        <f>IFERROR(VLOOKUP($A154,Output!$A:$M,2,FALSE),"")</f>
        <v/>
      </c>
      <c r="C154" t="str">
        <f>IFERROR(VLOOKUP(B154,Departments!B:C,2,FALSE),"")</f>
        <v/>
      </c>
      <c r="D154" t="str">
        <f>IFERROR(VLOOKUP($A154,Output!$A:$M,13,FALSE),"")</f>
        <v/>
      </c>
      <c r="E154" s="29">
        <f>IFERROR(VLOOKUP($D154,Schedules!$A:$I,MATCH(Prediction!E$6,Schedules!$A$1:$H$1,0),FALSE),0)</f>
        <v>0</v>
      </c>
      <c r="F154" s="24">
        <f>IF(E154=0,0,SUMIFS(Output!$L:$L,Output!$A:$A,Prediction!$A154,Output!$C:$C,Prediction!E$5))</f>
        <v>0</v>
      </c>
      <c r="G154" s="24">
        <f t="shared" si="66"/>
        <v>0</v>
      </c>
      <c r="H154" s="45">
        <f t="shared" si="73"/>
        <v>0</v>
      </c>
      <c r="I154" s="30">
        <f>SUMIFS(Output!$L:$L,Output!$A:$A,Prediction!$A154,Output!$C:$C,Prediction!E$5)</f>
        <v>0</v>
      </c>
      <c r="J154" s="29">
        <f>IFERROR(VLOOKUP($D154,Schedules!$A:$I,MATCH(Prediction!J$6,Schedules!$A$1:$H$1,0),FALSE),0)</f>
        <v>0</v>
      </c>
      <c r="K154" s="24">
        <f>IF(J154=0,0,SUMIFS(Output!$L:$L,Output!$A:$A,Prediction!$A154,Output!$C:$C,Prediction!J$5))</f>
        <v>0</v>
      </c>
      <c r="L154" s="24">
        <f t="shared" si="67"/>
        <v>0</v>
      </c>
      <c r="M154" s="24">
        <f t="shared" si="56"/>
        <v>0</v>
      </c>
      <c r="N154" s="30">
        <f>SUMIFS(Output!$L:$L,Output!$A:$A,Prediction!$A154,Output!$C:$C,Prediction!J$5)</f>
        <v>0</v>
      </c>
      <c r="O154" s="29">
        <f>IFERROR(VLOOKUP($D154,Schedules!$A:$I,MATCH(Prediction!O$6,Schedules!$A$1:$H$1,0),FALSE),0)</f>
        <v>0</v>
      </c>
      <c r="P154" s="24">
        <f>IF(O154=0,0,SUMIFS(Output!$L:$L,Output!$A:$A,Prediction!$A154,Output!$C:$C,Prediction!O$5))</f>
        <v>0</v>
      </c>
      <c r="Q154" s="24">
        <f t="shared" si="68"/>
        <v>0</v>
      </c>
      <c r="R154" s="24">
        <f t="shared" si="57"/>
        <v>0</v>
      </c>
      <c r="S154" s="30">
        <f>SUMIFS(Output!$L:$L,Output!$A:$A,Prediction!$A154,Output!$C:$C,Prediction!O$5)</f>
        <v>0</v>
      </c>
      <c r="T154" s="29">
        <f>IFERROR(VLOOKUP($D154,Schedules!$A:$I,MATCH(Prediction!T$6,Schedules!$A$1:$H$1,0),FALSE),0)</f>
        <v>0</v>
      </c>
      <c r="U154" s="24">
        <f>IF(T154=0,0,SUMIFS(Output!$L:$L,Output!$A:$A,Prediction!$A154,Output!$C:$C,Prediction!T$5))</f>
        <v>0</v>
      </c>
      <c r="V154" s="24">
        <f t="shared" si="58"/>
        <v>0</v>
      </c>
      <c r="W154" s="24">
        <f t="shared" si="59"/>
        <v>0</v>
      </c>
      <c r="X154" s="30">
        <f>SUMIFS(Output!$L:$L,Output!$A:$A,Prediction!$A154,Output!$C:$C,Prediction!T$5)</f>
        <v>0</v>
      </c>
      <c r="Y154" s="25">
        <f>IFERROR(VLOOKUP($D154,Schedules!$A:$I,MATCH(Prediction!Y$6,Schedules!$A$1:$H$1,0),FALSE),0)</f>
        <v>0</v>
      </c>
      <c r="Z154" s="24">
        <f>IF(Y154=0,0,SUMIFS(Output!$L:$L,Output!$A:$A,Prediction!$A154,Output!$C:$C,Prediction!Y$5))</f>
        <v>0</v>
      </c>
      <c r="AA154" s="24">
        <f t="shared" si="69"/>
        <v>0</v>
      </c>
      <c r="AB154" s="24">
        <f t="shared" si="60"/>
        <v>0</v>
      </c>
      <c r="AC154" s="30">
        <f>SUMIFS(Output!$L:$L,Output!$A:$A,Prediction!$A154,Output!$C:$C,Prediction!Y$5)</f>
        <v>0</v>
      </c>
      <c r="AD154" s="29">
        <f>IFERROR(VLOOKUP($D154,Schedules!$A:$I,MATCH(Prediction!AD$6,Schedules!$A$1:$H$1,0),FALSE),0)</f>
        <v>0</v>
      </c>
      <c r="AE154" s="24">
        <f>IF(AD154=0,0,SUMIFS(Output!$L:$L,Output!$A:$A,Prediction!$A154,Output!$C:$C,Prediction!AD$5))</f>
        <v>0</v>
      </c>
      <c r="AF154" s="24">
        <f t="shared" si="70"/>
        <v>0</v>
      </c>
      <c r="AG154" s="24">
        <f t="shared" si="61"/>
        <v>0</v>
      </c>
      <c r="AH154" s="30">
        <f>SUMIFS(Output!$L:$L,Output!$A:$A,Prediction!$A154,Output!$C:$C,Prediction!AD$5)</f>
        <v>0</v>
      </c>
      <c r="AI154" s="29">
        <f>IFERROR(VLOOKUP($D154,Schedules!$A:$I,MATCH(Prediction!AI$6,Schedules!$A$1:$H$1,0),FALSE),0)</f>
        <v>0</v>
      </c>
      <c r="AJ154" s="24">
        <f>IF(AI154=0,0,SUMIFS(Output!$L:$L,Output!$A:$A,Prediction!$A154,Output!$C:$C,Prediction!AI$5))</f>
        <v>0</v>
      </c>
      <c r="AK154" s="24">
        <f t="shared" si="71"/>
        <v>0</v>
      </c>
      <c r="AL154" s="24">
        <f t="shared" si="62"/>
        <v>0</v>
      </c>
      <c r="AM154" s="30">
        <f>SUMIFS(Output!$L:$L,Output!$A:$A,Prediction!$A154,Output!$C:$C,Prediction!AI$5)</f>
        <v>0</v>
      </c>
      <c r="AN154">
        <f t="shared" si="63"/>
        <v>0</v>
      </c>
      <c r="AO154" s="3">
        <f t="shared" si="64"/>
        <v>0</v>
      </c>
      <c r="AP154" s="44"/>
      <c r="AQ154" s="3">
        <f t="shared" si="72"/>
        <v>0</v>
      </c>
      <c r="AR154" s="3">
        <f t="shared" si="65"/>
        <v>0</v>
      </c>
    </row>
    <row r="155" spans="1:44" x14ac:dyDescent="0.25">
      <c r="A155" s="9" t="str">
        <f t="array" ref="A155">IFERROR(INDEX(Output!A$1:A$2000,MATCH(0,COUNTIF(Prediction!$A$7:A154,Output!A$1:A$2000),0)),"")</f>
        <v/>
      </c>
      <c r="B155" t="str">
        <f>IFERROR(VLOOKUP($A155,Output!$A:$M,2,FALSE),"")</f>
        <v/>
      </c>
      <c r="C155" t="str">
        <f>IFERROR(VLOOKUP(B155,Departments!B:C,2,FALSE),"")</f>
        <v/>
      </c>
      <c r="D155" t="str">
        <f>IFERROR(VLOOKUP($A155,Output!$A:$M,13,FALSE),"")</f>
        <v/>
      </c>
      <c r="E155" s="29">
        <f>IFERROR(VLOOKUP($D155,Schedules!$A:$I,MATCH(Prediction!E$6,Schedules!$A$1:$H$1,0),FALSE),0)</f>
        <v>0</v>
      </c>
      <c r="F155" s="24">
        <f>IF(E155=0,0,SUMIFS(Output!$L:$L,Output!$A:$A,Prediction!$A155,Output!$C:$C,Prediction!E$5))</f>
        <v>0</v>
      </c>
      <c r="G155" s="24">
        <f t="shared" si="66"/>
        <v>0</v>
      </c>
      <c r="H155" s="45">
        <f t="shared" si="73"/>
        <v>0</v>
      </c>
      <c r="I155" s="30">
        <f>SUMIFS(Output!$L:$L,Output!$A:$A,Prediction!$A155,Output!$C:$C,Prediction!E$5)</f>
        <v>0</v>
      </c>
      <c r="J155" s="29">
        <f>IFERROR(VLOOKUP($D155,Schedules!$A:$I,MATCH(Prediction!J$6,Schedules!$A$1:$H$1,0),FALSE),0)</f>
        <v>0</v>
      </c>
      <c r="K155" s="24">
        <f>IF(J155=0,0,SUMIFS(Output!$L:$L,Output!$A:$A,Prediction!$A155,Output!$C:$C,Prediction!J$5))</f>
        <v>0</v>
      </c>
      <c r="L155" s="24">
        <f t="shared" si="67"/>
        <v>0</v>
      </c>
      <c r="M155" s="24">
        <f t="shared" si="56"/>
        <v>0</v>
      </c>
      <c r="N155" s="30">
        <f>SUMIFS(Output!$L:$L,Output!$A:$A,Prediction!$A155,Output!$C:$C,Prediction!J$5)</f>
        <v>0</v>
      </c>
      <c r="O155" s="29">
        <f>IFERROR(VLOOKUP($D155,Schedules!$A:$I,MATCH(Prediction!O$6,Schedules!$A$1:$H$1,0),FALSE),0)</f>
        <v>0</v>
      </c>
      <c r="P155" s="24">
        <f>IF(O155=0,0,SUMIFS(Output!$L:$L,Output!$A:$A,Prediction!$A155,Output!$C:$C,Prediction!O$5))</f>
        <v>0</v>
      </c>
      <c r="Q155" s="24">
        <f t="shared" si="68"/>
        <v>0</v>
      </c>
      <c r="R155" s="24">
        <f t="shared" si="57"/>
        <v>0</v>
      </c>
      <c r="S155" s="30">
        <f>SUMIFS(Output!$L:$L,Output!$A:$A,Prediction!$A155,Output!$C:$C,Prediction!O$5)</f>
        <v>0</v>
      </c>
      <c r="T155" s="29">
        <f>IFERROR(VLOOKUP($D155,Schedules!$A:$I,MATCH(Prediction!T$6,Schedules!$A$1:$H$1,0),FALSE),0)</f>
        <v>0</v>
      </c>
      <c r="U155" s="24">
        <f>IF(T155=0,0,SUMIFS(Output!$L:$L,Output!$A:$A,Prediction!$A155,Output!$C:$C,Prediction!T$5))</f>
        <v>0</v>
      </c>
      <c r="V155" s="24">
        <f t="shared" si="58"/>
        <v>0</v>
      </c>
      <c r="W155" s="24">
        <f t="shared" si="59"/>
        <v>0</v>
      </c>
      <c r="X155" s="30">
        <f>SUMIFS(Output!$L:$L,Output!$A:$A,Prediction!$A155,Output!$C:$C,Prediction!T$5)</f>
        <v>0</v>
      </c>
      <c r="Y155" s="25">
        <f>IFERROR(VLOOKUP($D155,Schedules!$A:$I,MATCH(Prediction!Y$6,Schedules!$A$1:$H$1,0),FALSE),0)</f>
        <v>0</v>
      </c>
      <c r="Z155" s="24">
        <f>IF(Y155=0,0,SUMIFS(Output!$L:$L,Output!$A:$A,Prediction!$A155,Output!$C:$C,Prediction!Y$5))</f>
        <v>0</v>
      </c>
      <c r="AA155" s="24">
        <f t="shared" si="69"/>
        <v>0</v>
      </c>
      <c r="AB155" s="24">
        <f t="shared" si="60"/>
        <v>0</v>
      </c>
      <c r="AC155" s="30">
        <f>SUMIFS(Output!$L:$L,Output!$A:$A,Prediction!$A155,Output!$C:$C,Prediction!Y$5)</f>
        <v>0</v>
      </c>
      <c r="AD155" s="29">
        <f>IFERROR(VLOOKUP($D155,Schedules!$A:$I,MATCH(Prediction!AD$6,Schedules!$A$1:$H$1,0),FALSE),0)</f>
        <v>0</v>
      </c>
      <c r="AE155" s="24">
        <f>IF(AD155=0,0,SUMIFS(Output!$L:$L,Output!$A:$A,Prediction!$A155,Output!$C:$C,Prediction!AD$5))</f>
        <v>0</v>
      </c>
      <c r="AF155" s="24">
        <f t="shared" si="70"/>
        <v>0</v>
      </c>
      <c r="AG155" s="24">
        <f t="shared" si="61"/>
        <v>0</v>
      </c>
      <c r="AH155" s="30">
        <f>SUMIFS(Output!$L:$L,Output!$A:$A,Prediction!$A155,Output!$C:$C,Prediction!AD$5)</f>
        <v>0</v>
      </c>
      <c r="AI155" s="29">
        <f>IFERROR(VLOOKUP($D155,Schedules!$A:$I,MATCH(Prediction!AI$6,Schedules!$A$1:$H$1,0),FALSE),0)</f>
        <v>0</v>
      </c>
      <c r="AJ155" s="24">
        <f>IF(AI155=0,0,SUMIFS(Output!$L:$L,Output!$A:$A,Prediction!$A155,Output!$C:$C,Prediction!AI$5))</f>
        <v>0</v>
      </c>
      <c r="AK155" s="24">
        <f t="shared" si="71"/>
        <v>0</v>
      </c>
      <c r="AL155" s="24">
        <f t="shared" si="62"/>
        <v>0</v>
      </c>
      <c r="AM155" s="30">
        <f>SUMIFS(Output!$L:$L,Output!$A:$A,Prediction!$A155,Output!$C:$C,Prediction!AI$5)</f>
        <v>0</v>
      </c>
      <c r="AN155">
        <f t="shared" si="63"/>
        <v>0</v>
      </c>
      <c r="AO155" s="3">
        <f t="shared" si="64"/>
        <v>0</v>
      </c>
      <c r="AP155" s="44"/>
      <c r="AQ155" s="3">
        <f t="shared" si="72"/>
        <v>0</v>
      </c>
      <c r="AR155" s="3">
        <f t="shared" si="65"/>
        <v>0</v>
      </c>
    </row>
    <row r="156" spans="1:44" x14ac:dyDescent="0.25">
      <c r="A156" s="9" t="str">
        <f t="array" ref="A156">IFERROR(INDEX(Output!A$1:A$2000,MATCH(0,COUNTIF(Prediction!$A$7:A155,Output!A$1:A$2000),0)),"")</f>
        <v/>
      </c>
      <c r="B156" t="str">
        <f>IFERROR(VLOOKUP($A156,Output!$A:$M,2,FALSE),"")</f>
        <v/>
      </c>
      <c r="C156" t="str">
        <f>IFERROR(VLOOKUP(B156,Departments!B:C,2,FALSE),"")</f>
        <v/>
      </c>
      <c r="D156" t="str">
        <f>IFERROR(VLOOKUP($A156,Output!$A:$M,13,FALSE),"")</f>
        <v/>
      </c>
      <c r="E156" s="29">
        <f>IFERROR(VLOOKUP($D156,Schedules!$A:$I,MATCH(Prediction!E$6,Schedules!$A$1:$H$1,0),FALSE),0)</f>
        <v>0</v>
      </c>
      <c r="F156" s="24">
        <f>IF(E156=0,0,SUMIFS(Output!$L:$L,Output!$A:$A,Prediction!$A156,Output!$C:$C,Prediction!E$5))</f>
        <v>0</v>
      </c>
      <c r="G156" s="24">
        <f t="shared" si="66"/>
        <v>0</v>
      </c>
      <c r="H156" s="45">
        <f t="shared" si="73"/>
        <v>0</v>
      </c>
      <c r="I156" s="30">
        <f>SUMIFS(Output!$L:$L,Output!$A:$A,Prediction!$A156,Output!$C:$C,Prediction!E$5)</f>
        <v>0</v>
      </c>
      <c r="J156" s="29">
        <f>IFERROR(VLOOKUP($D156,Schedules!$A:$I,MATCH(Prediction!J$6,Schedules!$A$1:$H$1,0),FALSE),0)</f>
        <v>0</v>
      </c>
      <c r="K156" s="24">
        <f>IF(J156=0,0,SUMIFS(Output!$L:$L,Output!$A:$A,Prediction!$A156,Output!$C:$C,Prediction!J$5))</f>
        <v>0</v>
      </c>
      <c r="L156" s="24">
        <f t="shared" si="67"/>
        <v>0</v>
      </c>
      <c r="M156" s="24">
        <f t="shared" si="56"/>
        <v>0</v>
      </c>
      <c r="N156" s="30">
        <f>SUMIFS(Output!$L:$L,Output!$A:$A,Prediction!$A156,Output!$C:$C,Prediction!J$5)</f>
        <v>0</v>
      </c>
      <c r="O156" s="29">
        <f>IFERROR(VLOOKUP($D156,Schedules!$A:$I,MATCH(Prediction!O$6,Schedules!$A$1:$H$1,0),FALSE),0)</f>
        <v>0</v>
      </c>
      <c r="P156" s="24">
        <f>IF(O156=0,0,SUMIFS(Output!$L:$L,Output!$A:$A,Prediction!$A156,Output!$C:$C,Prediction!O$5))</f>
        <v>0</v>
      </c>
      <c r="Q156" s="24">
        <f t="shared" si="68"/>
        <v>0</v>
      </c>
      <c r="R156" s="24">
        <f t="shared" si="57"/>
        <v>0</v>
      </c>
      <c r="S156" s="30">
        <f>SUMIFS(Output!$L:$L,Output!$A:$A,Prediction!$A156,Output!$C:$C,Prediction!O$5)</f>
        <v>0</v>
      </c>
      <c r="T156" s="29">
        <f>IFERROR(VLOOKUP($D156,Schedules!$A:$I,MATCH(Prediction!T$6,Schedules!$A$1:$H$1,0),FALSE),0)</f>
        <v>0</v>
      </c>
      <c r="U156" s="24">
        <f>IF(T156=0,0,SUMIFS(Output!$L:$L,Output!$A:$A,Prediction!$A156,Output!$C:$C,Prediction!T$5))</f>
        <v>0</v>
      </c>
      <c r="V156" s="24">
        <f t="shared" si="58"/>
        <v>0</v>
      </c>
      <c r="W156" s="24">
        <f t="shared" si="59"/>
        <v>0</v>
      </c>
      <c r="X156" s="30">
        <f>SUMIFS(Output!$L:$L,Output!$A:$A,Prediction!$A156,Output!$C:$C,Prediction!T$5)</f>
        <v>0</v>
      </c>
      <c r="Y156" s="25">
        <f>IFERROR(VLOOKUP($D156,Schedules!$A:$I,MATCH(Prediction!Y$6,Schedules!$A$1:$H$1,0),FALSE),0)</f>
        <v>0</v>
      </c>
      <c r="Z156" s="24">
        <f>IF(Y156=0,0,SUMIFS(Output!$L:$L,Output!$A:$A,Prediction!$A156,Output!$C:$C,Prediction!Y$5))</f>
        <v>0</v>
      </c>
      <c r="AA156" s="24">
        <f t="shared" si="69"/>
        <v>0</v>
      </c>
      <c r="AB156" s="24">
        <f t="shared" si="60"/>
        <v>0</v>
      </c>
      <c r="AC156" s="30">
        <f>SUMIFS(Output!$L:$L,Output!$A:$A,Prediction!$A156,Output!$C:$C,Prediction!Y$5)</f>
        <v>0</v>
      </c>
      <c r="AD156" s="29">
        <f>IFERROR(VLOOKUP($D156,Schedules!$A:$I,MATCH(Prediction!AD$6,Schedules!$A$1:$H$1,0),FALSE),0)</f>
        <v>0</v>
      </c>
      <c r="AE156" s="24">
        <f>IF(AD156=0,0,SUMIFS(Output!$L:$L,Output!$A:$A,Prediction!$A156,Output!$C:$C,Prediction!AD$5))</f>
        <v>0</v>
      </c>
      <c r="AF156" s="24">
        <f t="shared" si="70"/>
        <v>0</v>
      </c>
      <c r="AG156" s="24">
        <f t="shared" si="61"/>
        <v>0</v>
      </c>
      <c r="AH156" s="30">
        <f>SUMIFS(Output!$L:$L,Output!$A:$A,Prediction!$A156,Output!$C:$C,Prediction!AD$5)</f>
        <v>0</v>
      </c>
      <c r="AI156" s="29">
        <f>IFERROR(VLOOKUP($D156,Schedules!$A:$I,MATCH(Prediction!AI$6,Schedules!$A$1:$H$1,0),FALSE),0)</f>
        <v>0</v>
      </c>
      <c r="AJ156" s="24">
        <f>IF(AI156=0,0,SUMIFS(Output!$L:$L,Output!$A:$A,Prediction!$A156,Output!$C:$C,Prediction!AI$5))</f>
        <v>0</v>
      </c>
      <c r="AK156" s="24">
        <f t="shared" si="71"/>
        <v>0</v>
      </c>
      <c r="AL156" s="24">
        <f t="shared" si="62"/>
        <v>0</v>
      </c>
      <c r="AM156" s="30">
        <f>SUMIFS(Output!$L:$L,Output!$A:$A,Prediction!$A156,Output!$C:$C,Prediction!AI$5)</f>
        <v>0</v>
      </c>
      <c r="AN156">
        <f t="shared" si="63"/>
        <v>0</v>
      </c>
      <c r="AO156" s="3">
        <f t="shared" si="64"/>
        <v>0</v>
      </c>
      <c r="AP156" s="44"/>
      <c r="AQ156" s="3">
        <f t="shared" si="72"/>
        <v>0</v>
      </c>
      <c r="AR156" s="3">
        <f t="shared" si="65"/>
        <v>0</v>
      </c>
    </row>
    <row r="157" spans="1:44" x14ac:dyDescent="0.25">
      <c r="A157" s="9" t="str">
        <f t="array" ref="A157">IFERROR(INDEX(Output!A$1:A$2000,MATCH(0,COUNTIF(Prediction!$A$7:A156,Output!A$1:A$2000),0)),"")</f>
        <v/>
      </c>
      <c r="B157" t="str">
        <f>IFERROR(VLOOKUP($A157,Output!$A:$M,2,FALSE),"")</f>
        <v/>
      </c>
      <c r="C157" t="str">
        <f>IFERROR(VLOOKUP(B157,Departments!B:C,2,FALSE),"")</f>
        <v/>
      </c>
      <c r="D157" t="str">
        <f>IFERROR(VLOOKUP($A157,Output!$A:$M,13,FALSE),"")</f>
        <v/>
      </c>
      <c r="E157" s="29">
        <f>IFERROR(VLOOKUP($D157,Schedules!$A:$I,MATCH(Prediction!E$6,Schedules!$A$1:$H$1,0),FALSE),0)</f>
        <v>0</v>
      </c>
      <c r="F157" s="24">
        <f>IF(E157=0,0,SUMIFS(Output!$L:$L,Output!$A:$A,Prediction!$A157,Output!$C:$C,Prediction!E$5))</f>
        <v>0</v>
      </c>
      <c r="G157" s="24">
        <f t="shared" si="66"/>
        <v>0</v>
      </c>
      <c r="H157" s="45">
        <f t="shared" si="73"/>
        <v>0</v>
      </c>
      <c r="I157" s="30">
        <f>SUMIFS(Output!$L:$L,Output!$A:$A,Prediction!$A157,Output!$C:$C,Prediction!E$5)</f>
        <v>0</v>
      </c>
      <c r="J157" s="29">
        <f>IFERROR(VLOOKUP($D157,Schedules!$A:$I,MATCH(Prediction!J$6,Schedules!$A$1:$H$1,0),FALSE),0)</f>
        <v>0</v>
      </c>
      <c r="K157" s="24">
        <f>IF(J157=0,0,SUMIFS(Output!$L:$L,Output!$A:$A,Prediction!$A157,Output!$C:$C,Prediction!J$5))</f>
        <v>0</v>
      </c>
      <c r="L157" s="24">
        <f t="shared" si="67"/>
        <v>0</v>
      </c>
      <c r="M157" s="24">
        <f t="shared" si="56"/>
        <v>0</v>
      </c>
      <c r="N157" s="30">
        <f>SUMIFS(Output!$L:$L,Output!$A:$A,Prediction!$A157,Output!$C:$C,Prediction!J$5)</f>
        <v>0</v>
      </c>
      <c r="O157" s="29">
        <f>IFERROR(VLOOKUP($D157,Schedules!$A:$I,MATCH(Prediction!O$6,Schedules!$A$1:$H$1,0),FALSE),0)</f>
        <v>0</v>
      </c>
      <c r="P157" s="24">
        <f>IF(O157=0,0,SUMIFS(Output!$L:$L,Output!$A:$A,Prediction!$A157,Output!$C:$C,Prediction!O$5))</f>
        <v>0</v>
      </c>
      <c r="Q157" s="24">
        <f t="shared" si="68"/>
        <v>0</v>
      </c>
      <c r="R157" s="24">
        <f t="shared" si="57"/>
        <v>0</v>
      </c>
      <c r="S157" s="30">
        <f>SUMIFS(Output!$L:$L,Output!$A:$A,Prediction!$A157,Output!$C:$C,Prediction!O$5)</f>
        <v>0</v>
      </c>
      <c r="T157" s="29">
        <f>IFERROR(VLOOKUP($D157,Schedules!$A:$I,MATCH(Prediction!T$6,Schedules!$A$1:$H$1,0),FALSE),0)</f>
        <v>0</v>
      </c>
      <c r="U157" s="24">
        <f>IF(T157=0,0,SUMIFS(Output!$L:$L,Output!$A:$A,Prediction!$A157,Output!$C:$C,Prediction!T$5))</f>
        <v>0</v>
      </c>
      <c r="V157" s="24">
        <f t="shared" si="58"/>
        <v>0</v>
      </c>
      <c r="W157" s="24">
        <f t="shared" si="59"/>
        <v>0</v>
      </c>
      <c r="X157" s="30">
        <f>SUMIFS(Output!$L:$L,Output!$A:$A,Prediction!$A157,Output!$C:$C,Prediction!T$5)</f>
        <v>0</v>
      </c>
      <c r="Y157" s="25">
        <f>IFERROR(VLOOKUP($D157,Schedules!$A:$I,MATCH(Prediction!Y$6,Schedules!$A$1:$H$1,0),FALSE),0)</f>
        <v>0</v>
      </c>
      <c r="Z157" s="24">
        <f>IF(Y157=0,0,SUMIFS(Output!$L:$L,Output!$A:$A,Prediction!$A157,Output!$C:$C,Prediction!Y$5))</f>
        <v>0</v>
      </c>
      <c r="AA157" s="24">
        <f t="shared" si="69"/>
        <v>0</v>
      </c>
      <c r="AB157" s="24">
        <f t="shared" si="60"/>
        <v>0</v>
      </c>
      <c r="AC157" s="30">
        <f>SUMIFS(Output!$L:$L,Output!$A:$A,Prediction!$A157,Output!$C:$C,Prediction!Y$5)</f>
        <v>0</v>
      </c>
      <c r="AD157" s="29">
        <f>IFERROR(VLOOKUP($D157,Schedules!$A:$I,MATCH(Prediction!AD$6,Schedules!$A$1:$H$1,0),FALSE),0)</f>
        <v>0</v>
      </c>
      <c r="AE157" s="24">
        <f>IF(AD157=0,0,SUMIFS(Output!$L:$L,Output!$A:$A,Prediction!$A157,Output!$C:$C,Prediction!AD$5))</f>
        <v>0</v>
      </c>
      <c r="AF157" s="24">
        <f t="shared" si="70"/>
        <v>0</v>
      </c>
      <c r="AG157" s="24">
        <f t="shared" si="61"/>
        <v>0</v>
      </c>
      <c r="AH157" s="30">
        <f>SUMIFS(Output!$L:$L,Output!$A:$A,Prediction!$A157,Output!$C:$C,Prediction!AD$5)</f>
        <v>0</v>
      </c>
      <c r="AI157" s="29">
        <f>IFERROR(VLOOKUP($D157,Schedules!$A:$I,MATCH(Prediction!AI$6,Schedules!$A$1:$H$1,0),FALSE),0)</f>
        <v>0</v>
      </c>
      <c r="AJ157" s="24">
        <f>IF(AI157=0,0,SUMIFS(Output!$L:$L,Output!$A:$A,Prediction!$A157,Output!$C:$C,Prediction!AI$5))</f>
        <v>0</v>
      </c>
      <c r="AK157" s="24">
        <f t="shared" si="71"/>
        <v>0</v>
      </c>
      <c r="AL157" s="24">
        <f t="shared" si="62"/>
        <v>0</v>
      </c>
      <c r="AM157" s="30">
        <f>SUMIFS(Output!$L:$L,Output!$A:$A,Prediction!$A157,Output!$C:$C,Prediction!AI$5)</f>
        <v>0</v>
      </c>
      <c r="AN157">
        <f t="shared" si="63"/>
        <v>0</v>
      </c>
      <c r="AO157" s="3">
        <f t="shared" si="64"/>
        <v>0</v>
      </c>
      <c r="AP157" s="44"/>
      <c r="AQ157" s="3">
        <f t="shared" si="72"/>
        <v>0</v>
      </c>
      <c r="AR157" s="3">
        <f t="shared" si="65"/>
        <v>0</v>
      </c>
    </row>
    <row r="158" spans="1:44" x14ac:dyDescent="0.25">
      <c r="A158" s="9" t="str">
        <f t="array" ref="A158">IFERROR(INDEX(Output!A$1:A$2000,MATCH(0,COUNTIF(Prediction!$A$7:A157,Output!A$1:A$2000),0)),"")</f>
        <v/>
      </c>
      <c r="B158" t="str">
        <f>IFERROR(VLOOKUP($A158,Output!$A:$M,2,FALSE),"")</f>
        <v/>
      </c>
      <c r="C158" t="str">
        <f>IFERROR(VLOOKUP(B158,Departments!B:C,2,FALSE),"")</f>
        <v/>
      </c>
      <c r="D158" t="str">
        <f>IFERROR(VLOOKUP($A158,Output!$A:$M,13,FALSE),"")</f>
        <v/>
      </c>
      <c r="E158" s="29">
        <f>IFERROR(VLOOKUP($D158,Schedules!$A:$I,MATCH(Prediction!E$6,Schedules!$A$1:$H$1,0),FALSE),0)</f>
        <v>0</v>
      </c>
      <c r="F158" s="24">
        <f>IF(E158=0,0,SUMIFS(Output!$L:$L,Output!$A:$A,Prediction!$A158,Output!$C:$C,Prediction!E$5))</f>
        <v>0</v>
      </c>
      <c r="G158" s="24">
        <f t="shared" si="66"/>
        <v>0</v>
      </c>
      <c r="H158" s="45">
        <f t="shared" si="73"/>
        <v>0</v>
      </c>
      <c r="I158" s="30">
        <f>SUMIFS(Output!$L:$L,Output!$A:$A,Prediction!$A158,Output!$C:$C,Prediction!E$5)</f>
        <v>0</v>
      </c>
      <c r="J158" s="29">
        <f>IFERROR(VLOOKUP($D158,Schedules!$A:$I,MATCH(Prediction!J$6,Schedules!$A$1:$H$1,0),FALSE),0)</f>
        <v>0</v>
      </c>
      <c r="K158" s="24">
        <f>IF(J158=0,0,SUMIFS(Output!$L:$L,Output!$A:$A,Prediction!$A158,Output!$C:$C,Prediction!J$5))</f>
        <v>0</v>
      </c>
      <c r="L158" s="24">
        <f t="shared" si="67"/>
        <v>0</v>
      </c>
      <c r="M158" s="24">
        <f t="shared" si="56"/>
        <v>0</v>
      </c>
      <c r="N158" s="30">
        <f>SUMIFS(Output!$L:$L,Output!$A:$A,Prediction!$A158,Output!$C:$C,Prediction!J$5)</f>
        <v>0</v>
      </c>
      <c r="O158" s="29">
        <f>IFERROR(VLOOKUP($D158,Schedules!$A:$I,MATCH(Prediction!O$6,Schedules!$A$1:$H$1,0),FALSE),0)</f>
        <v>0</v>
      </c>
      <c r="P158" s="24">
        <f>IF(O158=0,0,SUMIFS(Output!$L:$L,Output!$A:$A,Prediction!$A158,Output!$C:$C,Prediction!O$5))</f>
        <v>0</v>
      </c>
      <c r="Q158" s="24">
        <f t="shared" si="68"/>
        <v>0</v>
      </c>
      <c r="R158" s="24">
        <f t="shared" si="57"/>
        <v>0</v>
      </c>
      <c r="S158" s="30">
        <f>SUMIFS(Output!$L:$L,Output!$A:$A,Prediction!$A158,Output!$C:$C,Prediction!O$5)</f>
        <v>0</v>
      </c>
      <c r="T158" s="29">
        <f>IFERROR(VLOOKUP($D158,Schedules!$A:$I,MATCH(Prediction!T$6,Schedules!$A$1:$H$1,0),FALSE),0)</f>
        <v>0</v>
      </c>
      <c r="U158" s="24">
        <f>IF(T158=0,0,SUMIFS(Output!$L:$L,Output!$A:$A,Prediction!$A158,Output!$C:$C,Prediction!T$5))</f>
        <v>0</v>
      </c>
      <c r="V158" s="24">
        <f t="shared" si="58"/>
        <v>0</v>
      </c>
      <c r="W158" s="24">
        <f t="shared" si="59"/>
        <v>0</v>
      </c>
      <c r="X158" s="30">
        <f>SUMIFS(Output!$L:$L,Output!$A:$A,Prediction!$A158,Output!$C:$C,Prediction!T$5)</f>
        <v>0</v>
      </c>
      <c r="Y158" s="25">
        <f>IFERROR(VLOOKUP($D158,Schedules!$A:$I,MATCH(Prediction!Y$6,Schedules!$A$1:$H$1,0),FALSE),0)</f>
        <v>0</v>
      </c>
      <c r="Z158" s="24">
        <f>IF(Y158=0,0,SUMIFS(Output!$L:$L,Output!$A:$A,Prediction!$A158,Output!$C:$C,Prediction!Y$5))</f>
        <v>0</v>
      </c>
      <c r="AA158" s="24">
        <f t="shared" si="69"/>
        <v>0</v>
      </c>
      <c r="AB158" s="24">
        <f t="shared" si="60"/>
        <v>0</v>
      </c>
      <c r="AC158" s="30">
        <f>SUMIFS(Output!$L:$L,Output!$A:$A,Prediction!$A158,Output!$C:$C,Prediction!Y$5)</f>
        <v>0</v>
      </c>
      <c r="AD158" s="29">
        <f>IFERROR(VLOOKUP($D158,Schedules!$A:$I,MATCH(Prediction!AD$6,Schedules!$A$1:$H$1,0),FALSE),0)</f>
        <v>0</v>
      </c>
      <c r="AE158" s="24">
        <f>IF(AD158=0,0,SUMIFS(Output!$L:$L,Output!$A:$A,Prediction!$A158,Output!$C:$C,Prediction!AD$5))</f>
        <v>0</v>
      </c>
      <c r="AF158" s="24">
        <f t="shared" si="70"/>
        <v>0</v>
      </c>
      <c r="AG158" s="24">
        <f t="shared" si="61"/>
        <v>0</v>
      </c>
      <c r="AH158" s="30">
        <f>SUMIFS(Output!$L:$L,Output!$A:$A,Prediction!$A158,Output!$C:$C,Prediction!AD$5)</f>
        <v>0</v>
      </c>
      <c r="AI158" s="29">
        <f>IFERROR(VLOOKUP($D158,Schedules!$A:$I,MATCH(Prediction!AI$6,Schedules!$A$1:$H$1,0),FALSE),0)</f>
        <v>0</v>
      </c>
      <c r="AJ158" s="24">
        <f>IF(AI158=0,0,SUMIFS(Output!$L:$L,Output!$A:$A,Prediction!$A158,Output!$C:$C,Prediction!AI$5))</f>
        <v>0</v>
      </c>
      <c r="AK158" s="24">
        <f t="shared" si="71"/>
        <v>0</v>
      </c>
      <c r="AL158" s="24">
        <f t="shared" si="62"/>
        <v>0</v>
      </c>
      <c r="AM158" s="30">
        <f>SUMIFS(Output!$L:$L,Output!$A:$A,Prediction!$A158,Output!$C:$C,Prediction!AI$5)</f>
        <v>0</v>
      </c>
      <c r="AN158">
        <f t="shared" si="63"/>
        <v>0</v>
      </c>
      <c r="AO158" s="3">
        <f t="shared" si="64"/>
        <v>0</v>
      </c>
      <c r="AP158" s="44"/>
      <c r="AQ158" s="3">
        <f t="shared" si="72"/>
        <v>0</v>
      </c>
      <c r="AR158" s="3">
        <f t="shared" si="65"/>
        <v>0</v>
      </c>
    </row>
    <row r="159" spans="1:44" x14ac:dyDescent="0.25">
      <c r="A159" s="9" t="str">
        <f t="array" ref="A159">IFERROR(INDEX(Output!A$1:A$2000,MATCH(0,COUNTIF(Prediction!$A$7:A158,Output!A$1:A$2000),0)),"")</f>
        <v/>
      </c>
      <c r="B159" t="str">
        <f>IFERROR(VLOOKUP($A159,Output!$A:$M,2,FALSE),"")</f>
        <v/>
      </c>
      <c r="C159" t="str">
        <f>IFERROR(VLOOKUP(B159,Departments!B:C,2,FALSE),"")</f>
        <v/>
      </c>
      <c r="D159" t="str">
        <f>IFERROR(VLOOKUP($A159,Output!$A:$M,13,FALSE),"")</f>
        <v/>
      </c>
      <c r="E159" s="29">
        <f>IFERROR(VLOOKUP($D159,Schedules!$A:$I,MATCH(Prediction!E$6,Schedules!$A$1:$H$1,0),FALSE),0)</f>
        <v>0</v>
      </c>
      <c r="F159" s="24">
        <f>IF(E159=0,0,SUMIFS(Output!$L:$L,Output!$A:$A,Prediction!$A159,Output!$C:$C,Prediction!E$5))</f>
        <v>0</v>
      </c>
      <c r="G159" s="24">
        <f t="shared" si="66"/>
        <v>0</v>
      </c>
      <c r="H159" s="45">
        <f t="shared" si="73"/>
        <v>0</v>
      </c>
      <c r="I159" s="30">
        <f>SUMIFS(Output!$L:$L,Output!$A:$A,Prediction!$A159,Output!$C:$C,Prediction!E$5)</f>
        <v>0</v>
      </c>
      <c r="J159" s="29">
        <f>IFERROR(VLOOKUP($D159,Schedules!$A:$I,MATCH(Prediction!J$6,Schedules!$A$1:$H$1,0),FALSE),0)</f>
        <v>0</v>
      </c>
      <c r="K159" s="24">
        <f>IF(J159=0,0,SUMIFS(Output!$L:$L,Output!$A:$A,Prediction!$A159,Output!$C:$C,Prediction!J$5))</f>
        <v>0</v>
      </c>
      <c r="L159" s="24">
        <f t="shared" si="67"/>
        <v>0</v>
      </c>
      <c r="M159" s="24">
        <f t="shared" si="56"/>
        <v>0</v>
      </c>
      <c r="N159" s="30">
        <f>SUMIFS(Output!$L:$L,Output!$A:$A,Prediction!$A159,Output!$C:$C,Prediction!J$5)</f>
        <v>0</v>
      </c>
      <c r="O159" s="29">
        <f>IFERROR(VLOOKUP($D159,Schedules!$A:$I,MATCH(Prediction!O$6,Schedules!$A$1:$H$1,0),FALSE),0)</f>
        <v>0</v>
      </c>
      <c r="P159" s="24">
        <f>IF(O159=0,0,SUMIFS(Output!$L:$L,Output!$A:$A,Prediction!$A159,Output!$C:$C,Prediction!O$5))</f>
        <v>0</v>
      </c>
      <c r="Q159" s="24">
        <f t="shared" si="68"/>
        <v>0</v>
      </c>
      <c r="R159" s="24">
        <f t="shared" si="57"/>
        <v>0</v>
      </c>
      <c r="S159" s="30">
        <f>SUMIFS(Output!$L:$L,Output!$A:$A,Prediction!$A159,Output!$C:$C,Prediction!O$5)</f>
        <v>0</v>
      </c>
      <c r="T159" s="29">
        <f>IFERROR(VLOOKUP($D159,Schedules!$A:$I,MATCH(Prediction!T$6,Schedules!$A$1:$H$1,0),FALSE),0)</f>
        <v>0</v>
      </c>
      <c r="U159" s="24">
        <f>IF(T159=0,0,SUMIFS(Output!$L:$L,Output!$A:$A,Prediction!$A159,Output!$C:$C,Prediction!T$5))</f>
        <v>0</v>
      </c>
      <c r="V159" s="24">
        <f t="shared" si="58"/>
        <v>0</v>
      </c>
      <c r="W159" s="24">
        <f t="shared" si="59"/>
        <v>0</v>
      </c>
      <c r="X159" s="30">
        <f>SUMIFS(Output!$L:$L,Output!$A:$A,Prediction!$A159,Output!$C:$C,Prediction!T$5)</f>
        <v>0</v>
      </c>
      <c r="Y159" s="25">
        <f>IFERROR(VLOOKUP($D159,Schedules!$A:$I,MATCH(Prediction!Y$6,Schedules!$A$1:$H$1,0),FALSE),0)</f>
        <v>0</v>
      </c>
      <c r="Z159" s="24">
        <f>IF(Y159=0,0,SUMIFS(Output!$L:$L,Output!$A:$A,Prediction!$A159,Output!$C:$C,Prediction!Y$5))</f>
        <v>0</v>
      </c>
      <c r="AA159" s="24">
        <f t="shared" si="69"/>
        <v>0</v>
      </c>
      <c r="AB159" s="24">
        <f t="shared" si="60"/>
        <v>0</v>
      </c>
      <c r="AC159" s="30">
        <f>SUMIFS(Output!$L:$L,Output!$A:$A,Prediction!$A159,Output!$C:$C,Prediction!Y$5)</f>
        <v>0</v>
      </c>
      <c r="AD159" s="29">
        <f>IFERROR(VLOOKUP($D159,Schedules!$A:$I,MATCH(Prediction!AD$6,Schedules!$A$1:$H$1,0),FALSE),0)</f>
        <v>0</v>
      </c>
      <c r="AE159" s="24">
        <f>IF(AD159=0,0,SUMIFS(Output!$L:$L,Output!$A:$A,Prediction!$A159,Output!$C:$C,Prediction!AD$5))</f>
        <v>0</v>
      </c>
      <c r="AF159" s="24">
        <f t="shared" si="70"/>
        <v>0</v>
      </c>
      <c r="AG159" s="24">
        <f t="shared" si="61"/>
        <v>0</v>
      </c>
      <c r="AH159" s="30">
        <f>SUMIFS(Output!$L:$L,Output!$A:$A,Prediction!$A159,Output!$C:$C,Prediction!AD$5)</f>
        <v>0</v>
      </c>
      <c r="AI159" s="29">
        <f>IFERROR(VLOOKUP($D159,Schedules!$A:$I,MATCH(Prediction!AI$6,Schedules!$A$1:$H$1,0),FALSE),0)</f>
        <v>0</v>
      </c>
      <c r="AJ159" s="24">
        <f>IF(AI159=0,0,SUMIFS(Output!$L:$L,Output!$A:$A,Prediction!$A159,Output!$C:$C,Prediction!AI$5))</f>
        <v>0</v>
      </c>
      <c r="AK159" s="24">
        <f t="shared" si="71"/>
        <v>0</v>
      </c>
      <c r="AL159" s="24">
        <f t="shared" si="62"/>
        <v>0</v>
      </c>
      <c r="AM159" s="30">
        <f>SUMIFS(Output!$L:$L,Output!$A:$A,Prediction!$A159,Output!$C:$C,Prediction!AI$5)</f>
        <v>0</v>
      </c>
      <c r="AN159">
        <f t="shared" si="63"/>
        <v>0</v>
      </c>
      <c r="AO159" s="3">
        <f t="shared" si="64"/>
        <v>0</v>
      </c>
      <c r="AP159" s="44"/>
      <c r="AQ159" s="3">
        <f t="shared" si="72"/>
        <v>0</v>
      </c>
      <c r="AR159" s="3">
        <f t="shared" si="65"/>
        <v>0</v>
      </c>
    </row>
    <row r="160" spans="1:44" x14ac:dyDescent="0.25">
      <c r="A160" s="9" t="str">
        <f t="array" ref="A160">IFERROR(INDEX(Output!A$1:A$2000,MATCH(0,COUNTIF(Prediction!$A$7:A159,Output!A$1:A$2000),0)),"")</f>
        <v/>
      </c>
      <c r="B160" t="str">
        <f>IFERROR(VLOOKUP($A160,Output!$A:$M,2,FALSE),"")</f>
        <v/>
      </c>
      <c r="C160" t="str">
        <f>IFERROR(VLOOKUP(B160,Departments!B:C,2,FALSE),"")</f>
        <v/>
      </c>
      <c r="D160" t="str">
        <f>IFERROR(VLOOKUP($A160,Output!$A:$M,13,FALSE),"")</f>
        <v/>
      </c>
      <c r="E160" s="29">
        <f>IFERROR(VLOOKUP($D160,Schedules!$A:$I,MATCH(Prediction!E$6,Schedules!$A$1:$H$1,0),FALSE),0)</f>
        <v>0</v>
      </c>
      <c r="F160" s="24">
        <f>IF(E160=0,0,SUMIFS(Output!$L:$L,Output!$A:$A,Prediction!$A160,Output!$C:$C,Prediction!E$5))</f>
        <v>0</v>
      </c>
      <c r="G160" s="24">
        <f t="shared" si="66"/>
        <v>0</v>
      </c>
      <c r="H160" s="45">
        <f t="shared" si="73"/>
        <v>0</v>
      </c>
      <c r="I160" s="30">
        <f>SUMIFS(Output!$L:$L,Output!$A:$A,Prediction!$A160,Output!$C:$C,Prediction!E$5)</f>
        <v>0</v>
      </c>
      <c r="J160" s="29">
        <f>IFERROR(VLOOKUP($D160,Schedules!$A:$I,MATCH(Prediction!J$6,Schedules!$A$1:$H$1,0),FALSE),0)</f>
        <v>0</v>
      </c>
      <c r="K160" s="24">
        <f>IF(J160=0,0,SUMIFS(Output!$L:$L,Output!$A:$A,Prediction!$A160,Output!$C:$C,Prediction!J$5))</f>
        <v>0</v>
      </c>
      <c r="L160" s="24">
        <f t="shared" si="67"/>
        <v>0</v>
      </c>
      <c r="M160" s="24">
        <f t="shared" si="56"/>
        <v>0</v>
      </c>
      <c r="N160" s="30">
        <f>SUMIFS(Output!$L:$L,Output!$A:$A,Prediction!$A160,Output!$C:$C,Prediction!J$5)</f>
        <v>0</v>
      </c>
      <c r="O160" s="29">
        <f>IFERROR(VLOOKUP($D160,Schedules!$A:$I,MATCH(Prediction!O$6,Schedules!$A$1:$H$1,0),FALSE),0)</f>
        <v>0</v>
      </c>
      <c r="P160" s="24">
        <f>IF(O160=0,0,SUMIFS(Output!$L:$L,Output!$A:$A,Prediction!$A160,Output!$C:$C,Prediction!O$5))</f>
        <v>0</v>
      </c>
      <c r="Q160" s="24">
        <f t="shared" si="68"/>
        <v>0</v>
      </c>
      <c r="R160" s="24">
        <f t="shared" si="57"/>
        <v>0</v>
      </c>
      <c r="S160" s="30">
        <f>SUMIFS(Output!$L:$L,Output!$A:$A,Prediction!$A160,Output!$C:$C,Prediction!O$5)</f>
        <v>0</v>
      </c>
      <c r="T160" s="29">
        <f>IFERROR(VLOOKUP($D160,Schedules!$A:$I,MATCH(Prediction!T$6,Schedules!$A$1:$H$1,0),FALSE),0)</f>
        <v>0</v>
      </c>
      <c r="U160" s="24">
        <f>IF(T160=0,0,SUMIFS(Output!$L:$L,Output!$A:$A,Prediction!$A160,Output!$C:$C,Prediction!T$5))</f>
        <v>0</v>
      </c>
      <c r="V160" s="24">
        <f t="shared" si="58"/>
        <v>0</v>
      </c>
      <c r="W160" s="24">
        <f t="shared" si="59"/>
        <v>0</v>
      </c>
      <c r="X160" s="30">
        <f>SUMIFS(Output!$L:$L,Output!$A:$A,Prediction!$A160,Output!$C:$C,Prediction!T$5)</f>
        <v>0</v>
      </c>
      <c r="Y160" s="25">
        <f>IFERROR(VLOOKUP($D160,Schedules!$A:$I,MATCH(Prediction!Y$6,Schedules!$A$1:$H$1,0),FALSE),0)</f>
        <v>0</v>
      </c>
      <c r="Z160" s="24">
        <f>IF(Y160=0,0,SUMIFS(Output!$L:$L,Output!$A:$A,Prediction!$A160,Output!$C:$C,Prediction!Y$5))</f>
        <v>0</v>
      </c>
      <c r="AA160" s="24">
        <f t="shared" si="69"/>
        <v>0</v>
      </c>
      <c r="AB160" s="24">
        <f t="shared" si="60"/>
        <v>0</v>
      </c>
      <c r="AC160" s="30">
        <f>SUMIFS(Output!$L:$L,Output!$A:$A,Prediction!$A160,Output!$C:$C,Prediction!Y$5)</f>
        <v>0</v>
      </c>
      <c r="AD160" s="29">
        <f>IFERROR(VLOOKUP($D160,Schedules!$A:$I,MATCH(Prediction!AD$6,Schedules!$A$1:$H$1,0),FALSE),0)</f>
        <v>0</v>
      </c>
      <c r="AE160" s="24">
        <f>IF(AD160=0,0,SUMIFS(Output!$L:$L,Output!$A:$A,Prediction!$A160,Output!$C:$C,Prediction!AD$5))</f>
        <v>0</v>
      </c>
      <c r="AF160" s="24">
        <f t="shared" si="70"/>
        <v>0</v>
      </c>
      <c r="AG160" s="24">
        <f t="shared" si="61"/>
        <v>0</v>
      </c>
      <c r="AH160" s="30">
        <f>SUMIFS(Output!$L:$L,Output!$A:$A,Prediction!$A160,Output!$C:$C,Prediction!AD$5)</f>
        <v>0</v>
      </c>
      <c r="AI160" s="29">
        <f>IFERROR(VLOOKUP($D160,Schedules!$A:$I,MATCH(Prediction!AI$6,Schedules!$A$1:$H$1,0),FALSE),0)</f>
        <v>0</v>
      </c>
      <c r="AJ160" s="24">
        <f>IF(AI160=0,0,SUMIFS(Output!$L:$L,Output!$A:$A,Prediction!$A160,Output!$C:$C,Prediction!AI$5))</f>
        <v>0</v>
      </c>
      <c r="AK160" s="24">
        <f t="shared" si="71"/>
        <v>0</v>
      </c>
      <c r="AL160" s="24">
        <f t="shared" si="62"/>
        <v>0</v>
      </c>
      <c r="AM160" s="30">
        <f>SUMIFS(Output!$L:$L,Output!$A:$A,Prediction!$A160,Output!$C:$C,Prediction!AI$5)</f>
        <v>0</v>
      </c>
      <c r="AN160">
        <f t="shared" si="63"/>
        <v>0</v>
      </c>
      <c r="AO160" s="3">
        <f t="shared" si="64"/>
        <v>0</v>
      </c>
      <c r="AP160" s="44"/>
      <c r="AQ160" s="3">
        <f t="shared" si="72"/>
        <v>0</v>
      </c>
      <c r="AR160" s="3">
        <f t="shared" si="65"/>
        <v>0</v>
      </c>
    </row>
    <row r="161" spans="1:44" x14ac:dyDescent="0.25">
      <c r="A161" s="9" t="str">
        <f t="array" ref="A161">IFERROR(INDEX(Output!A$1:A$2000,MATCH(0,COUNTIF(Prediction!$A$7:A160,Output!A$1:A$2000),0)),"")</f>
        <v/>
      </c>
      <c r="B161" t="str">
        <f>IFERROR(VLOOKUP($A161,Output!$A:$M,2,FALSE),"")</f>
        <v/>
      </c>
      <c r="C161" t="str">
        <f>IFERROR(VLOOKUP(B161,Departments!B:C,2,FALSE),"")</f>
        <v/>
      </c>
      <c r="D161" t="str">
        <f>IFERROR(VLOOKUP($A161,Output!$A:$M,13,FALSE),"")</f>
        <v/>
      </c>
      <c r="E161" s="29">
        <f>IFERROR(VLOOKUP($D161,Schedules!$A:$I,MATCH(Prediction!E$6,Schedules!$A$1:$H$1,0),FALSE),0)</f>
        <v>0</v>
      </c>
      <c r="F161" s="24">
        <f>IF(E161=0,0,SUMIFS(Output!$L:$L,Output!$A:$A,Prediction!$A161,Output!$C:$C,Prediction!E$5))</f>
        <v>0</v>
      </c>
      <c r="G161" s="24">
        <f t="shared" si="66"/>
        <v>0</v>
      </c>
      <c r="H161" s="45">
        <f t="shared" si="73"/>
        <v>0</v>
      </c>
      <c r="I161" s="30">
        <f>SUMIFS(Output!$L:$L,Output!$A:$A,Prediction!$A161,Output!$C:$C,Prediction!E$5)</f>
        <v>0</v>
      </c>
      <c r="J161" s="29">
        <f>IFERROR(VLOOKUP($D161,Schedules!$A:$I,MATCH(Prediction!J$6,Schedules!$A$1:$H$1,0),FALSE),0)</f>
        <v>0</v>
      </c>
      <c r="K161" s="24">
        <f>IF(J161=0,0,SUMIFS(Output!$L:$L,Output!$A:$A,Prediction!$A161,Output!$C:$C,Prediction!J$5))</f>
        <v>0</v>
      </c>
      <c r="L161" s="24">
        <f t="shared" si="67"/>
        <v>0</v>
      </c>
      <c r="M161" s="24">
        <f t="shared" si="56"/>
        <v>0</v>
      </c>
      <c r="N161" s="30">
        <f>SUMIFS(Output!$L:$L,Output!$A:$A,Prediction!$A161,Output!$C:$C,Prediction!J$5)</f>
        <v>0</v>
      </c>
      <c r="O161" s="29">
        <f>IFERROR(VLOOKUP($D161,Schedules!$A:$I,MATCH(Prediction!O$6,Schedules!$A$1:$H$1,0),FALSE),0)</f>
        <v>0</v>
      </c>
      <c r="P161" s="24">
        <f>IF(O161=0,0,SUMIFS(Output!$L:$L,Output!$A:$A,Prediction!$A161,Output!$C:$C,Prediction!O$5))</f>
        <v>0</v>
      </c>
      <c r="Q161" s="24">
        <f t="shared" si="68"/>
        <v>0</v>
      </c>
      <c r="R161" s="24">
        <f t="shared" si="57"/>
        <v>0</v>
      </c>
      <c r="S161" s="30">
        <f>SUMIFS(Output!$L:$L,Output!$A:$A,Prediction!$A161,Output!$C:$C,Prediction!O$5)</f>
        <v>0</v>
      </c>
      <c r="T161" s="29">
        <f>IFERROR(VLOOKUP($D161,Schedules!$A:$I,MATCH(Prediction!T$6,Schedules!$A$1:$H$1,0),FALSE),0)</f>
        <v>0</v>
      </c>
      <c r="U161" s="24">
        <f>IF(T161=0,0,SUMIFS(Output!$L:$L,Output!$A:$A,Prediction!$A161,Output!$C:$C,Prediction!T$5))</f>
        <v>0</v>
      </c>
      <c r="V161" s="24">
        <f t="shared" si="58"/>
        <v>0</v>
      </c>
      <c r="W161" s="24">
        <f t="shared" si="59"/>
        <v>0</v>
      </c>
      <c r="X161" s="30">
        <f>SUMIFS(Output!$L:$L,Output!$A:$A,Prediction!$A161,Output!$C:$C,Prediction!T$5)</f>
        <v>0</v>
      </c>
      <c r="Y161" s="25">
        <f>IFERROR(VLOOKUP($D161,Schedules!$A:$I,MATCH(Prediction!Y$6,Schedules!$A$1:$H$1,0),FALSE),0)</f>
        <v>0</v>
      </c>
      <c r="Z161" s="24">
        <f>IF(Y161=0,0,SUMIFS(Output!$L:$L,Output!$A:$A,Prediction!$A161,Output!$C:$C,Prediction!Y$5))</f>
        <v>0</v>
      </c>
      <c r="AA161" s="24">
        <f t="shared" si="69"/>
        <v>0</v>
      </c>
      <c r="AB161" s="24">
        <f t="shared" si="60"/>
        <v>0</v>
      </c>
      <c r="AC161" s="30">
        <f>SUMIFS(Output!$L:$L,Output!$A:$A,Prediction!$A161,Output!$C:$C,Prediction!Y$5)</f>
        <v>0</v>
      </c>
      <c r="AD161" s="29">
        <f>IFERROR(VLOOKUP($D161,Schedules!$A:$I,MATCH(Prediction!AD$6,Schedules!$A$1:$H$1,0),FALSE),0)</f>
        <v>0</v>
      </c>
      <c r="AE161" s="24">
        <f>IF(AD161=0,0,SUMIFS(Output!$L:$L,Output!$A:$A,Prediction!$A161,Output!$C:$C,Prediction!AD$5))</f>
        <v>0</v>
      </c>
      <c r="AF161" s="24">
        <f t="shared" si="70"/>
        <v>0</v>
      </c>
      <c r="AG161" s="24">
        <f t="shared" si="61"/>
        <v>0</v>
      </c>
      <c r="AH161" s="30">
        <f>SUMIFS(Output!$L:$L,Output!$A:$A,Prediction!$A161,Output!$C:$C,Prediction!AD$5)</f>
        <v>0</v>
      </c>
      <c r="AI161" s="29">
        <f>IFERROR(VLOOKUP($D161,Schedules!$A:$I,MATCH(Prediction!AI$6,Schedules!$A$1:$H$1,0),FALSE),0)</f>
        <v>0</v>
      </c>
      <c r="AJ161" s="24">
        <f>IF(AI161=0,0,SUMIFS(Output!$L:$L,Output!$A:$A,Prediction!$A161,Output!$C:$C,Prediction!AI$5))</f>
        <v>0</v>
      </c>
      <c r="AK161" s="24">
        <f t="shared" si="71"/>
        <v>0</v>
      </c>
      <c r="AL161" s="24">
        <f t="shared" si="62"/>
        <v>0</v>
      </c>
      <c r="AM161" s="30">
        <f>SUMIFS(Output!$L:$L,Output!$A:$A,Prediction!$A161,Output!$C:$C,Prediction!AI$5)</f>
        <v>0</v>
      </c>
      <c r="AN161">
        <f t="shared" si="63"/>
        <v>0</v>
      </c>
      <c r="AO161" s="3">
        <f t="shared" si="64"/>
        <v>0</v>
      </c>
      <c r="AP161" s="44"/>
      <c r="AQ161" s="3">
        <f t="shared" si="72"/>
        <v>0</v>
      </c>
      <c r="AR161" s="3">
        <f t="shared" si="65"/>
        <v>0</v>
      </c>
    </row>
    <row r="162" spans="1:44" x14ac:dyDescent="0.25">
      <c r="A162" s="9" t="str">
        <f t="array" ref="A162">IFERROR(INDEX(Output!A$1:A$2000,MATCH(0,COUNTIF(Prediction!$A$7:A161,Output!A$1:A$2000),0)),"")</f>
        <v/>
      </c>
      <c r="B162" t="str">
        <f>IFERROR(VLOOKUP($A162,Output!$A:$M,2,FALSE),"")</f>
        <v/>
      </c>
      <c r="C162" t="str">
        <f>IFERROR(VLOOKUP(B162,Departments!B:C,2,FALSE),"")</f>
        <v/>
      </c>
      <c r="D162" t="str">
        <f>IFERROR(VLOOKUP($A162,Output!$A:$M,13,FALSE),"")</f>
        <v/>
      </c>
      <c r="E162" s="29">
        <f>IFERROR(VLOOKUP($D162,Schedules!$A:$I,MATCH(Prediction!E$6,Schedules!$A$1:$H$1,0),FALSE),0)</f>
        <v>0</v>
      </c>
      <c r="F162" s="24">
        <f>IF(E162=0,0,SUMIFS(Output!$L:$L,Output!$A:$A,Prediction!$A162,Output!$C:$C,Prediction!E$5))</f>
        <v>0</v>
      </c>
      <c r="G162" s="24">
        <f t="shared" si="66"/>
        <v>0</v>
      </c>
      <c r="H162" s="45">
        <f t="shared" si="73"/>
        <v>0</v>
      </c>
      <c r="I162" s="30">
        <f>SUMIFS(Output!$L:$L,Output!$A:$A,Prediction!$A162,Output!$C:$C,Prediction!E$5)</f>
        <v>0</v>
      </c>
      <c r="J162" s="29">
        <f>IFERROR(VLOOKUP($D162,Schedules!$A:$I,MATCH(Prediction!J$6,Schedules!$A$1:$H$1,0),FALSE),0)</f>
        <v>0</v>
      </c>
      <c r="K162" s="24">
        <f>IF(J162=0,0,SUMIFS(Output!$L:$L,Output!$A:$A,Prediction!$A162,Output!$C:$C,Prediction!J$5))</f>
        <v>0</v>
      </c>
      <c r="L162" s="24">
        <f t="shared" si="67"/>
        <v>0</v>
      </c>
      <c r="M162" s="24">
        <f t="shared" si="56"/>
        <v>0</v>
      </c>
      <c r="N162" s="30">
        <f>SUMIFS(Output!$L:$L,Output!$A:$A,Prediction!$A162,Output!$C:$C,Prediction!J$5)</f>
        <v>0</v>
      </c>
      <c r="O162" s="29">
        <f>IFERROR(VLOOKUP($D162,Schedules!$A:$I,MATCH(Prediction!O$6,Schedules!$A$1:$H$1,0),FALSE),0)</f>
        <v>0</v>
      </c>
      <c r="P162" s="24">
        <f>IF(O162=0,0,SUMIFS(Output!$L:$L,Output!$A:$A,Prediction!$A162,Output!$C:$C,Prediction!O$5))</f>
        <v>0</v>
      </c>
      <c r="Q162" s="24">
        <f t="shared" si="68"/>
        <v>0</v>
      </c>
      <c r="R162" s="24">
        <f t="shared" si="57"/>
        <v>0</v>
      </c>
      <c r="S162" s="30">
        <f>SUMIFS(Output!$L:$L,Output!$A:$A,Prediction!$A162,Output!$C:$C,Prediction!O$5)</f>
        <v>0</v>
      </c>
      <c r="T162" s="29">
        <f>IFERROR(VLOOKUP($D162,Schedules!$A:$I,MATCH(Prediction!T$6,Schedules!$A$1:$H$1,0),FALSE),0)</f>
        <v>0</v>
      </c>
      <c r="U162" s="24">
        <f>IF(T162=0,0,SUMIFS(Output!$L:$L,Output!$A:$A,Prediction!$A162,Output!$C:$C,Prediction!T$5))</f>
        <v>0</v>
      </c>
      <c r="V162" s="24">
        <f t="shared" si="58"/>
        <v>0</v>
      </c>
      <c r="W162" s="24">
        <f t="shared" si="59"/>
        <v>0</v>
      </c>
      <c r="X162" s="30">
        <f>SUMIFS(Output!$L:$L,Output!$A:$A,Prediction!$A162,Output!$C:$C,Prediction!T$5)</f>
        <v>0</v>
      </c>
      <c r="Y162" s="25">
        <f>IFERROR(VLOOKUP($D162,Schedules!$A:$I,MATCH(Prediction!Y$6,Schedules!$A$1:$H$1,0),FALSE),0)</f>
        <v>0</v>
      </c>
      <c r="Z162" s="24">
        <f>IF(Y162=0,0,SUMIFS(Output!$L:$L,Output!$A:$A,Prediction!$A162,Output!$C:$C,Prediction!Y$5))</f>
        <v>0</v>
      </c>
      <c r="AA162" s="24">
        <f t="shared" si="69"/>
        <v>0</v>
      </c>
      <c r="AB162" s="24">
        <f t="shared" si="60"/>
        <v>0</v>
      </c>
      <c r="AC162" s="30">
        <f>SUMIFS(Output!$L:$L,Output!$A:$A,Prediction!$A162,Output!$C:$C,Prediction!Y$5)</f>
        <v>0</v>
      </c>
      <c r="AD162" s="29">
        <f>IFERROR(VLOOKUP($D162,Schedules!$A:$I,MATCH(Prediction!AD$6,Schedules!$A$1:$H$1,0),FALSE),0)</f>
        <v>0</v>
      </c>
      <c r="AE162" s="24">
        <f>IF(AD162=0,0,SUMIFS(Output!$L:$L,Output!$A:$A,Prediction!$A162,Output!$C:$C,Prediction!AD$5))</f>
        <v>0</v>
      </c>
      <c r="AF162" s="24">
        <f t="shared" si="70"/>
        <v>0</v>
      </c>
      <c r="AG162" s="24">
        <f t="shared" si="61"/>
        <v>0</v>
      </c>
      <c r="AH162" s="30">
        <f>SUMIFS(Output!$L:$L,Output!$A:$A,Prediction!$A162,Output!$C:$C,Prediction!AD$5)</f>
        <v>0</v>
      </c>
      <c r="AI162" s="29">
        <f>IFERROR(VLOOKUP($D162,Schedules!$A:$I,MATCH(Prediction!AI$6,Schedules!$A$1:$H$1,0),FALSE),0)</f>
        <v>0</v>
      </c>
      <c r="AJ162" s="24">
        <f>IF(AI162=0,0,SUMIFS(Output!$L:$L,Output!$A:$A,Prediction!$A162,Output!$C:$C,Prediction!AI$5))</f>
        <v>0</v>
      </c>
      <c r="AK162" s="24">
        <f t="shared" si="71"/>
        <v>0</v>
      </c>
      <c r="AL162" s="24">
        <f t="shared" si="62"/>
        <v>0</v>
      </c>
      <c r="AM162" s="30">
        <f>SUMIFS(Output!$L:$L,Output!$A:$A,Prediction!$A162,Output!$C:$C,Prediction!AI$5)</f>
        <v>0</v>
      </c>
      <c r="AN162">
        <f t="shared" si="63"/>
        <v>0</v>
      </c>
      <c r="AO162" s="3">
        <f t="shared" si="64"/>
        <v>0</v>
      </c>
      <c r="AP162" s="44"/>
      <c r="AQ162" s="3">
        <f t="shared" si="72"/>
        <v>0</v>
      </c>
      <c r="AR162" s="3">
        <f t="shared" si="65"/>
        <v>0</v>
      </c>
    </row>
    <row r="163" spans="1:44" x14ac:dyDescent="0.25">
      <c r="A163" s="9" t="str">
        <f t="array" ref="A163">IFERROR(INDEX(Output!A$1:A$2000,MATCH(0,COUNTIF(Prediction!$A$7:A162,Output!A$1:A$2000),0)),"")</f>
        <v/>
      </c>
      <c r="B163" t="str">
        <f>IFERROR(VLOOKUP($A163,Output!$A:$M,2,FALSE),"")</f>
        <v/>
      </c>
      <c r="C163" t="str">
        <f>IFERROR(VLOOKUP(B163,Departments!B:C,2,FALSE),"")</f>
        <v/>
      </c>
      <c r="D163" t="str">
        <f>IFERROR(VLOOKUP($A163,Output!$A:$M,13,FALSE),"")</f>
        <v/>
      </c>
      <c r="E163" s="29">
        <f>IFERROR(VLOOKUP($D163,Schedules!$A:$I,MATCH(Prediction!E$6,Schedules!$A$1:$H$1,0),FALSE),0)</f>
        <v>0</v>
      </c>
      <c r="F163" s="24">
        <f>IF(E163=0,0,SUMIFS(Output!$L:$L,Output!$A:$A,Prediction!$A163,Output!$C:$C,Prediction!E$5))</f>
        <v>0</v>
      </c>
      <c r="G163" s="24">
        <f t="shared" si="66"/>
        <v>0</v>
      </c>
      <c r="H163" s="45">
        <f t="shared" si="73"/>
        <v>0</v>
      </c>
      <c r="I163" s="30">
        <f>SUMIFS(Output!$L:$L,Output!$A:$A,Prediction!$A163,Output!$C:$C,Prediction!E$5)</f>
        <v>0</v>
      </c>
      <c r="J163" s="29">
        <f>IFERROR(VLOOKUP($D163,Schedules!$A:$I,MATCH(Prediction!J$6,Schedules!$A$1:$H$1,0),FALSE),0)</f>
        <v>0</v>
      </c>
      <c r="K163" s="24">
        <f>IF(J163=0,0,SUMIFS(Output!$L:$L,Output!$A:$A,Prediction!$A163,Output!$C:$C,Prediction!J$5))</f>
        <v>0</v>
      </c>
      <c r="L163" s="24">
        <f t="shared" si="67"/>
        <v>0</v>
      </c>
      <c r="M163" s="24">
        <f t="shared" si="56"/>
        <v>0</v>
      </c>
      <c r="N163" s="30">
        <f>SUMIFS(Output!$L:$L,Output!$A:$A,Prediction!$A163,Output!$C:$C,Prediction!J$5)</f>
        <v>0</v>
      </c>
      <c r="O163" s="29">
        <f>IFERROR(VLOOKUP($D163,Schedules!$A:$I,MATCH(Prediction!O$6,Schedules!$A$1:$H$1,0),FALSE),0)</f>
        <v>0</v>
      </c>
      <c r="P163" s="24">
        <f>IF(O163=0,0,SUMIFS(Output!$L:$L,Output!$A:$A,Prediction!$A163,Output!$C:$C,Prediction!O$5))</f>
        <v>0</v>
      </c>
      <c r="Q163" s="24">
        <f t="shared" si="68"/>
        <v>0</v>
      </c>
      <c r="R163" s="24">
        <f t="shared" si="57"/>
        <v>0</v>
      </c>
      <c r="S163" s="30">
        <f>SUMIFS(Output!$L:$L,Output!$A:$A,Prediction!$A163,Output!$C:$C,Prediction!O$5)</f>
        <v>0</v>
      </c>
      <c r="T163" s="29">
        <f>IFERROR(VLOOKUP($D163,Schedules!$A:$I,MATCH(Prediction!T$6,Schedules!$A$1:$H$1,0),FALSE),0)</f>
        <v>0</v>
      </c>
      <c r="U163" s="24">
        <f>IF(T163=0,0,SUMIFS(Output!$L:$L,Output!$A:$A,Prediction!$A163,Output!$C:$C,Prediction!T$5))</f>
        <v>0</v>
      </c>
      <c r="V163" s="24">
        <f t="shared" si="58"/>
        <v>0</v>
      </c>
      <c r="W163" s="24">
        <f t="shared" si="59"/>
        <v>0</v>
      </c>
      <c r="X163" s="30">
        <f>SUMIFS(Output!$L:$L,Output!$A:$A,Prediction!$A163,Output!$C:$C,Prediction!T$5)</f>
        <v>0</v>
      </c>
      <c r="Y163" s="25">
        <f>IFERROR(VLOOKUP($D163,Schedules!$A:$I,MATCH(Prediction!Y$6,Schedules!$A$1:$H$1,0),FALSE),0)</f>
        <v>0</v>
      </c>
      <c r="Z163" s="24">
        <f>IF(Y163=0,0,SUMIFS(Output!$L:$L,Output!$A:$A,Prediction!$A163,Output!$C:$C,Prediction!Y$5))</f>
        <v>0</v>
      </c>
      <c r="AA163" s="24">
        <f t="shared" si="69"/>
        <v>0</v>
      </c>
      <c r="AB163" s="24">
        <f t="shared" si="60"/>
        <v>0</v>
      </c>
      <c r="AC163" s="30">
        <f>SUMIFS(Output!$L:$L,Output!$A:$A,Prediction!$A163,Output!$C:$C,Prediction!Y$5)</f>
        <v>0</v>
      </c>
      <c r="AD163" s="29">
        <f>IFERROR(VLOOKUP($D163,Schedules!$A:$I,MATCH(Prediction!AD$6,Schedules!$A$1:$H$1,0),FALSE),0)</f>
        <v>0</v>
      </c>
      <c r="AE163" s="24">
        <f>IF(AD163=0,0,SUMIFS(Output!$L:$L,Output!$A:$A,Prediction!$A163,Output!$C:$C,Prediction!AD$5))</f>
        <v>0</v>
      </c>
      <c r="AF163" s="24">
        <f t="shared" si="70"/>
        <v>0</v>
      </c>
      <c r="AG163" s="24">
        <f t="shared" si="61"/>
        <v>0</v>
      </c>
      <c r="AH163" s="30">
        <f>SUMIFS(Output!$L:$L,Output!$A:$A,Prediction!$A163,Output!$C:$C,Prediction!AD$5)</f>
        <v>0</v>
      </c>
      <c r="AI163" s="29">
        <f>IFERROR(VLOOKUP($D163,Schedules!$A:$I,MATCH(Prediction!AI$6,Schedules!$A$1:$H$1,0),FALSE),0)</f>
        <v>0</v>
      </c>
      <c r="AJ163" s="24">
        <f>IF(AI163=0,0,SUMIFS(Output!$L:$L,Output!$A:$A,Prediction!$A163,Output!$C:$C,Prediction!AI$5))</f>
        <v>0</v>
      </c>
      <c r="AK163" s="24">
        <f t="shared" si="71"/>
        <v>0</v>
      </c>
      <c r="AL163" s="24">
        <f t="shared" si="62"/>
        <v>0</v>
      </c>
      <c r="AM163" s="30">
        <f>SUMIFS(Output!$L:$L,Output!$A:$A,Prediction!$A163,Output!$C:$C,Prediction!AI$5)</f>
        <v>0</v>
      </c>
      <c r="AN163">
        <f t="shared" si="63"/>
        <v>0</v>
      </c>
      <c r="AO163" s="3">
        <f t="shared" si="64"/>
        <v>0</v>
      </c>
      <c r="AP163" s="44"/>
      <c r="AQ163" s="3">
        <f t="shared" si="72"/>
        <v>0</v>
      </c>
      <c r="AR163" s="3">
        <f t="shared" si="65"/>
        <v>0</v>
      </c>
    </row>
    <row r="164" spans="1:44" x14ac:dyDescent="0.25">
      <c r="A164" s="9" t="str">
        <f t="array" ref="A164">IFERROR(INDEX(Output!A$1:A$2000,MATCH(0,COUNTIF(Prediction!$A$7:A163,Output!A$1:A$2000),0)),"")</f>
        <v/>
      </c>
      <c r="B164" t="str">
        <f>IFERROR(VLOOKUP($A164,Output!$A:$M,2,FALSE),"")</f>
        <v/>
      </c>
      <c r="C164" t="str">
        <f>IFERROR(VLOOKUP(B164,Departments!B:C,2,FALSE),"")</f>
        <v/>
      </c>
      <c r="D164" t="str">
        <f>IFERROR(VLOOKUP($A164,Output!$A:$M,13,FALSE),"")</f>
        <v/>
      </c>
      <c r="E164" s="29">
        <f>IFERROR(VLOOKUP($D164,Schedules!$A:$I,MATCH(Prediction!E$6,Schedules!$A$1:$H$1,0),FALSE),0)</f>
        <v>0</v>
      </c>
      <c r="F164" s="24">
        <f>IF(E164=0,0,SUMIFS(Output!$L:$L,Output!$A:$A,Prediction!$A164,Output!$C:$C,Prediction!E$5))</f>
        <v>0</v>
      </c>
      <c r="G164" s="24">
        <f t="shared" si="66"/>
        <v>0</v>
      </c>
      <c r="H164" s="45">
        <f t="shared" si="73"/>
        <v>0</v>
      </c>
      <c r="I164" s="30">
        <f>SUMIFS(Output!$L:$L,Output!$A:$A,Prediction!$A164,Output!$C:$C,Prediction!E$5)</f>
        <v>0</v>
      </c>
      <c r="J164" s="29">
        <f>IFERROR(VLOOKUP($D164,Schedules!$A:$I,MATCH(Prediction!J$6,Schedules!$A$1:$H$1,0),FALSE),0)</f>
        <v>0</v>
      </c>
      <c r="K164" s="24">
        <f>IF(J164=0,0,SUMIFS(Output!$L:$L,Output!$A:$A,Prediction!$A164,Output!$C:$C,Prediction!J$5))</f>
        <v>0</v>
      </c>
      <c r="L164" s="24">
        <f t="shared" si="67"/>
        <v>0</v>
      </c>
      <c r="M164" s="24">
        <f t="shared" si="56"/>
        <v>0</v>
      </c>
      <c r="N164" s="30">
        <f>SUMIFS(Output!$L:$L,Output!$A:$A,Prediction!$A164,Output!$C:$C,Prediction!J$5)</f>
        <v>0</v>
      </c>
      <c r="O164" s="29">
        <f>IFERROR(VLOOKUP($D164,Schedules!$A:$I,MATCH(Prediction!O$6,Schedules!$A$1:$H$1,0),FALSE),0)</f>
        <v>0</v>
      </c>
      <c r="P164" s="24">
        <f>IF(O164=0,0,SUMIFS(Output!$L:$L,Output!$A:$A,Prediction!$A164,Output!$C:$C,Prediction!O$5))</f>
        <v>0</v>
      </c>
      <c r="Q164" s="24">
        <f t="shared" si="68"/>
        <v>0</v>
      </c>
      <c r="R164" s="24">
        <f t="shared" si="57"/>
        <v>0</v>
      </c>
      <c r="S164" s="30">
        <f>SUMIFS(Output!$L:$L,Output!$A:$A,Prediction!$A164,Output!$C:$C,Prediction!O$5)</f>
        <v>0</v>
      </c>
      <c r="T164" s="29">
        <f>IFERROR(VLOOKUP($D164,Schedules!$A:$I,MATCH(Prediction!T$6,Schedules!$A$1:$H$1,0),FALSE),0)</f>
        <v>0</v>
      </c>
      <c r="U164" s="24">
        <f>IF(T164=0,0,SUMIFS(Output!$L:$L,Output!$A:$A,Prediction!$A164,Output!$C:$C,Prediction!T$5))</f>
        <v>0</v>
      </c>
      <c r="V164" s="24">
        <f t="shared" si="58"/>
        <v>0</v>
      </c>
      <c r="W164" s="24">
        <f t="shared" si="59"/>
        <v>0</v>
      </c>
      <c r="X164" s="30">
        <f>SUMIFS(Output!$L:$L,Output!$A:$A,Prediction!$A164,Output!$C:$C,Prediction!T$5)</f>
        <v>0</v>
      </c>
      <c r="Y164" s="25">
        <f>IFERROR(VLOOKUP($D164,Schedules!$A:$I,MATCH(Prediction!Y$6,Schedules!$A$1:$H$1,0),FALSE),0)</f>
        <v>0</v>
      </c>
      <c r="Z164" s="24">
        <f>IF(Y164=0,0,SUMIFS(Output!$L:$L,Output!$A:$A,Prediction!$A164,Output!$C:$C,Prediction!Y$5))</f>
        <v>0</v>
      </c>
      <c r="AA164" s="24">
        <f t="shared" si="69"/>
        <v>0</v>
      </c>
      <c r="AB164" s="24">
        <f t="shared" si="60"/>
        <v>0</v>
      </c>
      <c r="AC164" s="30">
        <f>SUMIFS(Output!$L:$L,Output!$A:$A,Prediction!$A164,Output!$C:$C,Prediction!Y$5)</f>
        <v>0</v>
      </c>
      <c r="AD164" s="29">
        <f>IFERROR(VLOOKUP($D164,Schedules!$A:$I,MATCH(Prediction!AD$6,Schedules!$A$1:$H$1,0),FALSE),0)</f>
        <v>0</v>
      </c>
      <c r="AE164" s="24">
        <f>IF(AD164=0,0,SUMIFS(Output!$L:$L,Output!$A:$A,Prediction!$A164,Output!$C:$C,Prediction!AD$5))</f>
        <v>0</v>
      </c>
      <c r="AF164" s="24">
        <f t="shared" si="70"/>
        <v>0</v>
      </c>
      <c r="AG164" s="24">
        <f t="shared" si="61"/>
        <v>0</v>
      </c>
      <c r="AH164" s="30">
        <f>SUMIFS(Output!$L:$L,Output!$A:$A,Prediction!$A164,Output!$C:$C,Prediction!AD$5)</f>
        <v>0</v>
      </c>
      <c r="AI164" s="29">
        <f>IFERROR(VLOOKUP($D164,Schedules!$A:$I,MATCH(Prediction!AI$6,Schedules!$A$1:$H$1,0),FALSE),0)</f>
        <v>0</v>
      </c>
      <c r="AJ164" s="24">
        <f>IF(AI164=0,0,SUMIFS(Output!$L:$L,Output!$A:$A,Prediction!$A164,Output!$C:$C,Prediction!AI$5))</f>
        <v>0</v>
      </c>
      <c r="AK164" s="24">
        <f t="shared" si="71"/>
        <v>0</v>
      </c>
      <c r="AL164" s="24">
        <f t="shared" si="62"/>
        <v>0</v>
      </c>
      <c r="AM164" s="30">
        <f>SUMIFS(Output!$L:$L,Output!$A:$A,Prediction!$A164,Output!$C:$C,Prediction!AI$5)</f>
        <v>0</v>
      </c>
      <c r="AN164">
        <f t="shared" si="63"/>
        <v>0</v>
      </c>
      <c r="AO164" s="3">
        <f t="shared" si="64"/>
        <v>0</v>
      </c>
      <c r="AP164" s="44"/>
      <c r="AQ164" s="3">
        <f t="shared" si="72"/>
        <v>0</v>
      </c>
      <c r="AR164" s="3">
        <f t="shared" si="65"/>
        <v>0</v>
      </c>
    </row>
    <row r="165" spans="1:44" x14ac:dyDescent="0.25">
      <c r="A165" s="9" t="str">
        <f t="array" ref="A165">IFERROR(INDEX(Output!A$1:A$2000,MATCH(0,COUNTIF(Prediction!$A$7:A164,Output!A$1:A$2000),0)),"")</f>
        <v/>
      </c>
      <c r="B165" t="str">
        <f>IFERROR(VLOOKUP($A165,Output!$A:$M,2,FALSE),"")</f>
        <v/>
      </c>
      <c r="C165" t="str">
        <f>IFERROR(VLOOKUP(B165,Departments!B:C,2,FALSE),"")</f>
        <v/>
      </c>
      <c r="D165" t="str">
        <f>IFERROR(VLOOKUP($A165,Output!$A:$M,13,FALSE),"")</f>
        <v/>
      </c>
      <c r="E165" s="29">
        <f>IFERROR(VLOOKUP($D165,Schedules!$A:$I,MATCH(Prediction!E$6,Schedules!$A$1:$H$1,0),FALSE),0)</f>
        <v>0</v>
      </c>
      <c r="F165" s="24">
        <f>IF(E165=0,0,SUMIFS(Output!$L:$L,Output!$A:$A,Prediction!$A165,Output!$C:$C,Prediction!E$5))</f>
        <v>0</v>
      </c>
      <c r="G165" s="24">
        <f t="shared" si="66"/>
        <v>0</v>
      </c>
      <c r="H165" s="45">
        <f t="shared" si="73"/>
        <v>0</v>
      </c>
      <c r="I165" s="30">
        <f>SUMIFS(Output!$L:$L,Output!$A:$A,Prediction!$A165,Output!$C:$C,Prediction!E$5)</f>
        <v>0</v>
      </c>
      <c r="J165" s="29">
        <f>IFERROR(VLOOKUP($D165,Schedules!$A:$I,MATCH(Prediction!J$6,Schedules!$A$1:$H$1,0),FALSE),0)</f>
        <v>0</v>
      </c>
      <c r="K165" s="24">
        <f>IF(J165=0,0,SUMIFS(Output!$L:$L,Output!$A:$A,Prediction!$A165,Output!$C:$C,Prediction!J$5))</f>
        <v>0</v>
      </c>
      <c r="L165" s="24">
        <f t="shared" si="67"/>
        <v>0</v>
      </c>
      <c r="M165" s="24">
        <f t="shared" si="56"/>
        <v>0</v>
      </c>
      <c r="N165" s="30">
        <f>SUMIFS(Output!$L:$L,Output!$A:$A,Prediction!$A165,Output!$C:$C,Prediction!J$5)</f>
        <v>0</v>
      </c>
      <c r="O165" s="29">
        <f>IFERROR(VLOOKUP($D165,Schedules!$A:$I,MATCH(Prediction!O$6,Schedules!$A$1:$H$1,0),FALSE),0)</f>
        <v>0</v>
      </c>
      <c r="P165" s="24">
        <f>IF(O165=0,0,SUMIFS(Output!$L:$L,Output!$A:$A,Prediction!$A165,Output!$C:$C,Prediction!O$5))</f>
        <v>0</v>
      </c>
      <c r="Q165" s="24">
        <f t="shared" si="68"/>
        <v>0</v>
      </c>
      <c r="R165" s="24">
        <f t="shared" si="57"/>
        <v>0</v>
      </c>
      <c r="S165" s="30">
        <f>SUMIFS(Output!$L:$L,Output!$A:$A,Prediction!$A165,Output!$C:$C,Prediction!O$5)</f>
        <v>0</v>
      </c>
      <c r="T165" s="29">
        <f>IFERROR(VLOOKUP($D165,Schedules!$A:$I,MATCH(Prediction!T$6,Schedules!$A$1:$H$1,0),FALSE),0)</f>
        <v>0</v>
      </c>
      <c r="U165" s="24">
        <f>IF(T165=0,0,SUMIFS(Output!$L:$L,Output!$A:$A,Prediction!$A165,Output!$C:$C,Prediction!T$5))</f>
        <v>0</v>
      </c>
      <c r="V165" s="24">
        <f t="shared" si="58"/>
        <v>0</v>
      </c>
      <c r="W165" s="24">
        <f t="shared" si="59"/>
        <v>0</v>
      </c>
      <c r="X165" s="30">
        <f>SUMIFS(Output!$L:$L,Output!$A:$A,Prediction!$A165,Output!$C:$C,Prediction!T$5)</f>
        <v>0</v>
      </c>
      <c r="Y165" s="25">
        <f>IFERROR(VLOOKUP($D165,Schedules!$A:$I,MATCH(Prediction!Y$6,Schedules!$A$1:$H$1,0),FALSE),0)</f>
        <v>0</v>
      </c>
      <c r="Z165" s="24">
        <f>IF(Y165=0,0,SUMIFS(Output!$L:$L,Output!$A:$A,Prediction!$A165,Output!$C:$C,Prediction!Y$5))</f>
        <v>0</v>
      </c>
      <c r="AA165" s="24">
        <f t="shared" si="69"/>
        <v>0</v>
      </c>
      <c r="AB165" s="24">
        <f t="shared" si="60"/>
        <v>0</v>
      </c>
      <c r="AC165" s="30">
        <f>SUMIFS(Output!$L:$L,Output!$A:$A,Prediction!$A165,Output!$C:$C,Prediction!Y$5)</f>
        <v>0</v>
      </c>
      <c r="AD165" s="29">
        <f>IFERROR(VLOOKUP($D165,Schedules!$A:$I,MATCH(Prediction!AD$6,Schedules!$A$1:$H$1,0),FALSE),0)</f>
        <v>0</v>
      </c>
      <c r="AE165" s="24">
        <f>IF(AD165=0,0,SUMIFS(Output!$L:$L,Output!$A:$A,Prediction!$A165,Output!$C:$C,Prediction!AD$5))</f>
        <v>0</v>
      </c>
      <c r="AF165" s="24">
        <f t="shared" si="70"/>
        <v>0</v>
      </c>
      <c r="AG165" s="24">
        <f t="shared" si="61"/>
        <v>0</v>
      </c>
      <c r="AH165" s="30">
        <f>SUMIFS(Output!$L:$L,Output!$A:$A,Prediction!$A165,Output!$C:$C,Prediction!AD$5)</f>
        <v>0</v>
      </c>
      <c r="AI165" s="29">
        <f>IFERROR(VLOOKUP($D165,Schedules!$A:$I,MATCH(Prediction!AI$6,Schedules!$A$1:$H$1,0),FALSE),0)</f>
        <v>0</v>
      </c>
      <c r="AJ165" s="24">
        <f>IF(AI165=0,0,SUMIFS(Output!$L:$L,Output!$A:$A,Prediction!$A165,Output!$C:$C,Prediction!AI$5))</f>
        <v>0</v>
      </c>
      <c r="AK165" s="24">
        <f t="shared" si="71"/>
        <v>0</v>
      </c>
      <c r="AL165" s="24">
        <f t="shared" si="62"/>
        <v>0</v>
      </c>
      <c r="AM165" s="30">
        <f>SUMIFS(Output!$L:$L,Output!$A:$A,Prediction!$A165,Output!$C:$C,Prediction!AI$5)</f>
        <v>0</v>
      </c>
      <c r="AN165">
        <f t="shared" si="63"/>
        <v>0</v>
      </c>
      <c r="AO165" s="3">
        <f t="shared" si="64"/>
        <v>0</v>
      </c>
      <c r="AP165" s="44"/>
      <c r="AQ165" s="3">
        <f t="shared" si="72"/>
        <v>0</v>
      </c>
      <c r="AR165" s="3">
        <f t="shared" si="65"/>
        <v>0</v>
      </c>
    </row>
    <row r="166" spans="1:44" x14ac:dyDescent="0.25">
      <c r="A166" s="9" t="str">
        <f t="array" ref="A166">IFERROR(INDEX(Output!A$1:A$2000,MATCH(0,COUNTIF(Prediction!$A$7:A165,Output!A$1:A$2000),0)),"")</f>
        <v/>
      </c>
      <c r="B166" t="str">
        <f>IFERROR(VLOOKUP($A166,Output!$A:$M,2,FALSE),"")</f>
        <v/>
      </c>
      <c r="C166" t="str">
        <f>IFERROR(VLOOKUP(B166,Departments!B:C,2,FALSE),"")</f>
        <v/>
      </c>
      <c r="D166" t="str">
        <f>IFERROR(VLOOKUP($A166,Output!$A:$M,13,FALSE),"")</f>
        <v/>
      </c>
      <c r="E166" s="29">
        <f>IFERROR(VLOOKUP($D166,Schedules!$A:$I,MATCH(Prediction!E$6,Schedules!$A$1:$H$1,0),FALSE),0)</f>
        <v>0</v>
      </c>
      <c r="F166" s="24">
        <f>IF(E166=0,0,SUMIFS(Output!$L:$L,Output!$A:$A,Prediction!$A166,Output!$C:$C,Prediction!E$5))</f>
        <v>0</v>
      </c>
      <c r="G166" s="24">
        <f t="shared" si="66"/>
        <v>0</v>
      </c>
      <c r="H166" s="45">
        <f t="shared" si="73"/>
        <v>0</v>
      </c>
      <c r="I166" s="30">
        <f>SUMIFS(Output!$L:$L,Output!$A:$A,Prediction!$A166,Output!$C:$C,Prediction!E$5)</f>
        <v>0</v>
      </c>
      <c r="J166" s="29">
        <f>IFERROR(VLOOKUP($D166,Schedules!$A:$I,MATCH(Prediction!J$6,Schedules!$A$1:$H$1,0),FALSE),0)</f>
        <v>0</v>
      </c>
      <c r="K166" s="24">
        <f>IF(J166=0,0,SUMIFS(Output!$L:$L,Output!$A:$A,Prediction!$A166,Output!$C:$C,Prediction!J$5))</f>
        <v>0</v>
      </c>
      <c r="L166" s="24">
        <f t="shared" si="67"/>
        <v>0</v>
      </c>
      <c r="M166" s="24">
        <f t="shared" si="56"/>
        <v>0</v>
      </c>
      <c r="N166" s="30">
        <f>SUMIFS(Output!$L:$L,Output!$A:$A,Prediction!$A166,Output!$C:$C,Prediction!J$5)</f>
        <v>0</v>
      </c>
      <c r="O166" s="29">
        <f>IFERROR(VLOOKUP($D166,Schedules!$A:$I,MATCH(Prediction!O$6,Schedules!$A$1:$H$1,0),FALSE),0)</f>
        <v>0</v>
      </c>
      <c r="P166" s="24">
        <f>IF(O166=0,0,SUMIFS(Output!$L:$L,Output!$A:$A,Prediction!$A166,Output!$C:$C,Prediction!O$5))</f>
        <v>0</v>
      </c>
      <c r="Q166" s="24">
        <f t="shared" si="68"/>
        <v>0</v>
      </c>
      <c r="R166" s="24">
        <f t="shared" si="57"/>
        <v>0</v>
      </c>
      <c r="S166" s="30">
        <f>SUMIFS(Output!$L:$L,Output!$A:$A,Prediction!$A166,Output!$C:$C,Prediction!O$5)</f>
        <v>0</v>
      </c>
      <c r="T166" s="29">
        <f>IFERROR(VLOOKUP($D166,Schedules!$A:$I,MATCH(Prediction!T$6,Schedules!$A$1:$H$1,0),FALSE),0)</f>
        <v>0</v>
      </c>
      <c r="U166" s="24">
        <f>IF(T166=0,0,SUMIFS(Output!$L:$L,Output!$A:$A,Prediction!$A166,Output!$C:$C,Prediction!T$5))</f>
        <v>0</v>
      </c>
      <c r="V166" s="24">
        <f t="shared" si="58"/>
        <v>0</v>
      </c>
      <c r="W166" s="24">
        <f t="shared" si="59"/>
        <v>0</v>
      </c>
      <c r="X166" s="30">
        <f>SUMIFS(Output!$L:$L,Output!$A:$A,Prediction!$A166,Output!$C:$C,Prediction!T$5)</f>
        <v>0</v>
      </c>
      <c r="Y166" s="25">
        <f>IFERROR(VLOOKUP($D166,Schedules!$A:$I,MATCH(Prediction!Y$6,Schedules!$A$1:$H$1,0),FALSE),0)</f>
        <v>0</v>
      </c>
      <c r="Z166" s="24">
        <f>IF(Y166=0,0,SUMIFS(Output!$L:$L,Output!$A:$A,Prediction!$A166,Output!$C:$C,Prediction!Y$5))</f>
        <v>0</v>
      </c>
      <c r="AA166" s="24">
        <f t="shared" si="69"/>
        <v>0</v>
      </c>
      <c r="AB166" s="24">
        <f t="shared" si="60"/>
        <v>0</v>
      </c>
      <c r="AC166" s="30">
        <f>SUMIFS(Output!$L:$L,Output!$A:$A,Prediction!$A166,Output!$C:$C,Prediction!Y$5)</f>
        <v>0</v>
      </c>
      <c r="AD166" s="29">
        <f>IFERROR(VLOOKUP($D166,Schedules!$A:$I,MATCH(Prediction!AD$6,Schedules!$A$1:$H$1,0),FALSE),0)</f>
        <v>0</v>
      </c>
      <c r="AE166" s="24">
        <f>IF(AD166=0,0,SUMIFS(Output!$L:$L,Output!$A:$A,Prediction!$A166,Output!$C:$C,Prediction!AD$5))</f>
        <v>0</v>
      </c>
      <c r="AF166" s="24">
        <f t="shared" si="70"/>
        <v>0</v>
      </c>
      <c r="AG166" s="24">
        <f t="shared" si="61"/>
        <v>0</v>
      </c>
      <c r="AH166" s="30">
        <f>SUMIFS(Output!$L:$L,Output!$A:$A,Prediction!$A166,Output!$C:$C,Prediction!AD$5)</f>
        <v>0</v>
      </c>
      <c r="AI166" s="29">
        <f>IFERROR(VLOOKUP($D166,Schedules!$A:$I,MATCH(Prediction!AI$6,Schedules!$A$1:$H$1,0),FALSE),0)</f>
        <v>0</v>
      </c>
      <c r="AJ166" s="24">
        <f>IF(AI166=0,0,SUMIFS(Output!$L:$L,Output!$A:$A,Prediction!$A166,Output!$C:$C,Prediction!AI$5))</f>
        <v>0</v>
      </c>
      <c r="AK166" s="24">
        <f t="shared" si="71"/>
        <v>0</v>
      </c>
      <c r="AL166" s="24">
        <f t="shared" si="62"/>
        <v>0</v>
      </c>
      <c r="AM166" s="30">
        <f>SUMIFS(Output!$L:$L,Output!$A:$A,Prediction!$A166,Output!$C:$C,Prediction!AI$5)</f>
        <v>0</v>
      </c>
      <c r="AN166">
        <f t="shared" si="63"/>
        <v>0</v>
      </c>
      <c r="AO166" s="3">
        <f t="shared" si="64"/>
        <v>0</v>
      </c>
      <c r="AP166" s="44"/>
      <c r="AQ166" s="3">
        <f t="shared" si="72"/>
        <v>0</v>
      </c>
      <c r="AR166" s="3">
        <f t="shared" si="65"/>
        <v>0</v>
      </c>
    </row>
    <row r="167" spans="1:44" x14ac:dyDescent="0.25">
      <c r="A167" s="9" t="str">
        <f t="array" ref="A167">IFERROR(INDEX(Output!A$1:A$2000,MATCH(0,COUNTIF(Prediction!$A$7:A166,Output!A$1:A$2000),0)),"")</f>
        <v/>
      </c>
      <c r="B167" t="str">
        <f>IFERROR(VLOOKUP($A167,Output!$A:$M,2,FALSE),"")</f>
        <v/>
      </c>
      <c r="C167" t="str">
        <f>IFERROR(VLOOKUP(B167,Departments!B:C,2,FALSE),"")</f>
        <v/>
      </c>
      <c r="D167" t="str">
        <f>IFERROR(VLOOKUP($A167,Output!$A:$M,13,FALSE),"")</f>
        <v/>
      </c>
      <c r="E167" s="29">
        <f>IFERROR(VLOOKUP($D167,Schedules!$A:$I,MATCH(Prediction!E$6,Schedules!$A$1:$H$1,0),FALSE),0)</f>
        <v>0</v>
      </c>
      <c r="F167" s="24">
        <f>IF(E167=0,0,SUMIFS(Output!$L:$L,Output!$A:$A,Prediction!$A167,Output!$C:$C,Prediction!E$5))</f>
        <v>0</v>
      </c>
      <c r="G167" s="24">
        <f t="shared" si="66"/>
        <v>0</v>
      </c>
      <c r="H167" s="45">
        <f t="shared" si="73"/>
        <v>0</v>
      </c>
      <c r="I167" s="30">
        <f>SUMIFS(Output!$L:$L,Output!$A:$A,Prediction!$A167,Output!$C:$C,Prediction!E$5)</f>
        <v>0</v>
      </c>
      <c r="J167" s="29">
        <f>IFERROR(VLOOKUP($D167,Schedules!$A:$I,MATCH(Prediction!J$6,Schedules!$A$1:$H$1,0),FALSE),0)</f>
        <v>0</v>
      </c>
      <c r="K167" s="24">
        <f>IF(J167=0,0,SUMIFS(Output!$L:$L,Output!$A:$A,Prediction!$A167,Output!$C:$C,Prediction!J$5))</f>
        <v>0</v>
      </c>
      <c r="L167" s="24">
        <f t="shared" si="67"/>
        <v>0</v>
      </c>
      <c r="M167" s="24">
        <f t="shared" si="56"/>
        <v>0</v>
      </c>
      <c r="N167" s="30">
        <f>SUMIFS(Output!$L:$L,Output!$A:$A,Prediction!$A167,Output!$C:$C,Prediction!J$5)</f>
        <v>0</v>
      </c>
      <c r="O167" s="29">
        <f>IFERROR(VLOOKUP($D167,Schedules!$A:$I,MATCH(Prediction!O$6,Schedules!$A$1:$H$1,0),FALSE),0)</f>
        <v>0</v>
      </c>
      <c r="P167" s="24">
        <f>IF(O167=0,0,SUMIFS(Output!$L:$L,Output!$A:$A,Prediction!$A167,Output!$C:$C,Prediction!O$5))</f>
        <v>0</v>
      </c>
      <c r="Q167" s="24">
        <f t="shared" si="68"/>
        <v>0</v>
      </c>
      <c r="R167" s="24">
        <f t="shared" si="57"/>
        <v>0</v>
      </c>
      <c r="S167" s="30">
        <f>SUMIFS(Output!$L:$L,Output!$A:$A,Prediction!$A167,Output!$C:$C,Prediction!O$5)</f>
        <v>0</v>
      </c>
      <c r="T167" s="29">
        <f>IFERROR(VLOOKUP($D167,Schedules!$A:$I,MATCH(Prediction!T$6,Schedules!$A$1:$H$1,0),FALSE),0)</f>
        <v>0</v>
      </c>
      <c r="U167" s="24">
        <f>IF(T167=0,0,SUMIFS(Output!$L:$L,Output!$A:$A,Prediction!$A167,Output!$C:$C,Prediction!T$5))</f>
        <v>0</v>
      </c>
      <c r="V167" s="24">
        <f t="shared" si="58"/>
        <v>0</v>
      </c>
      <c r="W167" s="24">
        <f t="shared" si="59"/>
        <v>0</v>
      </c>
      <c r="X167" s="30">
        <f>SUMIFS(Output!$L:$L,Output!$A:$A,Prediction!$A167,Output!$C:$C,Prediction!T$5)</f>
        <v>0</v>
      </c>
      <c r="Y167" s="25">
        <f>IFERROR(VLOOKUP($D167,Schedules!$A:$I,MATCH(Prediction!Y$6,Schedules!$A$1:$H$1,0),FALSE),0)</f>
        <v>0</v>
      </c>
      <c r="Z167" s="24">
        <f>IF(Y167=0,0,SUMIFS(Output!$L:$L,Output!$A:$A,Prediction!$A167,Output!$C:$C,Prediction!Y$5))</f>
        <v>0</v>
      </c>
      <c r="AA167" s="24">
        <f t="shared" si="69"/>
        <v>0</v>
      </c>
      <c r="AB167" s="24">
        <f t="shared" si="60"/>
        <v>0</v>
      </c>
      <c r="AC167" s="30">
        <f>SUMIFS(Output!$L:$L,Output!$A:$A,Prediction!$A167,Output!$C:$C,Prediction!Y$5)</f>
        <v>0</v>
      </c>
      <c r="AD167" s="29">
        <f>IFERROR(VLOOKUP($D167,Schedules!$A:$I,MATCH(Prediction!AD$6,Schedules!$A$1:$H$1,0),FALSE),0)</f>
        <v>0</v>
      </c>
      <c r="AE167" s="24">
        <f>IF(AD167=0,0,SUMIFS(Output!$L:$L,Output!$A:$A,Prediction!$A167,Output!$C:$C,Prediction!AD$5))</f>
        <v>0</v>
      </c>
      <c r="AF167" s="24">
        <f t="shared" si="70"/>
        <v>0</v>
      </c>
      <c r="AG167" s="24">
        <f t="shared" si="61"/>
        <v>0</v>
      </c>
      <c r="AH167" s="30">
        <f>SUMIFS(Output!$L:$L,Output!$A:$A,Prediction!$A167,Output!$C:$C,Prediction!AD$5)</f>
        <v>0</v>
      </c>
      <c r="AI167" s="29">
        <f>IFERROR(VLOOKUP($D167,Schedules!$A:$I,MATCH(Prediction!AI$6,Schedules!$A$1:$H$1,0),FALSE),0)</f>
        <v>0</v>
      </c>
      <c r="AJ167" s="24">
        <f>IF(AI167=0,0,SUMIFS(Output!$L:$L,Output!$A:$A,Prediction!$A167,Output!$C:$C,Prediction!AI$5))</f>
        <v>0</v>
      </c>
      <c r="AK167" s="24">
        <f t="shared" si="71"/>
        <v>0</v>
      </c>
      <c r="AL167" s="24">
        <f t="shared" si="62"/>
        <v>0</v>
      </c>
      <c r="AM167" s="30">
        <f>SUMIFS(Output!$L:$L,Output!$A:$A,Prediction!$A167,Output!$C:$C,Prediction!AI$5)</f>
        <v>0</v>
      </c>
      <c r="AN167">
        <f t="shared" si="63"/>
        <v>0</v>
      </c>
      <c r="AO167" s="3">
        <f t="shared" si="64"/>
        <v>0</v>
      </c>
      <c r="AP167" s="44"/>
      <c r="AQ167" s="3">
        <f t="shared" si="72"/>
        <v>0</v>
      </c>
      <c r="AR167" s="3">
        <f t="shared" si="65"/>
        <v>0</v>
      </c>
    </row>
    <row r="168" spans="1:44" x14ac:dyDescent="0.25">
      <c r="A168" s="9" t="str">
        <f t="array" ref="A168">IFERROR(INDEX(Output!A$1:A$2000,MATCH(0,COUNTIF(Prediction!$A$7:A167,Output!A$1:A$2000),0)),"")</f>
        <v/>
      </c>
      <c r="B168" t="str">
        <f>IFERROR(VLOOKUP($A168,Output!$A:$M,2,FALSE),"")</f>
        <v/>
      </c>
      <c r="C168" t="str">
        <f>IFERROR(VLOOKUP(B168,Departments!B:C,2,FALSE),"")</f>
        <v/>
      </c>
      <c r="D168" t="str">
        <f>IFERROR(VLOOKUP($A168,Output!$A:$M,13,FALSE),"")</f>
        <v/>
      </c>
      <c r="E168" s="29">
        <f>IFERROR(VLOOKUP($D168,Schedules!$A:$I,MATCH(Prediction!E$6,Schedules!$A$1:$H$1,0),FALSE),0)</f>
        <v>0</v>
      </c>
      <c r="F168" s="24">
        <f>IF(E168=0,0,SUMIFS(Output!$L:$L,Output!$A:$A,Prediction!$A168,Output!$C:$C,Prediction!E$5))</f>
        <v>0</v>
      </c>
      <c r="G168" s="24">
        <f t="shared" si="66"/>
        <v>0</v>
      </c>
      <c r="H168" s="45">
        <f t="shared" si="73"/>
        <v>0</v>
      </c>
      <c r="I168" s="30">
        <f>SUMIFS(Output!$L:$L,Output!$A:$A,Prediction!$A168,Output!$C:$C,Prediction!E$5)</f>
        <v>0</v>
      </c>
      <c r="J168" s="29">
        <f>IFERROR(VLOOKUP($D168,Schedules!$A:$I,MATCH(Prediction!J$6,Schedules!$A$1:$H$1,0),FALSE),0)</f>
        <v>0</v>
      </c>
      <c r="K168" s="24">
        <f>IF(J168=0,0,SUMIFS(Output!$L:$L,Output!$A:$A,Prediction!$A168,Output!$C:$C,Prediction!J$5))</f>
        <v>0</v>
      </c>
      <c r="L168" s="24">
        <f t="shared" si="67"/>
        <v>0</v>
      </c>
      <c r="M168" s="24">
        <f t="shared" ref="M168:M201" si="74">IF(AND($J$5&gt;$B$3,J168&gt;0),J168,0)</f>
        <v>0</v>
      </c>
      <c r="N168" s="30">
        <f>SUMIFS(Output!$L:$L,Output!$A:$A,Prediction!$A168,Output!$C:$C,Prediction!J$5)</f>
        <v>0</v>
      </c>
      <c r="O168" s="29">
        <f>IFERROR(VLOOKUP($D168,Schedules!$A:$I,MATCH(Prediction!O$6,Schedules!$A$1:$H$1,0),FALSE),0)</f>
        <v>0</v>
      </c>
      <c r="P168" s="24">
        <f>IF(O168=0,0,SUMIFS(Output!$L:$L,Output!$A:$A,Prediction!$A168,Output!$C:$C,Prediction!O$5))</f>
        <v>0</v>
      </c>
      <c r="Q168" s="24">
        <f t="shared" si="68"/>
        <v>0</v>
      </c>
      <c r="R168" s="24">
        <f t="shared" ref="R168:R201" si="75">IF(AND($O$5&gt;$B$3,O168&gt;0),O168,0)</f>
        <v>0</v>
      </c>
      <c r="S168" s="30">
        <f>SUMIFS(Output!$L:$L,Output!$A:$A,Prediction!$A168,Output!$C:$C,Prediction!O$5)</f>
        <v>0</v>
      </c>
      <c r="T168" s="29">
        <f>IFERROR(VLOOKUP($D168,Schedules!$A:$I,MATCH(Prediction!T$6,Schedules!$A$1:$H$1,0),FALSE),0)</f>
        <v>0</v>
      </c>
      <c r="U168" s="24">
        <f>IF(T168=0,0,SUMIFS(Output!$L:$L,Output!$A:$A,Prediction!$A168,Output!$C:$C,Prediction!T$5))</f>
        <v>0</v>
      </c>
      <c r="V168" s="24">
        <f t="shared" ref="V168:V201" si="76">IF(X168&gt;T168, X168-T168, 0)</f>
        <v>0</v>
      </c>
      <c r="W168" s="24">
        <f t="shared" ref="W168:W201" si="77">IF(AND($T$5&gt;$B$3,T168&gt;0),T168,0)</f>
        <v>0</v>
      </c>
      <c r="X168" s="30">
        <f>SUMIFS(Output!$L:$L,Output!$A:$A,Prediction!$A168,Output!$C:$C,Prediction!T$5)</f>
        <v>0</v>
      </c>
      <c r="Y168" s="25">
        <f>IFERROR(VLOOKUP($D168,Schedules!$A:$I,MATCH(Prediction!Y$6,Schedules!$A$1:$H$1,0),FALSE),0)</f>
        <v>0</v>
      </c>
      <c r="Z168" s="24">
        <f>IF(Y168=0,0,SUMIFS(Output!$L:$L,Output!$A:$A,Prediction!$A168,Output!$C:$C,Prediction!Y$5))</f>
        <v>0</v>
      </c>
      <c r="AA168" s="24">
        <f t="shared" si="69"/>
        <v>0</v>
      </c>
      <c r="AB168" s="24">
        <f t="shared" ref="AB168:AB201" si="78">IF(AND($Y$5&gt;$B$3,Y168&gt;0),Y168,0)</f>
        <v>0</v>
      </c>
      <c r="AC168" s="30">
        <f>SUMIFS(Output!$L:$L,Output!$A:$A,Prediction!$A168,Output!$C:$C,Prediction!Y$5)</f>
        <v>0</v>
      </c>
      <c r="AD168" s="29">
        <f>IFERROR(VLOOKUP($D168,Schedules!$A:$I,MATCH(Prediction!AD$6,Schedules!$A$1:$H$1,0),FALSE),0)</f>
        <v>0</v>
      </c>
      <c r="AE168" s="24">
        <f>IF(AD168=0,0,SUMIFS(Output!$L:$L,Output!$A:$A,Prediction!$A168,Output!$C:$C,Prediction!AD$5))</f>
        <v>0</v>
      </c>
      <c r="AF168" s="24">
        <f t="shared" si="70"/>
        <v>0</v>
      </c>
      <c r="AG168" s="24">
        <f t="shared" ref="AG168:AG201" si="79">IF(AND($AD$5&gt;$B$3,AD168&gt;0),AD168,0)</f>
        <v>0</v>
      </c>
      <c r="AH168" s="30">
        <f>SUMIFS(Output!$L:$L,Output!$A:$A,Prediction!$A168,Output!$C:$C,Prediction!AD$5)</f>
        <v>0</v>
      </c>
      <c r="AI168" s="29">
        <f>IFERROR(VLOOKUP($D168,Schedules!$A:$I,MATCH(Prediction!AI$6,Schedules!$A$1:$H$1,0),FALSE),0)</f>
        <v>0</v>
      </c>
      <c r="AJ168" s="24">
        <f>IF(AI168=0,0,SUMIFS(Output!$L:$L,Output!$A:$A,Prediction!$A168,Output!$C:$C,Prediction!AI$5))</f>
        <v>0</v>
      </c>
      <c r="AK168" s="24">
        <f t="shared" si="71"/>
        <v>0</v>
      </c>
      <c r="AL168" s="24">
        <f t="shared" ref="AL168:AL201" si="80">IF(AND($AI$5&gt;$B$3,AI168&gt;0),AI168,0)</f>
        <v>0</v>
      </c>
      <c r="AM168" s="30">
        <f>SUMIFS(Output!$L:$L,Output!$A:$A,Prediction!$A168,Output!$C:$C,Prediction!AI$5)</f>
        <v>0</v>
      </c>
      <c r="AN168">
        <f t="shared" ref="AN168:AN201" si="81">IFERROR(E168+J168+O168+T168+Y168+AD168+AI168,"")</f>
        <v>0</v>
      </c>
      <c r="AO168" s="3">
        <f t="shared" ref="AO168:AO201" si="82">SUM(I168,N168,S168,X168,AC168,AH168,AM168)</f>
        <v>0</v>
      </c>
      <c r="AP168" s="44"/>
      <c r="AQ168" s="3">
        <f t="shared" si="72"/>
        <v>0</v>
      </c>
      <c r="AR168" s="3">
        <f t="shared" ref="AR168:AR199" si="83">IF(AQ168-AN168&lt;0,0,AQ168-AN168)</f>
        <v>0</v>
      </c>
    </row>
    <row r="169" spans="1:44" x14ac:dyDescent="0.25">
      <c r="A169" s="9" t="str">
        <f t="array" ref="A169">IFERROR(INDEX(Output!A$1:A$2000,MATCH(0,COUNTIF(Prediction!$A$7:A168,Output!A$1:A$2000),0)),"")</f>
        <v/>
      </c>
      <c r="B169" t="str">
        <f>IFERROR(VLOOKUP($A169,Output!$A:$M,2,FALSE),"")</f>
        <v/>
      </c>
      <c r="C169" t="str">
        <f>IFERROR(VLOOKUP(B169,Departments!B:C,2,FALSE),"")</f>
        <v/>
      </c>
      <c r="D169" t="str">
        <f>IFERROR(VLOOKUP($A169,Output!$A:$M,13,FALSE),"")</f>
        <v/>
      </c>
      <c r="E169" s="29">
        <f>IFERROR(VLOOKUP($D169,Schedules!$A:$I,MATCH(Prediction!E$6,Schedules!$A$1:$H$1,0),FALSE),0)</f>
        <v>0</v>
      </c>
      <c r="F169" s="24">
        <f>IF(E169=0,0,SUMIFS(Output!$L:$L,Output!$A:$A,Prediction!$A169,Output!$C:$C,Prediction!E$5))</f>
        <v>0</v>
      </c>
      <c r="G169" s="24">
        <f t="shared" si="66"/>
        <v>0</v>
      </c>
      <c r="H169" s="45">
        <f t="shared" si="73"/>
        <v>0</v>
      </c>
      <c r="I169" s="30">
        <f>SUMIFS(Output!$L:$L,Output!$A:$A,Prediction!$A169,Output!$C:$C,Prediction!E$5)</f>
        <v>0</v>
      </c>
      <c r="J169" s="29">
        <f>IFERROR(VLOOKUP($D169,Schedules!$A:$I,MATCH(Prediction!J$6,Schedules!$A$1:$H$1,0),FALSE),0)</f>
        <v>0</v>
      </c>
      <c r="K169" s="24">
        <f>IF(J169=0,0,SUMIFS(Output!$L:$L,Output!$A:$A,Prediction!$A169,Output!$C:$C,Prediction!J$5))</f>
        <v>0</v>
      </c>
      <c r="L169" s="24">
        <f t="shared" si="67"/>
        <v>0</v>
      </c>
      <c r="M169" s="24">
        <f t="shared" si="74"/>
        <v>0</v>
      </c>
      <c r="N169" s="30">
        <f>SUMIFS(Output!$L:$L,Output!$A:$A,Prediction!$A169,Output!$C:$C,Prediction!J$5)</f>
        <v>0</v>
      </c>
      <c r="O169" s="29">
        <f>IFERROR(VLOOKUP($D169,Schedules!$A:$I,MATCH(Prediction!O$6,Schedules!$A$1:$H$1,0),FALSE),0)</f>
        <v>0</v>
      </c>
      <c r="P169" s="24">
        <f>IF(O169=0,0,SUMIFS(Output!$L:$L,Output!$A:$A,Prediction!$A169,Output!$C:$C,Prediction!O$5))</f>
        <v>0</v>
      </c>
      <c r="Q169" s="24">
        <f t="shared" si="68"/>
        <v>0</v>
      </c>
      <c r="R169" s="24">
        <f t="shared" si="75"/>
        <v>0</v>
      </c>
      <c r="S169" s="30">
        <f>SUMIFS(Output!$L:$L,Output!$A:$A,Prediction!$A169,Output!$C:$C,Prediction!O$5)</f>
        <v>0</v>
      </c>
      <c r="T169" s="29">
        <f>IFERROR(VLOOKUP($D169,Schedules!$A:$I,MATCH(Prediction!T$6,Schedules!$A$1:$H$1,0),FALSE),0)</f>
        <v>0</v>
      </c>
      <c r="U169" s="24">
        <f>IF(T169=0,0,SUMIFS(Output!$L:$L,Output!$A:$A,Prediction!$A169,Output!$C:$C,Prediction!T$5))</f>
        <v>0</v>
      </c>
      <c r="V169" s="24">
        <f t="shared" si="76"/>
        <v>0</v>
      </c>
      <c r="W169" s="24">
        <f t="shared" si="77"/>
        <v>0</v>
      </c>
      <c r="X169" s="30">
        <f>SUMIFS(Output!$L:$L,Output!$A:$A,Prediction!$A169,Output!$C:$C,Prediction!T$5)</f>
        <v>0</v>
      </c>
      <c r="Y169" s="25">
        <f>IFERROR(VLOOKUP($D169,Schedules!$A:$I,MATCH(Prediction!Y$6,Schedules!$A$1:$H$1,0),FALSE),0)</f>
        <v>0</v>
      </c>
      <c r="Z169" s="24">
        <f>IF(Y169=0,0,SUMIFS(Output!$L:$L,Output!$A:$A,Prediction!$A169,Output!$C:$C,Prediction!Y$5))</f>
        <v>0</v>
      </c>
      <c r="AA169" s="24">
        <f t="shared" si="69"/>
        <v>0</v>
      </c>
      <c r="AB169" s="24">
        <f t="shared" si="78"/>
        <v>0</v>
      </c>
      <c r="AC169" s="30">
        <f>SUMIFS(Output!$L:$L,Output!$A:$A,Prediction!$A169,Output!$C:$C,Prediction!Y$5)</f>
        <v>0</v>
      </c>
      <c r="AD169" s="29">
        <f>IFERROR(VLOOKUP($D169,Schedules!$A:$I,MATCH(Prediction!AD$6,Schedules!$A$1:$H$1,0),FALSE),0)</f>
        <v>0</v>
      </c>
      <c r="AE169" s="24">
        <f>IF(AD169=0,0,SUMIFS(Output!$L:$L,Output!$A:$A,Prediction!$A169,Output!$C:$C,Prediction!AD$5))</f>
        <v>0</v>
      </c>
      <c r="AF169" s="24">
        <f t="shared" si="70"/>
        <v>0</v>
      </c>
      <c r="AG169" s="24">
        <f t="shared" si="79"/>
        <v>0</v>
      </c>
      <c r="AH169" s="30">
        <f>SUMIFS(Output!$L:$L,Output!$A:$A,Prediction!$A169,Output!$C:$C,Prediction!AD$5)</f>
        <v>0</v>
      </c>
      <c r="AI169" s="29">
        <f>IFERROR(VLOOKUP($D169,Schedules!$A:$I,MATCH(Prediction!AI$6,Schedules!$A$1:$H$1,0),FALSE),0)</f>
        <v>0</v>
      </c>
      <c r="AJ169" s="24">
        <f>IF(AI169=0,0,SUMIFS(Output!$L:$L,Output!$A:$A,Prediction!$A169,Output!$C:$C,Prediction!AI$5))</f>
        <v>0</v>
      </c>
      <c r="AK169" s="24">
        <f t="shared" si="71"/>
        <v>0</v>
      </c>
      <c r="AL169" s="24">
        <f t="shared" si="80"/>
        <v>0</v>
      </c>
      <c r="AM169" s="30">
        <f>SUMIFS(Output!$L:$L,Output!$A:$A,Prediction!$A169,Output!$C:$C,Prediction!AI$5)</f>
        <v>0</v>
      </c>
      <c r="AN169">
        <f t="shared" si="81"/>
        <v>0</v>
      </c>
      <c r="AO169" s="3">
        <f t="shared" si="82"/>
        <v>0</v>
      </c>
      <c r="AP169" s="44"/>
      <c r="AQ169" s="3">
        <f t="shared" si="72"/>
        <v>0</v>
      </c>
      <c r="AR169" s="3">
        <f t="shared" si="83"/>
        <v>0</v>
      </c>
    </row>
    <row r="170" spans="1:44" x14ac:dyDescent="0.25">
      <c r="A170" s="9" t="str">
        <f t="array" ref="A170">IFERROR(INDEX(Output!A$1:A$2000,MATCH(0,COUNTIF(Prediction!$A$7:A169,Output!A$1:A$2000),0)),"")</f>
        <v/>
      </c>
      <c r="B170" t="str">
        <f>IFERROR(VLOOKUP($A170,Output!$A:$M,2,FALSE),"")</f>
        <v/>
      </c>
      <c r="C170" t="str">
        <f>IFERROR(VLOOKUP(B170,Departments!B:C,2,FALSE),"")</f>
        <v/>
      </c>
      <c r="D170" t="str">
        <f>IFERROR(VLOOKUP($A170,Output!$A:$M,13,FALSE),"")</f>
        <v/>
      </c>
      <c r="E170" s="29">
        <f>IFERROR(VLOOKUP($D170,Schedules!$A:$I,MATCH(Prediction!E$6,Schedules!$A$1:$H$1,0),FALSE),0)</f>
        <v>0</v>
      </c>
      <c r="F170" s="24">
        <f>IF(E170=0,0,SUMIFS(Output!$L:$L,Output!$A:$A,Prediction!$A170,Output!$C:$C,Prediction!E$5))</f>
        <v>0</v>
      </c>
      <c r="G170" s="24">
        <f t="shared" si="66"/>
        <v>0</v>
      </c>
      <c r="H170" s="45">
        <f t="shared" si="73"/>
        <v>0</v>
      </c>
      <c r="I170" s="30">
        <f>SUMIFS(Output!$L:$L,Output!$A:$A,Prediction!$A170,Output!$C:$C,Prediction!E$5)</f>
        <v>0</v>
      </c>
      <c r="J170" s="29">
        <f>IFERROR(VLOOKUP($D170,Schedules!$A:$I,MATCH(Prediction!J$6,Schedules!$A$1:$H$1,0),FALSE),0)</f>
        <v>0</v>
      </c>
      <c r="K170" s="24">
        <f>IF(J170=0,0,SUMIFS(Output!$L:$L,Output!$A:$A,Prediction!$A170,Output!$C:$C,Prediction!J$5))</f>
        <v>0</v>
      </c>
      <c r="L170" s="24">
        <f t="shared" si="67"/>
        <v>0</v>
      </c>
      <c r="M170" s="24">
        <f t="shared" si="74"/>
        <v>0</v>
      </c>
      <c r="N170" s="30">
        <f>SUMIFS(Output!$L:$L,Output!$A:$A,Prediction!$A170,Output!$C:$C,Prediction!J$5)</f>
        <v>0</v>
      </c>
      <c r="O170" s="29">
        <f>IFERROR(VLOOKUP($D170,Schedules!$A:$I,MATCH(Prediction!O$6,Schedules!$A$1:$H$1,0),FALSE),0)</f>
        <v>0</v>
      </c>
      <c r="P170" s="24">
        <f>IF(O170=0,0,SUMIFS(Output!$L:$L,Output!$A:$A,Prediction!$A170,Output!$C:$C,Prediction!O$5))</f>
        <v>0</v>
      </c>
      <c r="Q170" s="24">
        <f t="shared" si="68"/>
        <v>0</v>
      </c>
      <c r="R170" s="24">
        <f t="shared" si="75"/>
        <v>0</v>
      </c>
      <c r="S170" s="30">
        <f>SUMIFS(Output!$L:$L,Output!$A:$A,Prediction!$A170,Output!$C:$C,Prediction!O$5)</f>
        <v>0</v>
      </c>
      <c r="T170" s="29">
        <f>IFERROR(VLOOKUP($D170,Schedules!$A:$I,MATCH(Prediction!T$6,Schedules!$A$1:$H$1,0),FALSE),0)</f>
        <v>0</v>
      </c>
      <c r="U170" s="24">
        <f>IF(T170=0,0,SUMIFS(Output!$L:$L,Output!$A:$A,Prediction!$A170,Output!$C:$C,Prediction!T$5))</f>
        <v>0</v>
      </c>
      <c r="V170" s="24">
        <f t="shared" si="76"/>
        <v>0</v>
      </c>
      <c r="W170" s="24">
        <f t="shared" si="77"/>
        <v>0</v>
      </c>
      <c r="X170" s="30">
        <f>SUMIFS(Output!$L:$L,Output!$A:$A,Prediction!$A170,Output!$C:$C,Prediction!T$5)</f>
        <v>0</v>
      </c>
      <c r="Y170" s="25">
        <f>IFERROR(VLOOKUP($D170,Schedules!$A:$I,MATCH(Prediction!Y$6,Schedules!$A$1:$H$1,0),FALSE),0)</f>
        <v>0</v>
      </c>
      <c r="Z170" s="24">
        <f>IF(Y170=0,0,SUMIFS(Output!$L:$L,Output!$A:$A,Prediction!$A170,Output!$C:$C,Prediction!Y$5))</f>
        <v>0</v>
      </c>
      <c r="AA170" s="24">
        <f t="shared" si="69"/>
        <v>0</v>
      </c>
      <c r="AB170" s="24">
        <f t="shared" si="78"/>
        <v>0</v>
      </c>
      <c r="AC170" s="30">
        <f>SUMIFS(Output!$L:$L,Output!$A:$A,Prediction!$A170,Output!$C:$C,Prediction!Y$5)</f>
        <v>0</v>
      </c>
      <c r="AD170" s="29">
        <f>IFERROR(VLOOKUP($D170,Schedules!$A:$I,MATCH(Prediction!AD$6,Schedules!$A$1:$H$1,0),FALSE),0)</f>
        <v>0</v>
      </c>
      <c r="AE170" s="24">
        <f>IF(AD170=0,0,SUMIFS(Output!$L:$L,Output!$A:$A,Prediction!$A170,Output!$C:$C,Prediction!AD$5))</f>
        <v>0</v>
      </c>
      <c r="AF170" s="24">
        <f t="shared" si="70"/>
        <v>0</v>
      </c>
      <c r="AG170" s="24">
        <f t="shared" si="79"/>
        <v>0</v>
      </c>
      <c r="AH170" s="30">
        <f>SUMIFS(Output!$L:$L,Output!$A:$A,Prediction!$A170,Output!$C:$C,Prediction!AD$5)</f>
        <v>0</v>
      </c>
      <c r="AI170" s="29">
        <f>IFERROR(VLOOKUP($D170,Schedules!$A:$I,MATCH(Prediction!AI$6,Schedules!$A$1:$H$1,0),FALSE),0)</f>
        <v>0</v>
      </c>
      <c r="AJ170" s="24">
        <f>IF(AI170=0,0,SUMIFS(Output!$L:$L,Output!$A:$A,Prediction!$A170,Output!$C:$C,Prediction!AI$5))</f>
        <v>0</v>
      </c>
      <c r="AK170" s="24">
        <f t="shared" si="71"/>
        <v>0</v>
      </c>
      <c r="AL170" s="24">
        <f t="shared" si="80"/>
        <v>0</v>
      </c>
      <c r="AM170" s="30">
        <f>SUMIFS(Output!$L:$L,Output!$A:$A,Prediction!$A170,Output!$C:$C,Prediction!AI$5)</f>
        <v>0</v>
      </c>
      <c r="AN170">
        <f t="shared" si="81"/>
        <v>0</v>
      </c>
      <c r="AO170" s="3">
        <f t="shared" si="82"/>
        <v>0</v>
      </c>
      <c r="AP170" s="44"/>
      <c r="AQ170" s="3">
        <f t="shared" si="72"/>
        <v>0</v>
      </c>
      <c r="AR170" s="3">
        <f t="shared" si="83"/>
        <v>0</v>
      </c>
    </row>
    <row r="171" spans="1:44" x14ac:dyDescent="0.25">
      <c r="A171" s="9" t="str">
        <f t="array" ref="A171">IFERROR(INDEX(Output!A$1:A$2000,MATCH(0,COUNTIF(Prediction!$A$7:A170,Output!A$1:A$2000),0)),"")</f>
        <v/>
      </c>
      <c r="B171" t="str">
        <f>IFERROR(VLOOKUP($A171,Output!$A:$M,2,FALSE),"")</f>
        <v/>
      </c>
      <c r="C171" t="str">
        <f>IFERROR(VLOOKUP(B171,Departments!B:C,2,FALSE),"")</f>
        <v/>
      </c>
      <c r="D171" t="str">
        <f>IFERROR(VLOOKUP($A171,Output!$A:$M,13,FALSE),"")</f>
        <v/>
      </c>
      <c r="E171" s="29">
        <f>IFERROR(VLOOKUP($D171,Schedules!$A:$I,MATCH(Prediction!E$6,Schedules!$A$1:$H$1,0),FALSE),0)</f>
        <v>0</v>
      </c>
      <c r="F171" s="24">
        <f>IF(E171=0,0,SUMIFS(Output!$L:$L,Output!$A:$A,Prediction!$A171,Output!$C:$C,Prediction!E$5))</f>
        <v>0</v>
      </c>
      <c r="G171" s="24">
        <f t="shared" si="66"/>
        <v>0</v>
      </c>
      <c r="H171" s="45">
        <f t="shared" si="73"/>
        <v>0</v>
      </c>
      <c r="I171" s="30">
        <f>SUMIFS(Output!$L:$L,Output!$A:$A,Prediction!$A171,Output!$C:$C,Prediction!E$5)</f>
        <v>0</v>
      </c>
      <c r="J171" s="29">
        <f>IFERROR(VLOOKUP($D171,Schedules!$A:$I,MATCH(Prediction!J$6,Schedules!$A$1:$H$1,0),FALSE),0)</f>
        <v>0</v>
      </c>
      <c r="K171" s="24">
        <f>IF(J171=0,0,SUMIFS(Output!$L:$L,Output!$A:$A,Prediction!$A171,Output!$C:$C,Prediction!J$5))</f>
        <v>0</v>
      </c>
      <c r="L171" s="24">
        <f t="shared" si="67"/>
        <v>0</v>
      </c>
      <c r="M171" s="24">
        <f t="shared" si="74"/>
        <v>0</v>
      </c>
      <c r="N171" s="30">
        <f>SUMIFS(Output!$L:$L,Output!$A:$A,Prediction!$A171,Output!$C:$C,Prediction!J$5)</f>
        <v>0</v>
      </c>
      <c r="O171" s="29">
        <f>IFERROR(VLOOKUP($D171,Schedules!$A:$I,MATCH(Prediction!O$6,Schedules!$A$1:$H$1,0),FALSE),0)</f>
        <v>0</v>
      </c>
      <c r="P171" s="24">
        <f>IF(O171=0,0,SUMIFS(Output!$L:$L,Output!$A:$A,Prediction!$A171,Output!$C:$C,Prediction!O$5))</f>
        <v>0</v>
      </c>
      <c r="Q171" s="24">
        <f t="shared" si="68"/>
        <v>0</v>
      </c>
      <c r="R171" s="24">
        <f t="shared" si="75"/>
        <v>0</v>
      </c>
      <c r="S171" s="30">
        <f>SUMIFS(Output!$L:$L,Output!$A:$A,Prediction!$A171,Output!$C:$C,Prediction!O$5)</f>
        <v>0</v>
      </c>
      <c r="T171" s="29">
        <f>IFERROR(VLOOKUP($D171,Schedules!$A:$I,MATCH(Prediction!T$6,Schedules!$A$1:$H$1,0),FALSE),0)</f>
        <v>0</v>
      </c>
      <c r="U171" s="24">
        <f>IF(T171=0,0,SUMIFS(Output!$L:$L,Output!$A:$A,Prediction!$A171,Output!$C:$C,Prediction!T$5))</f>
        <v>0</v>
      </c>
      <c r="V171" s="24">
        <f t="shared" si="76"/>
        <v>0</v>
      </c>
      <c r="W171" s="24">
        <f t="shared" si="77"/>
        <v>0</v>
      </c>
      <c r="X171" s="30">
        <f>SUMIFS(Output!$L:$L,Output!$A:$A,Prediction!$A171,Output!$C:$C,Prediction!T$5)</f>
        <v>0</v>
      </c>
      <c r="Y171" s="25">
        <f>IFERROR(VLOOKUP($D171,Schedules!$A:$I,MATCH(Prediction!Y$6,Schedules!$A$1:$H$1,0),FALSE),0)</f>
        <v>0</v>
      </c>
      <c r="Z171" s="24">
        <f>IF(Y171=0,0,SUMIFS(Output!$L:$L,Output!$A:$A,Prediction!$A171,Output!$C:$C,Prediction!Y$5))</f>
        <v>0</v>
      </c>
      <c r="AA171" s="24">
        <f t="shared" si="69"/>
        <v>0</v>
      </c>
      <c r="AB171" s="24">
        <f t="shared" si="78"/>
        <v>0</v>
      </c>
      <c r="AC171" s="30">
        <f>SUMIFS(Output!$L:$L,Output!$A:$A,Prediction!$A171,Output!$C:$C,Prediction!Y$5)</f>
        <v>0</v>
      </c>
      <c r="AD171" s="29">
        <f>IFERROR(VLOOKUP($D171,Schedules!$A:$I,MATCH(Prediction!AD$6,Schedules!$A$1:$H$1,0),FALSE),0)</f>
        <v>0</v>
      </c>
      <c r="AE171" s="24">
        <f>IF(AD171=0,0,SUMIFS(Output!$L:$L,Output!$A:$A,Prediction!$A171,Output!$C:$C,Prediction!AD$5))</f>
        <v>0</v>
      </c>
      <c r="AF171" s="24">
        <f t="shared" si="70"/>
        <v>0</v>
      </c>
      <c r="AG171" s="24">
        <f t="shared" si="79"/>
        <v>0</v>
      </c>
      <c r="AH171" s="30">
        <f>SUMIFS(Output!$L:$L,Output!$A:$A,Prediction!$A171,Output!$C:$C,Prediction!AD$5)</f>
        <v>0</v>
      </c>
      <c r="AI171" s="29">
        <f>IFERROR(VLOOKUP($D171,Schedules!$A:$I,MATCH(Prediction!AI$6,Schedules!$A$1:$H$1,0),FALSE),0)</f>
        <v>0</v>
      </c>
      <c r="AJ171" s="24">
        <f>IF(AI171=0,0,SUMIFS(Output!$L:$L,Output!$A:$A,Prediction!$A171,Output!$C:$C,Prediction!AI$5))</f>
        <v>0</v>
      </c>
      <c r="AK171" s="24">
        <f t="shared" si="71"/>
        <v>0</v>
      </c>
      <c r="AL171" s="24">
        <f t="shared" si="80"/>
        <v>0</v>
      </c>
      <c r="AM171" s="30">
        <f>SUMIFS(Output!$L:$L,Output!$A:$A,Prediction!$A171,Output!$C:$C,Prediction!AI$5)</f>
        <v>0</v>
      </c>
      <c r="AN171">
        <f t="shared" si="81"/>
        <v>0</v>
      </c>
      <c r="AO171" s="3">
        <f t="shared" si="82"/>
        <v>0</v>
      </c>
      <c r="AP171" s="44"/>
      <c r="AQ171" s="3">
        <f t="shared" si="72"/>
        <v>0</v>
      </c>
      <c r="AR171" s="3">
        <f t="shared" si="83"/>
        <v>0</v>
      </c>
    </row>
    <row r="172" spans="1:44" x14ac:dyDescent="0.25">
      <c r="A172" s="9" t="str">
        <f t="array" ref="A172">IFERROR(INDEX(Output!A$1:A$2000,MATCH(0,COUNTIF(Prediction!$A$7:A171,Output!A$1:A$2000),0)),"")</f>
        <v/>
      </c>
      <c r="B172" t="str">
        <f>IFERROR(VLOOKUP($A172,Output!$A:$M,2,FALSE),"")</f>
        <v/>
      </c>
      <c r="C172" t="str">
        <f>IFERROR(VLOOKUP(B172,Departments!B:C,2,FALSE),"")</f>
        <v/>
      </c>
      <c r="D172" t="str">
        <f>IFERROR(VLOOKUP($A172,Output!$A:$M,13,FALSE),"")</f>
        <v/>
      </c>
      <c r="E172" s="29">
        <f>IFERROR(VLOOKUP($D172,Schedules!$A:$I,MATCH(Prediction!E$6,Schedules!$A$1:$H$1,0),FALSE),0)</f>
        <v>0</v>
      </c>
      <c r="F172" s="24">
        <f>IF(E172=0,0,SUMIFS(Output!$L:$L,Output!$A:$A,Prediction!$A172,Output!$C:$C,Prediction!E$5))</f>
        <v>0</v>
      </c>
      <c r="G172" s="24">
        <f t="shared" si="66"/>
        <v>0</v>
      </c>
      <c r="H172" s="45">
        <f t="shared" si="73"/>
        <v>0</v>
      </c>
      <c r="I172" s="30">
        <f>SUMIFS(Output!$L:$L,Output!$A:$A,Prediction!$A172,Output!$C:$C,Prediction!E$5)</f>
        <v>0</v>
      </c>
      <c r="J172" s="29">
        <f>IFERROR(VLOOKUP($D172,Schedules!$A:$I,MATCH(Prediction!J$6,Schedules!$A$1:$H$1,0),FALSE),0)</f>
        <v>0</v>
      </c>
      <c r="K172" s="24">
        <f>IF(J172=0,0,SUMIFS(Output!$L:$L,Output!$A:$A,Prediction!$A172,Output!$C:$C,Prediction!J$5))</f>
        <v>0</v>
      </c>
      <c r="L172" s="24">
        <f t="shared" si="67"/>
        <v>0</v>
      </c>
      <c r="M172" s="24">
        <f t="shared" si="74"/>
        <v>0</v>
      </c>
      <c r="N172" s="30">
        <f>SUMIFS(Output!$L:$L,Output!$A:$A,Prediction!$A172,Output!$C:$C,Prediction!J$5)</f>
        <v>0</v>
      </c>
      <c r="O172" s="29">
        <f>IFERROR(VLOOKUP($D172,Schedules!$A:$I,MATCH(Prediction!O$6,Schedules!$A$1:$H$1,0),FALSE),0)</f>
        <v>0</v>
      </c>
      <c r="P172" s="24">
        <f>IF(O172=0,0,SUMIFS(Output!$L:$L,Output!$A:$A,Prediction!$A172,Output!$C:$C,Prediction!O$5))</f>
        <v>0</v>
      </c>
      <c r="Q172" s="24">
        <f t="shared" si="68"/>
        <v>0</v>
      </c>
      <c r="R172" s="24">
        <f t="shared" si="75"/>
        <v>0</v>
      </c>
      <c r="S172" s="30">
        <f>SUMIFS(Output!$L:$L,Output!$A:$A,Prediction!$A172,Output!$C:$C,Prediction!O$5)</f>
        <v>0</v>
      </c>
      <c r="T172" s="29">
        <f>IFERROR(VLOOKUP($D172,Schedules!$A:$I,MATCH(Prediction!T$6,Schedules!$A$1:$H$1,0),FALSE),0)</f>
        <v>0</v>
      </c>
      <c r="U172" s="24">
        <f>IF(T172=0,0,SUMIFS(Output!$L:$L,Output!$A:$A,Prediction!$A172,Output!$C:$C,Prediction!T$5))</f>
        <v>0</v>
      </c>
      <c r="V172" s="24">
        <f t="shared" si="76"/>
        <v>0</v>
      </c>
      <c r="W172" s="24">
        <f t="shared" si="77"/>
        <v>0</v>
      </c>
      <c r="X172" s="30">
        <f>SUMIFS(Output!$L:$L,Output!$A:$A,Prediction!$A172,Output!$C:$C,Prediction!T$5)</f>
        <v>0</v>
      </c>
      <c r="Y172" s="25">
        <f>IFERROR(VLOOKUP($D172,Schedules!$A:$I,MATCH(Prediction!Y$6,Schedules!$A$1:$H$1,0),FALSE),0)</f>
        <v>0</v>
      </c>
      <c r="Z172" s="24">
        <f>IF(Y172=0,0,SUMIFS(Output!$L:$L,Output!$A:$A,Prediction!$A172,Output!$C:$C,Prediction!Y$5))</f>
        <v>0</v>
      </c>
      <c r="AA172" s="24">
        <f t="shared" si="69"/>
        <v>0</v>
      </c>
      <c r="AB172" s="24">
        <f t="shared" si="78"/>
        <v>0</v>
      </c>
      <c r="AC172" s="30">
        <f>SUMIFS(Output!$L:$L,Output!$A:$A,Prediction!$A172,Output!$C:$C,Prediction!Y$5)</f>
        <v>0</v>
      </c>
      <c r="AD172" s="29">
        <f>IFERROR(VLOOKUP($D172,Schedules!$A:$I,MATCH(Prediction!AD$6,Schedules!$A$1:$H$1,0),FALSE),0)</f>
        <v>0</v>
      </c>
      <c r="AE172" s="24">
        <f>IF(AD172=0,0,SUMIFS(Output!$L:$L,Output!$A:$A,Prediction!$A172,Output!$C:$C,Prediction!AD$5))</f>
        <v>0</v>
      </c>
      <c r="AF172" s="24">
        <f t="shared" si="70"/>
        <v>0</v>
      </c>
      <c r="AG172" s="24">
        <f t="shared" si="79"/>
        <v>0</v>
      </c>
      <c r="AH172" s="30">
        <f>SUMIFS(Output!$L:$L,Output!$A:$A,Prediction!$A172,Output!$C:$C,Prediction!AD$5)</f>
        <v>0</v>
      </c>
      <c r="AI172" s="29">
        <f>IFERROR(VLOOKUP($D172,Schedules!$A:$I,MATCH(Prediction!AI$6,Schedules!$A$1:$H$1,0),FALSE),0)</f>
        <v>0</v>
      </c>
      <c r="AJ172" s="24">
        <f>IF(AI172=0,0,SUMIFS(Output!$L:$L,Output!$A:$A,Prediction!$A172,Output!$C:$C,Prediction!AI$5))</f>
        <v>0</v>
      </c>
      <c r="AK172" s="24">
        <f t="shared" si="71"/>
        <v>0</v>
      </c>
      <c r="AL172" s="24">
        <f t="shared" si="80"/>
        <v>0</v>
      </c>
      <c r="AM172" s="30">
        <f>SUMIFS(Output!$L:$L,Output!$A:$A,Prediction!$A172,Output!$C:$C,Prediction!AI$5)</f>
        <v>0</v>
      </c>
      <c r="AN172">
        <f t="shared" si="81"/>
        <v>0</v>
      </c>
      <c r="AO172" s="3">
        <f t="shared" si="82"/>
        <v>0</v>
      </c>
      <c r="AP172" s="44"/>
      <c r="AQ172" s="3">
        <f t="shared" si="72"/>
        <v>0</v>
      </c>
      <c r="AR172" s="3">
        <f t="shared" si="83"/>
        <v>0</v>
      </c>
    </row>
    <row r="173" spans="1:44" x14ac:dyDescent="0.25">
      <c r="A173" s="9" t="str">
        <f t="array" ref="A173">IFERROR(INDEX(Output!A$1:A$2000,MATCH(0,COUNTIF(Prediction!$A$7:A172,Output!A$1:A$2000),0)),"")</f>
        <v/>
      </c>
      <c r="B173" t="str">
        <f>IFERROR(VLOOKUP($A173,Output!$A:$M,2,FALSE),"")</f>
        <v/>
      </c>
      <c r="C173" t="str">
        <f>IFERROR(VLOOKUP(B173,Departments!B:C,2,FALSE),"")</f>
        <v/>
      </c>
      <c r="D173" t="str">
        <f>IFERROR(VLOOKUP($A173,Output!$A:$M,13,FALSE),"")</f>
        <v/>
      </c>
      <c r="E173" s="29">
        <f>IFERROR(VLOOKUP($D173,Schedules!$A:$I,MATCH(Prediction!E$6,Schedules!$A$1:$H$1,0),FALSE),0)</f>
        <v>0</v>
      </c>
      <c r="F173" s="24">
        <f>IF(E173=0,0,SUMIFS(Output!$L:$L,Output!$A:$A,Prediction!$A173,Output!$C:$C,Prediction!E$5))</f>
        <v>0</v>
      </c>
      <c r="G173" s="24">
        <f t="shared" si="66"/>
        <v>0</v>
      </c>
      <c r="H173" s="45">
        <f t="shared" si="73"/>
        <v>0</v>
      </c>
      <c r="I173" s="30">
        <f>SUMIFS(Output!$L:$L,Output!$A:$A,Prediction!$A173,Output!$C:$C,Prediction!E$5)</f>
        <v>0</v>
      </c>
      <c r="J173" s="29">
        <f>IFERROR(VLOOKUP($D173,Schedules!$A:$I,MATCH(Prediction!J$6,Schedules!$A$1:$H$1,0),FALSE),0)</f>
        <v>0</v>
      </c>
      <c r="K173" s="24">
        <f>IF(J173=0,0,SUMIFS(Output!$L:$L,Output!$A:$A,Prediction!$A173,Output!$C:$C,Prediction!J$5))</f>
        <v>0</v>
      </c>
      <c r="L173" s="24">
        <f t="shared" si="67"/>
        <v>0</v>
      </c>
      <c r="M173" s="24">
        <f t="shared" si="74"/>
        <v>0</v>
      </c>
      <c r="N173" s="30">
        <f>SUMIFS(Output!$L:$L,Output!$A:$A,Prediction!$A173,Output!$C:$C,Prediction!J$5)</f>
        <v>0</v>
      </c>
      <c r="O173" s="29">
        <f>IFERROR(VLOOKUP($D173,Schedules!$A:$I,MATCH(Prediction!O$6,Schedules!$A$1:$H$1,0),FALSE),0)</f>
        <v>0</v>
      </c>
      <c r="P173" s="24">
        <f>IF(O173=0,0,SUMIFS(Output!$L:$L,Output!$A:$A,Prediction!$A173,Output!$C:$C,Prediction!O$5))</f>
        <v>0</v>
      </c>
      <c r="Q173" s="24">
        <f t="shared" si="68"/>
        <v>0</v>
      </c>
      <c r="R173" s="24">
        <f t="shared" si="75"/>
        <v>0</v>
      </c>
      <c r="S173" s="30">
        <f>SUMIFS(Output!$L:$L,Output!$A:$A,Prediction!$A173,Output!$C:$C,Prediction!O$5)</f>
        <v>0</v>
      </c>
      <c r="T173" s="29">
        <f>IFERROR(VLOOKUP($D173,Schedules!$A:$I,MATCH(Prediction!T$6,Schedules!$A$1:$H$1,0),FALSE),0)</f>
        <v>0</v>
      </c>
      <c r="U173" s="24">
        <f>IF(T173=0,0,SUMIFS(Output!$L:$L,Output!$A:$A,Prediction!$A173,Output!$C:$C,Prediction!T$5))</f>
        <v>0</v>
      </c>
      <c r="V173" s="24">
        <f t="shared" si="76"/>
        <v>0</v>
      </c>
      <c r="W173" s="24">
        <f t="shared" si="77"/>
        <v>0</v>
      </c>
      <c r="X173" s="30">
        <f>SUMIFS(Output!$L:$L,Output!$A:$A,Prediction!$A173,Output!$C:$C,Prediction!T$5)</f>
        <v>0</v>
      </c>
      <c r="Y173" s="25">
        <f>IFERROR(VLOOKUP($D173,Schedules!$A:$I,MATCH(Prediction!Y$6,Schedules!$A$1:$H$1,0),FALSE),0)</f>
        <v>0</v>
      </c>
      <c r="Z173" s="24">
        <f>IF(Y173=0,0,SUMIFS(Output!$L:$L,Output!$A:$A,Prediction!$A173,Output!$C:$C,Prediction!Y$5))</f>
        <v>0</v>
      </c>
      <c r="AA173" s="24">
        <f t="shared" si="69"/>
        <v>0</v>
      </c>
      <c r="AB173" s="24">
        <f t="shared" si="78"/>
        <v>0</v>
      </c>
      <c r="AC173" s="30">
        <f>SUMIFS(Output!$L:$L,Output!$A:$A,Prediction!$A173,Output!$C:$C,Prediction!Y$5)</f>
        <v>0</v>
      </c>
      <c r="AD173" s="29">
        <f>IFERROR(VLOOKUP($D173,Schedules!$A:$I,MATCH(Prediction!AD$6,Schedules!$A$1:$H$1,0),FALSE),0)</f>
        <v>0</v>
      </c>
      <c r="AE173" s="24">
        <f>IF(AD173=0,0,SUMIFS(Output!$L:$L,Output!$A:$A,Prediction!$A173,Output!$C:$C,Prediction!AD$5))</f>
        <v>0</v>
      </c>
      <c r="AF173" s="24">
        <f t="shared" si="70"/>
        <v>0</v>
      </c>
      <c r="AG173" s="24">
        <f t="shared" si="79"/>
        <v>0</v>
      </c>
      <c r="AH173" s="30">
        <f>SUMIFS(Output!$L:$L,Output!$A:$A,Prediction!$A173,Output!$C:$C,Prediction!AD$5)</f>
        <v>0</v>
      </c>
      <c r="AI173" s="29">
        <f>IFERROR(VLOOKUP($D173,Schedules!$A:$I,MATCH(Prediction!AI$6,Schedules!$A$1:$H$1,0),FALSE),0)</f>
        <v>0</v>
      </c>
      <c r="AJ173" s="24">
        <f>IF(AI173=0,0,SUMIFS(Output!$L:$L,Output!$A:$A,Prediction!$A173,Output!$C:$C,Prediction!AI$5))</f>
        <v>0</v>
      </c>
      <c r="AK173" s="24">
        <f t="shared" si="71"/>
        <v>0</v>
      </c>
      <c r="AL173" s="24">
        <f t="shared" si="80"/>
        <v>0</v>
      </c>
      <c r="AM173" s="30">
        <f>SUMIFS(Output!$L:$L,Output!$A:$A,Prediction!$A173,Output!$C:$C,Prediction!AI$5)</f>
        <v>0</v>
      </c>
      <c r="AN173">
        <f t="shared" si="81"/>
        <v>0</v>
      </c>
      <c r="AO173" s="3">
        <f t="shared" si="82"/>
        <v>0</v>
      </c>
      <c r="AP173" s="44"/>
      <c r="AQ173" s="3">
        <f t="shared" si="72"/>
        <v>0</v>
      </c>
      <c r="AR173" s="3">
        <f t="shared" si="83"/>
        <v>0</v>
      </c>
    </row>
    <row r="174" spans="1:44" x14ac:dyDescent="0.25">
      <c r="A174" s="9" t="str">
        <f t="array" ref="A174">IFERROR(INDEX(Output!A$1:A$2000,MATCH(0,COUNTIF(Prediction!$A$7:A173,Output!A$1:A$2000),0)),"")</f>
        <v/>
      </c>
      <c r="B174" t="str">
        <f>IFERROR(VLOOKUP($A174,Output!$A:$M,2,FALSE),"")</f>
        <v/>
      </c>
      <c r="C174" t="str">
        <f>IFERROR(VLOOKUP(B174,Departments!B:C,2,FALSE),"")</f>
        <v/>
      </c>
      <c r="D174" t="str">
        <f>IFERROR(VLOOKUP($A174,Output!$A:$M,13,FALSE),"")</f>
        <v/>
      </c>
      <c r="E174" s="29">
        <f>IFERROR(VLOOKUP($D174,Schedules!$A:$I,MATCH(Prediction!E$6,Schedules!$A$1:$H$1,0),FALSE),0)</f>
        <v>0</v>
      </c>
      <c r="F174" s="24">
        <f>IF(E174=0,0,SUMIFS(Output!$L:$L,Output!$A:$A,Prediction!$A174,Output!$C:$C,Prediction!E$5))</f>
        <v>0</v>
      </c>
      <c r="G174" s="24">
        <f t="shared" si="66"/>
        <v>0</v>
      </c>
      <c r="H174" s="45">
        <f t="shared" si="73"/>
        <v>0</v>
      </c>
      <c r="I174" s="30">
        <f>SUMIFS(Output!$L:$L,Output!$A:$A,Prediction!$A174,Output!$C:$C,Prediction!E$5)</f>
        <v>0</v>
      </c>
      <c r="J174" s="29">
        <f>IFERROR(VLOOKUP($D174,Schedules!$A:$I,MATCH(Prediction!J$6,Schedules!$A$1:$H$1,0),FALSE),0)</f>
        <v>0</v>
      </c>
      <c r="K174" s="24">
        <f>IF(J174=0,0,SUMIFS(Output!$L:$L,Output!$A:$A,Prediction!$A174,Output!$C:$C,Prediction!J$5))</f>
        <v>0</v>
      </c>
      <c r="L174" s="24">
        <f t="shared" si="67"/>
        <v>0</v>
      </c>
      <c r="M174" s="24">
        <f t="shared" si="74"/>
        <v>0</v>
      </c>
      <c r="N174" s="30">
        <f>SUMIFS(Output!$L:$L,Output!$A:$A,Prediction!$A174,Output!$C:$C,Prediction!J$5)</f>
        <v>0</v>
      </c>
      <c r="O174" s="29">
        <f>IFERROR(VLOOKUP($D174,Schedules!$A:$I,MATCH(Prediction!O$6,Schedules!$A$1:$H$1,0),FALSE),0)</f>
        <v>0</v>
      </c>
      <c r="P174" s="24">
        <f>IF(O174=0,0,SUMIFS(Output!$L:$L,Output!$A:$A,Prediction!$A174,Output!$C:$C,Prediction!O$5))</f>
        <v>0</v>
      </c>
      <c r="Q174" s="24">
        <f t="shared" si="68"/>
        <v>0</v>
      </c>
      <c r="R174" s="24">
        <f t="shared" si="75"/>
        <v>0</v>
      </c>
      <c r="S174" s="30">
        <f>SUMIFS(Output!$L:$L,Output!$A:$A,Prediction!$A174,Output!$C:$C,Prediction!O$5)</f>
        <v>0</v>
      </c>
      <c r="T174" s="29">
        <f>IFERROR(VLOOKUP($D174,Schedules!$A:$I,MATCH(Prediction!T$6,Schedules!$A$1:$H$1,0),FALSE),0)</f>
        <v>0</v>
      </c>
      <c r="U174" s="24">
        <f>IF(T174=0,0,SUMIFS(Output!$L:$L,Output!$A:$A,Prediction!$A174,Output!$C:$C,Prediction!T$5))</f>
        <v>0</v>
      </c>
      <c r="V174" s="24">
        <f t="shared" si="76"/>
        <v>0</v>
      </c>
      <c r="W174" s="24">
        <f t="shared" si="77"/>
        <v>0</v>
      </c>
      <c r="X174" s="30">
        <f>SUMIFS(Output!$L:$L,Output!$A:$A,Prediction!$A174,Output!$C:$C,Prediction!T$5)</f>
        <v>0</v>
      </c>
      <c r="Y174" s="25">
        <f>IFERROR(VLOOKUP($D174,Schedules!$A:$I,MATCH(Prediction!Y$6,Schedules!$A$1:$H$1,0),FALSE),0)</f>
        <v>0</v>
      </c>
      <c r="Z174" s="24">
        <f>IF(Y174=0,0,SUMIFS(Output!$L:$L,Output!$A:$A,Prediction!$A174,Output!$C:$C,Prediction!Y$5))</f>
        <v>0</v>
      </c>
      <c r="AA174" s="24">
        <f t="shared" si="69"/>
        <v>0</v>
      </c>
      <c r="AB174" s="24">
        <f t="shared" si="78"/>
        <v>0</v>
      </c>
      <c r="AC174" s="30">
        <f>SUMIFS(Output!$L:$L,Output!$A:$A,Prediction!$A174,Output!$C:$C,Prediction!Y$5)</f>
        <v>0</v>
      </c>
      <c r="AD174" s="29">
        <f>IFERROR(VLOOKUP($D174,Schedules!$A:$I,MATCH(Prediction!AD$6,Schedules!$A$1:$H$1,0),FALSE),0)</f>
        <v>0</v>
      </c>
      <c r="AE174" s="24">
        <f>IF(AD174=0,0,SUMIFS(Output!$L:$L,Output!$A:$A,Prediction!$A174,Output!$C:$C,Prediction!AD$5))</f>
        <v>0</v>
      </c>
      <c r="AF174" s="24">
        <f t="shared" si="70"/>
        <v>0</v>
      </c>
      <c r="AG174" s="24">
        <f t="shared" si="79"/>
        <v>0</v>
      </c>
      <c r="AH174" s="30">
        <f>SUMIFS(Output!$L:$L,Output!$A:$A,Prediction!$A174,Output!$C:$C,Prediction!AD$5)</f>
        <v>0</v>
      </c>
      <c r="AI174" s="29">
        <f>IFERROR(VLOOKUP($D174,Schedules!$A:$I,MATCH(Prediction!AI$6,Schedules!$A$1:$H$1,0),FALSE),0)</f>
        <v>0</v>
      </c>
      <c r="AJ174" s="24">
        <f>IF(AI174=0,0,SUMIFS(Output!$L:$L,Output!$A:$A,Prediction!$A174,Output!$C:$C,Prediction!AI$5))</f>
        <v>0</v>
      </c>
      <c r="AK174" s="24">
        <f t="shared" si="71"/>
        <v>0</v>
      </c>
      <c r="AL174" s="24">
        <f t="shared" si="80"/>
        <v>0</v>
      </c>
      <c r="AM174" s="30">
        <f>SUMIFS(Output!$L:$L,Output!$A:$A,Prediction!$A174,Output!$C:$C,Prediction!AI$5)</f>
        <v>0</v>
      </c>
      <c r="AN174">
        <f t="shared" si="81"/>
        <v>0</v>
      </c>
      <c r="AO174" s="3">
        <f t="shared" si="82"/>
        <v>0</v>
      </c>
      <c r="AP174" s="44"/>
      <c r="AQ174" s="3">
        <f t="shared" si="72"/>
        <v>0</v>
      </c>
      <c r="AR174" s="3">
        <f t="shared" si="83"/>
        <v>0</v>
      </c>
    </row>
    <row r="175" spans="1:44" x14ac:dyDescent="0.25">
      <c r="A175" s="9" t="str">
        <f t="array" ref="A175">IFERROR(INDEX(Output!A$1:A$2000,MATCH(0,COUNTIF(Prediction!$A$7:A174,Output!A$1:A$2000),0)),"")</f>
        <v/>
      </c>
      <c r="B175" t="str">
        <f>IFERROR(VLOOKUP($A175,Output!$A:$M,2,FALSE),"")</f>
        <v/>
      </c>
      <c r="C175" t="str">
        <f>IFERROR(VLOOKUP(B175,Departments!B:C,2,FALSE),"")</f>
        <v/>
      </c>
      <c r="D175" t="str">
        <f>IFERROR(VLOOKUP($A175,Output!$A:$M,13,FALSE),"")</f>
        <v/>
      </c>
      <c r="E175" s="29">
        <f>IFERROR(VLOOKUP($D175,Schedules!$A:$I,MATCH(Prediction!E$6,Schedules!$A$1:$H$1,0),FALSE),0)</f>
        <v>0</v>
      </c>
      <c r="F175" s="24">
        <f>IF(E175=0,0,SUMIFS(Output!$L:$L,Output!$A:$A,Prediction!$A175,Output!$C:$C,Prediction!E$5))</f>
        <v>0</v>
      </c>
      <c r="G175" s="24">
        <f t="shared" si="66"/>
        <v>0</v>
      </c>
      <c r="H175" s="45">
        <f t="shared" si="73"/>
        <v>0</v>
      </c>
      <c r="I175" s="30">
        <f>SUMIFS(Output!$L:$L,Output!$A:$A,Prediction!$A175,Output!$C:$C,Prediction!E$5)</f>
        <v>0</v>
      </c>
      <c r="J175" s="29">
        <f>IFERROR(VLOOKUP($D175,Schedules!$A:$I,MATCH(Prediction!J$6,Schedules!$A$1:$H$1,0),FALSE),0)</f>
        <v>0</v>
      </c>
      <c r="K175" s="24">
        <f>IF(J175=0,0,SUMIFS(Output!$L:$L,Output!$A:$A,Prediction!$A175,Output!$C:$C,Prediction!J$5))</f>
        <v>0</v>
      </c>
      <c r="L175" s="24">
        <f t="shared" si="67"/>
        <v>0</v>
      </c>
      <c r="M175" s="24">
        <f t="shared" si="74"/>
        <v>0</v>
      </c>
      <c r="N175" s="30">
        <f>SUMIFS(Output!$L:$L,Output!$A:$A,Prediction!$A175,Output!$C:$C,Prediction!J$5)</f>
        <v>0</v>
      </c>
      <c r="O175" s="29">
        <f>IFERROR(VLOOKUP($D175,Schedules!$A:$I,MATCH(Prediction!O$6,Schedules!$A$1:$H$1,0),FALSE),0)</f>
        <v>0</v>
      </c>
      <c r="P175" s="24">
        <f>IF(O175=0,0,SUMIFS(Output!$L:$L,Output!$A:$A,Prediction!$A175,Output!$C:$C,Prediction!O$5))</f>
        <v>0</v>
      </c>
      <c r="Q175" s="24">
        <f t="shared" si="68"/>
        <v>0</v>
      </c>
      <c r="R175" s="24">
        <f t="shared" si="75"/>
        <v>0</v>
      </c>
      <c r="S175" s="30">
        <f>SUMIFS(Output!$L:$L,Output!$A:$A,Prediction!$A175,Output!$C:$C,Prediction!O$5)</f>
        <v>0</v>
      </c>
      <c r="T175" s="29">
        <f>IFERROR(VLOOKUP($D175,Schedules!$A:$I,MATCH(Prediction!T$6,Schedules!$A$1:$H$1,0),FALSE),0)</f>
        <v>0</v>
      </c>
      <c r="U175" s="24">
        <f>IF(T175=0,0,SUMIFS(Output!$L:$L,Output!$A:$A,Prediction!$A175,Output!$C:$C,Prediction!T$5))</f>
        <v>0</v>
      </c>
      <c r="V175" s="24">
        <f t="shared" si="76"/>
        <v>0</v>
      </c>
      <c r="W175" s="24">
        <f t="shared" si="77"/>
        <v>0</v>
      </c>
      <c r="X175" s="30">
        <f>SUMIFS(Output!$L:$L,Output!$A:$A,Prediction!$A175,Output!$C:$C,Prediction!T$5)</f>
        <v>0</v>
      </c>
      <c r="Y175" s="25">
        <f>IFERROR(VLOOKUP($D175,Schedules!$A:$I,MATCH(Prediction!Y$6,Schedules!$A$1:$H$1,0),FALSE),0)</f>
        <v>0</v>
      </c>
      <c r="Z175" s="24">
        <f>IF(Y175=0,0,SUMIFS(Output!$L:$L,Output!$A:$A,Prediction!$A175,Output!$C:$C,Prediction!Y$5))</f>
        <v>0</v>
      </c>
      <c r="AA175" s="24">
        <f t="shared" si="69"/>
        <v>0</v>
      </c>
      <c r="AB175" s="24">
        <f t="shared" si="78"/>
        <v>0</v>
      </c>
      <c r="AC175" s="30">
        <f>SUMIFS(Output!$L:$L,Output!$A:$A,Prediction!$A175,Output!$C:$C,Prediction!Y$5)</f>
        <v>0</v>
      </c>
      <c r="AD175" s="29">
        <f>IFERROR(VLOOKUP($D175,Schedules!$A:$I,MATCH(Prediction!AD$6,Schedules!$A$1:$H$1,0),FALSE),0)</f>
        <v>0</v>
      </c>
      <c r="AE175" s="24">
        <f>IF(AD175=0,0,SUMIFS(Output!$L:$L,Output!$A:$A,Prediction!$A175,Output!$C:$C,Prediction!AD$5))</f>
        <v>0</v>
      </c>
      <c r="AF175" s="24">
        <f t="shared" si="70"/>
        <v>0</v>
      </c>
      <c r="AG175" s="24">
        <f t="shared" si="79"/>
        <v>0</v>
      </c>
      <c r="AH175" s="30">
        <f>SUMIFS(Output!$L:$L,Output!$A:$A,Prediction!$A175,Output!$C:$C,Prediction!AD$5)</f>
        <v>0</v>
      </c>
      <c r="AI175" s="29">
        <f>IFERROR(VLOOKUP($D175,Schedules!$A:$I,MATCH(Prediction!AI$6,Schedules!$A$1:$H$1,0),FALSE),0)</f>
        <v>0</v>
      </c>
      <c r="AJ175" s="24">
        <f>IF(AI175=0,0,SUMIFS(Output!$L:$L,Output!$A:$A,Prediction!$A175,Output!$C:$C,Prediction!AI$5))</f>
        <v>0</v>
      </c>
      <c r="AK175" s="24">
        <f t="shared" si="71"/>
        <v>0</v>
      </c>
      <c r="AL175" s="24">
        <f t="shared" si="80"/>
        <v>0</v>
      </c>
      <c r="AM175" s="30">
        <f>SUMIFS(Output!$L:$L,Output!$A:$A,Prediction!$A175,Output!$C:$C,Prediction!AI$5)</f>
        <v>0</v>
      </c>
      <c r="AN175">
        <f t="shared" si="81"/>
        <v>0</v>
      </c>
      <c r="AO175" s="3">
        <f t="shared" si="82"/>
        <v>0</v>
      </c>
      <c r="AP175" s="44"/>
      <c r="AQ175" s="3">
        <f t="shared" si="72"/>
        <v>0</v>
      </c>
      <c r="AR175" s="3">
        <f t="shared" si="83"/>
        <v>0</v>
      </c>
    </row>
    <row r="176" spans="1:44" x14ac:dyDescent="0.25">
      <c r="A176" s="9" t="str">
        <f t="array" ref="A176">IFERROR(INDEX(Output!A$1:A$2000,MATCH(0,COUNTIF(Prediction!$A$7:A175,Output!A$1:A$2000),0)),"")</f>
        <v/>
      </c>
      <c r="B176" t="str">
        <f>IFERROR(VLOOKUP($A176,Output!$A:$M,2,FALSE),"")</f>
        <v/>
      </c>
      <c r="C176" t="str">
        <f>IFERROR(VLOOKUP(B176,Departments!B:C,2,FALSE),"")</f>
        <v/>
      </c>
      <c r="D176" t="str">
        <f>IFERROR(VLOOKUP($A176,Output!$A:$M,13,FALSE),"")</f>
        <v/>
      </c>
      <c r="E176" s="29">
        <f>IFERROR(VLOOKUP($D176,Schedules!$A:$I,MATCH(Prediction!E$6,Schedules!$A$1:$H$1,0),FALSE),0)</f>
        <v>0</v>
      </c>
      <c r="F176" s="24">
        <f>IF(E176=0,0,SUMIFS(Output!$L:$L,Output!$A:$A,Prediction!$A176,Output!$C:$C,Prediction!E$5))</f>
        <v>0</v>
      </c>
      <c r="G176" s="24">
        <f t="shared" si="66"/>
        <v>0</v>
      </c>
      <c r="H176" s="45">
        <f t="shared" si="73"/>
        <v>0</v>
      </c>
      <c r="I176" s="30">
        <f>SUMIFS(Output!$L:$L,Output!$A:$A,Prediction!$A176,Output!$C:$C,Prediction!E$5)</f>
        <v>0</v>
      </c>
      <c r="J176" s="29">
        <f>IFERROR(VLOOKUP($D176,Schedules!$A:$I,MATCH(Prediction!J$6,Schedules!$A$1:$H$1,0),FALSE),0)</f>
        <v>0</v>
      </c>
      <c r="K176" s="24">
        <f>IF(J176=0,0,SUMIFS(Output!$L:$L,Output!$A:$A,Prediction!$A176,Output!$C:$C,Prediction!J$5))</f>
        <v>0</v>
      </c>
      <c r="L176" s="24">
        <f t="shared" si="67"/>
        <v>0</v>
      </c>
      <c r="M176" s="24">
        <f t="shared" si="74"/>
        <v>0</v>
      </c>
      <c r="N176" s="30">
        <f>SUMIFS(Output!$L:$L,Output!$A:$A,Prediction!$A176,Output!$C:$C,Prediction!J$5)</f>
        <v>0</v>
      </c>
      <c r="O176" s="29">
        <f>IFERROR(VLOOKUP($D176,Schedules!$A:$I,MATCH(Prediction!O$6,Schedules!$A$1:$H$1,0),FALSE),0)</f>
        <v>0</v>
      </c>
      <c r="P176" s="24">
        <f>IF(O176=0,0,SUMIFS(Output!$L:$L,Output!$A:$A,Prediction!$A176,Output!$C:$C,Prediction!O$5))</f>
        <v>0</v>
      </c>
      <c r="Q176" s="24">
        <f t="shared" si="68"/>
        <v>0</v>
      </c>
      <c r="R176" s="24">
        <f t="shared" si="75"/>
        <v>0</v>
      </c>
      <c r="S176" s="30">
        <f>SUMIFS(Output!$L:$L,Output!$A:$A,Prediction!$A176,Output!$C:$C,Prediction!O$5)</f>
        <v>0</v>
      </c>
      <c r="T176" s="29">
        <f>IFERROR(VLOOKUP($D176,Schedules!$A:$I,MATCH(Prediction!T$6,Schedules!$A$1:$H$1,0),FALSE),0)</f>
        <v>0</v>
      </c>
      <c r="U176" s="24">
        <f>IF(T176=0,0,SUMIFS(Output!$L:$L,Output!$A:$A,Prediction!$A176,Output!$C:$C,Prediction!T$5))</f>
        <v>0</v>
      </c>
      <c r="V176" s="24">
        <f t="shared" si="76"/>
        <v>0</v>
      </c>
      <c r="W176" s="24">
        <f t="shared" si="77"/>
        <v>0</v>
      </c>
      <c r="X176" s="30">
        <f>SUMIFS(Output!$L:$L,Output!$A:$A,Prediction!$A176,Output!$C:$C,Prediction!T$5)</f>
        <v>0</v>
      </c>
      <c r="Y176" s="25">
        <f>IFERROR(VLOOKUP($D176,Schedules!$A:$I,MATCH(Prediction!Y$6,Schedules!$A$1:$H$1,0),FALSE),0)</f>
        <v>0</v>
      </c>
      <c r="Z176" s="24">
        <f>IF(Y176=0,0,SUMIFS(Output!$L:$L,Output!$A:$A,Prediction!$A176,Output!$C:$C,Prediction!Y$5))</f>
        <v>0</v>
      </c>
      <c r="AA176" s="24">
        <f t="shared" si="69"/>
        <v>0</v>
      </c>
      <c r="AB176" s="24">
        <f t="shared" si="78"/>
        <v>0</v>
      </c>
      <c r="AC176" s="30">
        <f>SUMIFS(Output!$L:$L,Output!$A:$A,Prediction!$A176,Output!$C:$C,Prediction!Y$5)</f>
        <v>0</v>
      </c>
      <c r="AD176" s="29">
        <f>IFERROR(VLOOKUP($D176,Schedules!$A:$I,MATCH(Prediction!AD$6,Schedules!$A$1:$H$1,0),FALSE),0)</f>
        <v>0</v>
      </c>
      <c r="AE176" s="24">
        <f>IF(AD176=0,0,SUMIFS(Output!$L:$L,Output!$A:$A,Prediction!$A176,Output!$C:$C,Prediction!AD$5))</f>
        <v>0</v>
      </c>
      <c r="AF176" s="24">
        <f t="shared" si="70"/>
        <v>0</v>
      </c>
      <c r="AG176" s="24">
        <f t="shared" si="79"/>
        <v>0</v>
      </c>
      <c r="AH176" s="30">
        <f>SUMIFS(Output!$L:$L,Output!$A:$A,Prediction!$A176,Output!$C:$C,Prediction!AD$5)</f>
        <v>0</v>
      </c>
      <c r="AI176" s="29">
        <f>IFERROR(VLOOKUP($D176,Schedules!$A:$I,MATCH(Prediction!AI$6,Schedules!$A$1:$H$1,0),FALSE),0)</f>
        <v>0</v>
      </c>
      <c r="AJ176" s="24">
        <f>IF(AI176=0,0,SUMIFS(Output!$L:$L,Output!$A:$A,Prediction!$A176,Output!$C:$C,Prediction!AI$5))</f>
        <v>0</v>
      </c>
      <c r="AK176" s="24">
        <f t="shared" si="71"/>
        <v>0</v>
      </c>
      <c r="AL176" s="24">
        <f t="shared" si="80"/>
        <v>0</v>
      </c>
      <c r="AM176" s="30">
        <f>SUMIFS(Output!$L:$L,Output!$A:$A,Prediction!$A176,Output!$C:$C,Prediction!AI$5)</f>
        <v>0</v>
      </c>
      <c r="AN176">
        <f t="shared" si="81"/>
        <v>0</v>
      </c>
      <c r="AO176" s="3">
        <f t="shared" si="82"/>
        <v>0</v>
      </c>
      <c r="AP176" s="44"/>
      <c r="AQ176" s="3">
        <f t="shared" si="72"/>
        <v>0</v>
      </c>
      <c r="AR176" s="3">
        <f t="shared" si="83"/>
        <v>0</v>
      </c>
    </row>
    <row r="177" spans="1:44" x14ac:dyDescent="0.25">
      <c r="A177" s="9" t="str">
        <f t="array" ref="A177">IFERROR(INDEX(Output!A$1:A$2000,MATCH(0,COUNTIF(Prediction!$A$7:A176,Output!A$1:A$2000),0)),"")</f>
        <v/>
      </c>
      <c r="B177" t="str">
        <f>IFERROR(VLOOKUP($A177,Output!$A:$M,2,FALSE),"")</f>
        <v/>
      </c>
      <c r="C177" t="str">
        <f>IFERROR(VLOOKUP(B177,Departments!B:C,2,FALSE),"")</f>
        <v/>
      </c>
      <c r="D177" t="str">
        <f>IFERROR(VLOOKUP($A177,Output!$A:$M,13,FALSE),"")</f>
        <v/>
      </c>
      <c r="E177" s="29">
        <f>IFERROR(VLOOKUP($D177,Schedules!$A:$I,MATCH(Prediction!E$6,Schedules!$A$1:$H$1,0),FALSE),0)</f>
        <v>0</v>
      </c>
      <c r="F177" s="24">
        <f>IF(E177=0,0,SUMIFS(Output!$L:$L,Output!$A:$A,Prediction!$A177,Output!$C:$C,Prediction!E$5))</f>
        <v>0</v>
      </c>
      <c r="G177" s="24">
        <f t="shared" si="66"/>
        <v>0</v>
      </c>
      <c r="H177" s="45">
        <f t="shared" si="73"/>
        <v>0</v>
      </c>
      <c r="I177" s="30">
        <f>SUMIFS(Output!$L:$L,Output!$A:$A,Prediction!$A177,Output!$C:$C,Prediction!E$5)</f>
        <v>0</v>
      </c>
      <c r="J177" s="29">
        <f>IFERROR(VLOOKUP($D177,Schedules!$A:$I,MATCH(Prediction!J$6,Schedules!$A$1:$H$1,0),FALSE),0)</f>
        <v>0</v>
      </c>
      <c r="K177" s="24">
        <f>IF(J177=0,0,SUMIFS(Output!$L:$L,Output!$A:$A,Prediction!$A177,Output!$C:$C,Prediction!J$5))</f>
        <v>0</v>
      </c>
      <c r="L177" s="24">
        <f t="shared" si="67"/>
        <v>0</v>
      </c>
      <c r="M177" s="24">
        <f t="shared" si="74"/>
        <v>0</v>
      </c>
      <c r="N177" s="30">
        <f>SUMIFS(Output!$L:$L,Output!$A:$A,Prediction!$A177,Output!$C:$C,Prediction!J$5)</f>
        <v>0</v>
      </c>
      <c r="O177" s="29">
        <f>IFERROR(VLOOKUP($D177,Schedules!$A:$I,MATCH(Prediction!O$6,Schedules!$A$1:$H$1,0),FALSE),0)</f>
        <v>0</v>
      </c>
      <c r="P177" s="24">
        <f>IF(O177=0,0,SUMIFS(Output!$L:$L,Output!$A:$A,Prediction!$A177,Output!$C:$C,Prediction!O$5))</f>
        <v>0</v>
      </c>
      <c r="Q177" s="24">
        <f t="shared" si="68"/>
        <v>0</v>
      </c>
      <c r="R177" s="24">
        <f t="shared" si="75"/>
        <v>0</v>
      </c>
      <c r="S177" s="30">
        <f>SUMIFS(Output!$L:$L,Output!$A:$A,Prediction!$A177,Output!$C:$C,Prediction!O$5)</f>
        <v>0</v>
      </c>
      <c r="T177" s="29">
        <f>IFERROR(VLOOKUP($D177,Schedules!$A:$I,MATCH(Prediction!T$6,Schedules!$A$1:$H$1,0),FALSE),0)</f>
        <v>0</v>
      </c>
      <c r="U177" s="24">
        <f>IF(T177=0,0,SUMIFS(Output!$L:$L,Output!$A:$A,Prediction!$A177,Output!$C:$C,Prediction!T$5))</f>
        <v>0</v>
      </c>
      <c r="V177" s="24">
        <f t="shared" si="76"/>
        <v>0</v>
      </c>
      <c r="W177" s="24">
        <f t="shared" si="77"/>
        <v>0</v>
      </c>
      <c r="X177" s="30">
        <f>SUMIFS(Output!$L:$L,Output!$A:$A,Prediction!$A177,Output!$C:$C,Prediction!T$5)</f>
        <v>0</v>
      </c>
      <c r="Y177" s="25">
        <f>IFERROR(VLOOKUP($D177,Schedules!$A:$I,MATCH(Prediction!Y$6,Schedules!$A$1:$H$1,0),FALSE),0)</f>
        <v>0</v>
      </c>
      <c r="Z177" s="24">
        <f>IF(Y177=0,0,SUMIFS(Output!$L:$L,Output!$A:$A,Prediction!$A177,Output!$C:$C,Prediction!Y$5))</f>
        <v>0</v>
      </c>
      <c r="AA177" s="24">
        <f t="shared" si="69"/>
        <v>0</v>
      </c>
      <c r="AB177" s="24">
        <f t="shared" si="78"/>
        <v>0</v>
      </c>
      <c r="AC177" s="30">
        <f>SUMIFS(Output!$L:$L,Output!$A:$A,Prediction!$A177,Output!$C:$C,Prediction!Y$5)</f>
        <v>0</v>
      </c>
      <c r="AD177" s="29">
        <f>IFERROR(VLOOKUP($D177,Schedules!$A:$I,MATCH(Prediction!AD$6,Schedules!$A$1:$H$1,0),FALSE),0)</f>
        <v>0</v>
      </c>
      <c r="AE177" s="24">
        <f>IF(AD177=0,0,SUMIFS(Output!$L:$L,Output!$A:$A,Prediction!$A177,Output!$C:$C,Prediction!AD$5))</f>
        <v>0</v>
      </c>
      <c r="AF177" s="24">
        <f t="shared" si="70"/>
        <v>0</v>
      </c>
      <c r="AG177" s="24">
        <f t="shared" si="79"/>
        <v>0</v>
      </c>
      <c r="AH177" s="30">
        <f>SUMIFS(Output!$L:$L,Output!$A:$A,Prediction!$A177,Output!$C:$C,Prediction!AD$5)</f>
        <v>0</v>
      </c>
      <c r="AI177" s="29">
        <f>IFERROR(VLOOKUP($D177,Schedules!$A:$I,MATCH(Prediction!AI$6,Schedules!$A$1:$H$1,0),FALSE),0)</f>
        <v>0</v>
      </c>
      <c r="AJ177" s="24">
        <f>IF(AI177=0,0,SUMIFS(Output!$L:$L,Output!$A:$A,Prediction!$A177,Output!$C:$C,Prediction!AI$5))</f>
        <v>0</v>
      </c>
      <c r="AK177" s="24">
        <f t="shared" si="71"/>
        <v>0</v>
      </c>
      <c r="AL177" s="24">
        <f t="shared" si="80"/>
        <v>0</v>
      </c>
      <c r="AM177" s="30">
        <f>SUMIFS(Output!$L:$L,Output!$A:$A,Prediction!$A177,Output!$C:$C,Prediction!AI$5)</f>
        <v>0</v>
      </c>
      <c r="AN177">
        <f t="shared" si="81"/>
        <v>0</v>
      </c>
      <c r="AO177" s="3">
        <f t="shared" si="82"/>
        <v>0</v>
      </c>
      <c r="AP177" s="44"/>
      <c r="AQ177" s="3">
        <f t="shared" si="72"/>
        <v>0</v>
      </c>
      <c r="AR177" s="3">
        <f t="shared" si="83"/>
        <v>0</v>
      </c>
    </row>
    <row r="178" spans="1:44" x14ac:dyDescent="0.25">
      <c r="A178" s="9" t="str">
        <f t="array" ref="A178">IFERROR(INDEX(Output!A$1:A$2000,MATCH(0,COUNTIF(Prediction!$A$7:A177,Output!A$1:A$2000),0)),"")</f>
        <v/>
      </c>
      <c r="B178" t="str">
        <f>IFERROR(VLOOKUP($A178,Output!$A:$M,2,FALSE),"")</f>
        <v/>
      </c>
      <c r="C178" t="str">
        <f>IFERROR(VLOOKUP(B178,Departments!B:C,2,FALSE),"")</f>
        <v/>
      </c>
      <c r="D178" t="str">
        <f>IFERROR(VLOOKUP($A178,Output!$A:$M,13,FALSE),"")</f>
        <v/>
      </c>
      <c r="E178" s="29">
        <f>IFERROR(VLOOKUP($D178,Schedules!$A:$I,MATCH(Prediction!E$6,Schedules!$A$1:$H$1,0),FALSE),0)</f>
        <v>0</v>
      </c>
      <c r="F178" s="24">
        <f>IF(E178=0,0,SUMIFS(Output!$L:$L,Output!$A:$A,Prediction!$A178,Output!$C:$C,Prediction!E$5))</f>
        <v>0</v>
      </c>
      <c r="G178" s="24">
        <f t="shared" si="66"/>
        <v>0</v>
      </c>
      <c r="H178" s="45">
        <f t="shared" si="73"/>
        <v>0</v>
      </c>
      <c r="I178" s="30">
        <f>SUMIFS(Output!$L:$L,Output!$A:$A,Prediction!$A178,Output!$C:$C,Prediction!E$5)</f>
        <v>0</v>
      </c>
      <c r="J178" s="29">
        <f>IFERROR(VLOOKUP($D178,Schedules!$A:$I,MATCH(Prediction!J$6,Schedules!$A$1:$H$1,0),FALSE),0)</f>
        <v>0</v>
      </c>
      <c r="K178" s="24">
        <f>IF(J178=0,0,SUMIFS(Output!$L:$L,Output!$A:$A,Prediction!$A178,Output!$C:$C,Prediction!J$5))</f>
        <v>0</v>
      </c>
      <c r="L178" s="24">
        <f t="shared" si="67"/>
        <v>0</v>
      </c>
      <c r="M178" s="24">
        <f t="shared" si="74"/>
        <v>0</v>
      </c>
      <c r="N178" s="30">
        <f>SUMIFS(Output!$L:$L,Output!$A:$A,Prediction!$A178,Output!$C:$C,Prediction!J$5)</f>
        <v>0</v>
      </c>
      <c r="O178" s="29">
        <f>IFERROR(VLOOKUP($D178,Schedules!$A:$I,MATCH(Prediction!O$6,Schedules!$A$1:$H$1,0),FALSE),0)</f>
        <v>0</v>
      </c>
      <c r="P178" s="24">
        <f>IF(O178=0,0,SUMIFS(Output!$L:$L,Output!$A:$A,Prediction!$A178,Output!$C:$C,Prediction!O$5))</f>
        <v>0</v>
      </c>
      <c r="Q178" s="24">
        <f t="shared" si="68"/>
        <v>0</v>
      </c>
      <c r="R178" s="24">
        <f t="shared" si="75"/>
        <v>0</v>
      </c>
      <c r="S178" s="30">
        <f>SUMIFS(Output!$L:$L,Output!$A:$A,Prediction!$A178,Output!$C:$C,Prediction!O$5)</f>
        <v>0</v>
      </c>
      <c r="T178" s="29">
        <f>IFERROR(VLOOKUP($D178,Schedules!$A:$I,MATCH(Prediction!T$6,Schedules!$A$1:$H$1,0),FALSE),0)</f>
        <v>0</v>
      </c>
      <c r="U178" s="24">
        <f>IF(T178=0,0,SUMIFS(Output!$L:$L,Output!$A:$A,Prediction!$A178,Output!$C:$C,Prediction!T$5))</f>
        <v>0</v>
      </c>
      <c r="V178" s="24">
        <f t="shared" si="76"/>
        <v>0</v>
      </c>
      <c r="W178" s="24">
        <f t="shared" si="77"/>
        <v>0</v>
      </c>
      <c r="X178" s="30">
        <f>SUMIFS(Output!$L:$L,Output!$A:$A,Prediction!$A178,Output!$C:$C,Prediction!T$5)</f>
        <v>0</v>
      </c>
      <c r="Y178" s="25">
        <f>IFERROR(VLOOKUP($D178,Schedules!$A:$I,MATCH(Prediction!Y$6,Schedules!$A$1:$H$1,0),FALSE),0)</f>
        <v>0</v>
      </c>
      <c r="Z178" s="24">
        <f>IF(Y178=0,0,SUMIFS(Output!$L:$L,Output!$A:$A,Prediction!$A178,Output!$C:$C,Prediction!Y$5))</f>
        <v>0</v>
      </c>
      <c r="AA178" s="24">
        <f t="shared" si="69"/>
        <v>0</v>
      </c>
      <c r="AB178" s="24">
        <f t="shared" si="78"/>
        <v>0</v>
      </c>
      <c r="AC178" s="30">
        <f>SUMIFS(Output!$L:$L,Output!$A:$A,Prediction!$A178,Output!$C:$C,Prediction!Y$5)</f>
        <v>0</v>
      </c>
      <c r="AD178" s="29">
        <f>IFERROR(VLOOKUP($D178,Schedules!$A:$I,MATCH(Prediction!AD$6,Schedules!$A$1:$H$1,0),FALSE),0)</f>
        <v>0</v>
      </c>
      <c r="AE178" s="24">
        <f>IF(AD178=0,0,SUMIFS(Output!$L:$L,Output!$A:$A,Prediction!$A178,Output!$C:$C,Prediction!AD$5))</f>
        <v>0</v>
      </c>
      <c r="AF178" s="24">
        <f t="shared" si="70"/>
        <v>0</v>
      </c>
      <c r="AG178" s="24">
        <f t="shared" si="79"/>
        <v>0</v>
      </c>
      <c r="AH178" s="30">
        <f>SUMIFS(Output!$L:$L,Output!$A:$A,Prediction!$A178,Output!$C:$C,Prediction!AD$5)</f>
        <v>0</v>
      </c>
      <c r="AI178" s="29">
        <f>IFERROR(VLOOKUP($D178,Schedules!$A:$I,MATCH(Prediction!AI$6,Schedules!$A$1:$H$1,0),FALSE),0)</f>
        <v>0</v>
      </c>
      <c r="AJ178" s="24">
        <f>IF(AI178=0,0,SUMIFS(Output!$L:$L,Output!$A:$A,Prediction!$A178,Output!$C:$C,Prediction!AI$5))</f>
        <v>0</v>
      </c>
      <c r="AK178" s="24">
        <f t="shared" si="71"/>
        <v>0</v>
      </c>
      <c r="AL178" s="24">
        <f t="shared" si="80"/>
        <v>0</v>
      </c>
      <c r="AM178" s="30">
        <f>SUMIFS(Output!$L:$L,Output!$A:$A,Prediction!$A178,Output!$C:$C,Prediction!AI$5)</f>
        <v>0</v>
      </c>
      <c r="AN178">
        <f t="shared" si="81"/>
        <v>0</v>
      </c>
      <c r="AO178" s="3">
        <f t="shared" si="82"/>
        <v>0</v>
      </c>
      <c r="AP178" s="44"/>
      <c r="AQ178" s="3">
        <f t="shared" si="72"/>
        <v>0</v>
      </c>
      <c r="AR178" s="3">
        <f t="shared" si="83"/>
        <v>0</v>
      </c>
    </row>
    <row r="179" spans="1:44" x14ac:dyDescent="0.25">
      <c r="A179" s="9" t="str">
        <f t="array" ref="A179">IFERROR(INDEX(Output!A$1:A$2000,MATCH(0,COUNTIF(Prediction!$A$7:A178,Output!A$1:A$2000),0)),"")</f>
        <v/>
      </c>
      <c r="B179" t="str">
        <f>IFERROR(VLOOKUP($A179,Output!$A:$M,2,FALSE),"")</f>
        <v/>
      </c>
      <c r="C179" t="str">
        <f>IFERROR(VLOOKUP(B179,Departments!B:C,2,FALSE),"")</f>
        <v/>
      </c>
      <c r="D179" t="str">
        <f>IFERROR(VLOOKUP($A179,Output!$A:$M,13,FALSE),"")</f>
        <v/>
      </c>
      <c r="E179" s="29">
        <f>IFERROR(VLOOKUP($D179,Schedules!$A:$I,MATCH(Prediction!E$6,Schedules!$A$1:$H$1,0),FALSE),0)</f>
        <v>0</v>
      </c>
      <c r="F179" s="24">
        <f>IF(E179=0,0,SUMIFS(Output!$L:$L,Output!$A:$A,Prediction!$A179,Output!$C:$C,Prediction!E$5))</f>
        <v>0</v>
      </c>
      <c r="G179" s="24">
        <f t="shared" si="66"/>
        <v>0</v>
      </c>
      <c r="H179" s="45">
        <f t="shared" si="73"/>
        <v>0</v>
      </c>
      <c r="I179" s="30">
        <f>SUMIFS(Output!$L:$L,Output!$A:$A,Prediction!$A179,Output!$C:$C,Prediction!E$5)</f>
        <v>0</v>
      </c>
      <c r="J179" s="29">
        <f>IFERROR(VLOOKUP($D179,Schedules!$A:$I,MATCH(Prediction!J$6,Schedules!$A$1:$H$1,0),FALSE),0)</f>
        <v>0</v>
      </c>
      <c r="K179" s="24">
        <f>IF(J179=0,0,SUMIFS(Output!$L:$L,Output!$A:$A,Prediction!$A179,Output!$C:$C,Prediction!J$5))</f>
        <v>0</v>
      </c>
      <c r="L179" s="24">
        <f t="shared" si="67"/>
        <v>0</v>
      </c>
      <c r="M179" s="24">
        <f t="shared" si="74"/>
        <v>0</v>
      </c>
      <c r="N179" s="30">
        <f>SUMIFS(Output!$L:$L,Output!$A:$A,Prediction!$A179,Output!$C:$C,Prediction!J$5)</f>
        <v>0</v>
      </c>
      <c r="O179" s="29">
        <f>IFERROR(VLOOKUP($D179,Schedules!$A:$I,MATCH(Prediction!O$6,Schedules!$A$1:$H$1,0),FALSE),0)</f>
        <v>0</v>
      </c>
      <c r="P179" s="24">
        <f>IF(O179=0,0,SUMIFS(Output!$L:$L,Output!$A:$A,Prediction!$A179,Output!$C:$C,Prediction!O$5))</f>
        <v>0</v>
      </c>
      <c r="Q179" s="24">
        <f t="shared" si="68"/>
        <v>0</v>
      </c>
      <c r="R179" s="24">
        <f t="shared" si="75"/>
        <v>0</v>
      </c>
      <c r="S179" s="30">
        <f>SUMIFS(Output!$L:$L,Output!$A:$A,Prediction!$A179,Output!$C:$C,Prediction!O$5)</f>
        <v>0</v>
      </c>
      <c r="T179" s="29">
        <f>IFERROR(VLOOKUP($D179,Schedules!$A:$I,MATCH(Prediction!T$6,Schedules!$A$1:$H$1,0),FALSE),0)</f>
        <v>0</v>
      </c>
      <c r="U179" s="24">
        <f>IF(T179=0,0,SUMIFS(Output!$L:$L,Output!$A:$A,Prediction!$A179,Output!$C:$C,Prediction!T$5))</f>
        <v>0</v>
      </c>
      <c r="V179" s="24">
        <f t="shared" si="76"/>
        <v>0</v>
      </c>
      <c r="W179" s="24">
        <f t="shared" si="77"/>
        <v>0</v>
      </c>
      <c r="X179" s="30">
        <f>SUMIFS(Output!$L:$L,Output!$A:$A,Prediction!$A179,Output!$C:$C,Prediction!T$5)</f>
        <v>0</v>
      </c>
      <c r="Y179" s="25">
        <f>IFERROR(VLOOKUP($D179,Schedules!$A:$I,MATCH(Prediction!Y$6,Schedules!$A$1:$H$1,0),FALSE),0)</f>
        <v>0</v>
      </c>
      <c r="Z179" s="24">
        <f>IF(Y179=0,0,SUMIFS(Output!$L:$L,Output!$A:$A,Prediction!$A179,Output!$C:$C,Prediction!Y$5))</f>
        <v>0</v>
      </c>
      <c r="AA179" s="24">
        <f t="shared" si="69"/>
        <v>0</v>
      </c>
      <c r="AB179" s="24">
        <f t="shared" si="78"/>
        <v>0</v>
      </c>
      <c r="AC179" s="30">
        <f>SUMIFS(Output!$L:$L,Output!$A:$A,Prediction!$A179,Output!$C:$C,Prediction!Y$5)</f>
        <v>0</v>
      </c>
      <c r="AD179" s="29">
        <f>IFERROR(VLOOKUP($D179,Schedules!$A:$I,MATCH(Prediction!AD$6,Schedules!$A$1:$H$1,0),FALSE),0)</f>
        <v>0</v>
      </c>
      <c r="AE179" s="24">
        <f>IF(AD179=0,0,SUMIFS(Output!$L:$L,Output!$A:$A,Prediction!$A179,Output!$C:$C,Prediction!AD$5))</f>
        <v>0</v>
      </c>
      <c r="AF179" s="24">
        <f t="shared" si="70"/>
        <v>0</v>
      </c>
      <c r="AG179" s="24">
        <f t="shared" si="79"/>
        <v>0</v>
      </c>
      <c r="AH179" s="30">
        <f>SUMIFS(Output!$L:$L,Output!$A:$A,Prediction!$A179,Output!$C:$C,Prediction!AD$5)</f>
        <v>0</v>
      </c>
      <c r="AI179" s="29">
        <f>IFERROR(VLOOKUP($D179,Schedules!$A:$I,MATCH(Prediction!AI$6,Schedules!$A$1:$H$1,0),FALSE),0)</f>
        <v>0</v>
      </c>
      <c r="AJ179" s="24">
        <f>IF(AI179=0,0,SUMIFS(Output!$L:$L,Output!$A:$A,Prediction!$A179,Output!$C:$C,Prediction!AI$5))</f>
        <v>0</v>
      </c>
      <c r="AK179" s="24">
        <f t="shared" si="71"/>
        <v>0</v>
      </c>
      <c r="AL179" s="24">
        <f t="shared" si="80"/>
        <v>0</v>
      </c>
      <c r="AM179" s="30">
        <f>SUMIFS(Output!$L:$L,Output!$A:$A,Prediction!$A179,Output!$C:$C,Prediction!AI$5)</f>
        <v>0</v>
      </c>
      <c r="AN179">
        <f t="shared" si="81"/>
        <v>0</v>
      </c>
      <c r="AO179" s="3">
        <f t="shared" si="82"/>
        <v>0</v>
      </c>
      <c r="AP179" s="44"/>
      <c r="AQ179" s="3">
        <f t="shared" si="72"/>
        <v>0</v>
      </c>
      <c r="AR179" s="3">
        <f t="shared" si="83"/>
        <v>0</v>
      </c>
    </row>
    <row r="180" spans="1:44" x14ac:dyDescent="0.25">
      <c r="A180" s="9" t="str">
        <f t="array" ref="A180">IFERROR(INDEX(Output!A$1:A$2000,MATCH(0,COUNTIF(Prediction!$A$7:A179,Output!A$1:A$2000),0)),"")</f>
        <v/>
      </c>
      <c r="B180" t="str">
        <f>IFERROR(VLOOKUP($A180,Output!$A:$M,2,FALSE),"")</f>
        <v/>
      </c>
      <c r="C180" t="str">
        <f>IFERROR(VLOOKUP(B180,Departments!B:C,2,FALSE),"")</f>
        <v/>
      </c>
      <c r="D180" t="str">
        <f>IFERROR(VLOOKUP($A180,Output!$A:$M,13,FALSE),"")</f>
        <v/>
      </c>
      <c r="E180" s="29">
        <f>IFERROR(VLOOKUP($D180,Schedules!$A:$I,MATCH(Prediction!E$6,Schedules!$A$1:$H$1,0),FALSE),0)</f>
        <v>0</v>
      </c>
      <c r="F180" s="24">
        <f>IF(E180=0,0,SUMIFS(Output!$L:$L,Output!$A:$A,Prediction!$A180,Output!$C:$C,Prediction!E$5))</f>
        <v>0</v>
      </c>
      <c r="G180" s="24">
        <f t="shared" si="66"/>
        <v>0</v>
      </c>
      <c r="H180" s="45">
        <f t="shared" si="73"/>
        <v>0</v>
      </c>
      <c r="I180" s="30">
        <f>SUMIFS(Output!$L:$L,Output!$A:$A,Prediction!$A180,Output!$C:$C,Prediction!E$5)</f>
        <v>0</v>
      </c>
      <c r="J180" s="29">
        <f>IFERROR(VLOOKUP($D180,Schedules!$A:$I,MATCH(Prediction!J$6,Schedules!$A$1:$H$1,0),FALSE),0)</f>
        <v>0</v>
      </c>
      <c r="K180" s="24">
        <f>IF(J180=0,0,SUMIFS(Output!$L:$L,Output!$A:$A,Prediction!$A180,Output!$C:$C,Prediction!J$5))</f>
        <v>0</v>
      </c>
      <c r="L180" s="24">
        <f t="shared" si="67"/>
        <v>0</v>
      </c>
      <c r="M180" s="24">
        <f t="shared" si="74"/>
        <v>0</v>
      </c>
      <c r="N180" s="30">
        <f>SUMIFS(Output!$L:$L,Output!$A:$A,Prediction!$A180,Output!$C:$C,Prediction!J$5)</f>
        <v>0</v>
      </c>
      <c r="O180" s="29">
        <f>IFERROR(VLOOKUP($D180,Schedules!$A:$I,MATCH(Prediction!O$6,Schedules!$A$1:$H$1,0),FALSE),0)</f>
        <v>0</v>
      </c>
      <c r="P180" s="24">
        <f>IF(O180=0,0,SUMIFS(Output!$L:$L,Output!$A:$A,Prediction!$A180,Output!$C:$C,Prediction!O$5))</f>
        <v>0</v>
      </c>
      <c r="Q180" s="24">
        <f t="shared" si="68"/>
        <v>0</v>
      </c>
      <c r="R180" s="24">
        <f t="shared" si="75"/>
        <v>0</v>
      </c>
      <c r="S180" s="30">
        <f>SUMIFS(Output!$L:$L,Output!$A:$A,Prediction!$A180,Output!$C:$C,Prediction!O$5)</f>
        <v>0</v>
      </c>
      <c r="T180" s="29">
        <f>IFERROR(VLOOKUP($D180,Schedules!$A:$I,MATCH(Prediction!T$6,Schedules!$A$1:$H$1,0),FALSE),0)</f>
        <v>0</v>
      </c>
      <c r="U180" s="24">
        <f>IF(T180=0,0,SUMIFS(Output!$L:$L,Output!$A:$A,Prediction!$A180,Output!$C:$C,Prediction!T$5))</f>
        <v>0</v>
      </c>
      <c r="V180" s="24">
        <f t="shared" si="76"/>
        <v>0</v>
      </c>
      <c r="W180" s="24">
        <f t="shared" si="77"/>
        <v>0</v>
      </c>
      <c r="X180" s="30">
        <f>SUMIFS(Output!$L:$L,Output!$A:$A,Prediction!$A180,Output!$C:$C,Prediction!T$5)</f>
        <v>0</v>
      </c>
      <c r="Y180" s="25">
        <f>IFERROR(VLOOKUP($D180,Schedules!$A:$I,MATCH(Prediction!Y$6,Schedules!$A$1:$H$1,0),FALSE),0)</f>
        <v>0</v>
      </c>
      <c r="Z180" s="24">
        <f>IF(Y180=0,0,SUMIFS(Output!$L:$L,Output!$A:$A,Prediction!$A180,Output!$C:$C,Prediction!Y$5))</f>
        <v>0</v>
      </c>
      <c r="AA180" s="24">
        <f t="shared" si="69"/>
        <v>0</v>
      </c>
      <c r="AB180" s="24">
        <f t="shared" si="78"/>
        <v>0</v>
      </c>
      <c r="AC180" s="30">
        <f>SUMIFS(Output!$L:$L,Output!$A:$A,Prediction!$A180,Output!$C:$C,Prediction!Y$5)</f>
        <v>0</v>
      </c>
      <c r="AD180" s="29">
        <f>IFERROR(VLOOKUP($D180,Schedules!$A:$I,MATCH(Prediction!AD$6,Schedules!$A$1:$H$1,0),FALSE),0)</f>
        <v>0</v>
      </c>
      <c r="AE180" s="24">
        <f>IF(AD180=0,0,SUMIFS(Output!$L:$L,Output!$A:$A,Prediction!$A180,Output!$C:$C,Prediction!AD$5))</f>
        <v>0</v>
      </c>
      <c r="AF180" s="24">
        <f t="shared" si="70"/>
        <v>0</v>
      </c>
      <c r="AG180" s="24">
        <f t="shared" si="79"/>
        <v>0</v>
      </c>
      <c r="AH180" s="30">
        <f>SUMIFS(Output!$L:$L,Output!$A:$A,Prediction!$A180,Output!$C:$C,Prediction!AD$5)</f>
        <v>0</v>
      </c>
      <c r="AI180" s="29">
        <f>IFERROR(VLOOKUP($D180,Schedules!$A:$I,MATCH(Prediction!AI$6,Schedules!$A$1:$H$1,0),FALSE),0)</f>
        <v>0</v>
      </c>
      <c r="AJ180" s="24">
        <f>IF(AI180=0,0,SUMIFS(Output!$L:$L,Output!$A:$A,Prediction!$A180,Output!$C:$C,Prediction!AI$5))</f>
        <v>0</v>
      </c>
      <c r="AK180" s="24">
        <f t="shared" si="71"/>
        <v>0</v>
      </c>
      <c r="AL180" s="24">
        <f t="shared" si="80"/>
        <v>0</v>
      </c>
      <c r="AM180" s="30">
        <f>SUMIFS(Output!$L:$L,Output!$A:$A,Prediction!$A180,Output!$C:$C,Prediction!AI$5)</f>
        <v>0</v>
      </c>
      <c r="AN180">
        <f t="shared" si="81"/>
        <v>0</v>
      </c>
      <c r="AO180" s="3">
        <f t="shared" si="82"/>
        <v>0</v>
      </c>
      <c r="AP180" s="44"/>
      <c r="AQ180" s="3">
        <f t="shared" si="72"/>
        <v>0</v>
      </c>
      <c r="AR180" s="3">
        <f t="shared" si="83"/>
        <v>0</v>
      </c>
    </row>
    <row r="181" spans="1:44" x14ac:dyDescent="0.25">
      <c r="A181" s="9" t="str">
        <f t="array" ref="A181">IFERROR(INDEX(Output!A$1:A$2000,MATCH(0,COUNTIF(Prediction!$A$7:A180,Output!A$1:A$2000),0)),"")</f>
        <v/>
      </c>
      <c r="B181" t="str">
        <f>IFERROR(VLOOKUP($A181,Output!$A:$M,2,FALSE),"")</f>
        <v/>
      </c>
      <c r="C181" t="str">
        <f>IFERROR(VLOOKUP(B181,Departments!B:C,2,FALSE),"")</f>
        <v/>
      </c>
      <c r="D181" t="str">
        <f>IFERROR(VLOOKUP($A181,Output!$A:$M,13,FALSE),"")</f>
        <v/>
      </c>
      <c r="E181" s="29">
        <f>IFERROR(VLOOKUP($D181,Schedules!$A:$I,MATCH(Prediction!E$6,Schedules!$A$1:$H$1,0),FALSE),0)</f>
        <v>0</v>
      </c>
      <c r="F181" s="24">
        <f>IF(E181=0,0,SUMIFS(Output!$L:$L,Output!$A:$A,Prediction!$A181,Output!$C:$C,Prediction!E$5))</f>
        <v>0</v>
      </c>
      <c r="G181" s="24">
        <f t="shared" si="66"/>
        <v>0</v>
      </c>
      <c r="H181" s="45">
        <f t="shared" si="73"/>
        <v>0</v>
      </c>
      <c r="I181" s="30">
        <f>SUMIFS(Output!$L:$L,Output!$A:$A,Prediction!$A181,Output!$C:$C,Prediction!E$5)</f>
        <v>0</v>
      </c>
      <c r="J181" s="29">
        <f>IFERROR(VLOOKUP($D181,Schedules!$A:$I,MATCH(Prediction!J$6,Schedules!$A$1:$H$1,0),FALSE),0)</f>
        <v>0</v>
      </c>
      <c r="K181" s="24">
        <f>IF(J181=0,0,SUMIFS(Output!$L:$L,Output!$A:$A,Prediction!$A181,Output!$C:$C,Prediction!J$5))</f>
        <v>0</v>
      </c>
      <c r="L181" s="24">
        <f t="shared" si="67"/>
        <v>0</v>
      </c>
      <c r="M181" s="24">
        <f t="shared" si="74"/>
        <v>0</v>
      </c>
      <c r="N181" s="30">
        <f>SUMIFS(Output!$L:$L,Output!$A:$A,Prediction!$A181,Output!$C:$C,Prediction!J$5)</f>
        <v>0</v>
      </c>
      <c r="O181" s="29">
        <f>IFERROR(VLOOKUP($D181,Schedules!$A:$I,MATCH(Prediction!O$6,Schedules!$A$1:$H$1,0),FALSE),0)</f>
        <v>0</v>
      </c>
      <c r="P181" s="24">
        <f>IF(O181=0,0,SUMIFS(Output!$L:$L,Output!$A:$A,Prediction!$A181,Output!$C:$C,Prediction!O$5))</f>
        <v>0</v>
      </c>
      <c r="Q181" s="24">
        <f t="shared" si="68"/>
        <v>0</v>
      </c>
      <c r="R181" s="24">
        <f t="shared" si="75"/>
        <v>0</v>
      </c>
      <c r="S181" s="30">
        <f>SUMIFS(Output!$L:$L,Output!$A:$A,Prediction!$A181,Output!$C:$C,Prediction!O$5)</f>
        <v>0</v>
      </c>
      <c r="T181" s="29">
        <f>IFERROR(VLOOKUP($D181,Schedules!$A:$I,MATCH(Prediction!T$6,Schedules!$A$1:$H$1,0),FALSE),0)</f>
        <v>0</v>
      </c>
      <c r="U181" s="24">
        <f>IF(T181=0,0,SUMIFS(Output!$L:$L,Output!$A:$A,Prediction!$A181,Output!$C:$C,Prediction!T$5))</f>
        <v>0</v>
      </c>
      <c r="V181" s="24">
        <f t="shared" si="76"/>
        <v>0</v>
      </c>
      <c r="W181" s="24">
        <f t="shared" si="77"/>
        <v>0</v>
      </c>
      <c r="X181" s="30">
        <f>SUMIFS(Output!$L:$L,Output!$A:$A,Prediction!$A181,Output!$C:$C,Prediction!T$5)</f>
        <v>0</v>
      </c>
      <c r="Y181" s="25">
        <f>IFERROR(VLOOKUP($D181,Schedules!$A:$I,MATCH(Prediction!Y$6,Schedules!$A$1:$H$1,0),FALSE),0)</f>
        <v>0</v>
      </c>
      <c r="Z181" s="24">
        <f>IF(Y181=0,0,SUMIFS(Output!$L:$L,Output!$A:$A,Prediction!$A181,Output!$C:$C,Prediction!Y$5))</f>
        <v>0</v>
      </c>
      <c r="AA181" s="24">
        <f t="shared" si="69"/>
        <v>0</v>
      </c>
      <c r="AB181" s="24">
        <f t="shared" si="78"/>
        <v>0</v>
      </c>
      <c r="AC181" s="30">
        <f>SUMIFS(Output!$L:$L,Output!$A:$A,Prediction!$A181,Output!$C:$C,Prediction!Y$5)</f>
        <v>0</v>
      </c>
      <c r="AD181" s="29">
        <f>IFERROR(VLOOKUP($D181,Schedules!$A:$I,MATCH(Prediction!AD$6,Schedules!$A$1:$H$1,0),FALSE),0)</f>
        <v>0</v>
      </c>
      <c r="AE181" s="24">
        <f>IF(AD181=0,0,SUMIFS(Output!$L:$L,Output!$A:$A,Prediction!$A181,Output!$C:$C,Prediction!AD$5))</f>
        <v>0</v>
      </c>
      <c r="AF181" s="24">
        <f t="shared" si="70"/>
        <v>0</v>
      </c>
      <c r="AG181" s="24">
        <f t="shared" si="79"/>
        <v>0</v>
      </c>
      <c r="AH181" s="30">
        <f>SUMIFS(Output!$L:$L,Output!$A:$A,Prediction!$A181,Output!$C:$C,Prediction!AD$5)</f>
        <v>0</v>
      </c>
      <c r="AI181" s="29">
        <f>IFERROR(VLOOKUP($D181,Schedules!$A:$I,MATCH(Prediction!AI$6,Schedules!$A$1:$H$1,0),FALSE),0)</f>
        <v>0</v>
      </c>
      <c r="AJ181" s="24">
        <f>IF(AI181=0,0,SUMIFS(Output!$L:$L,Output!$A:$A,Prediction!$A181,Output!$C:$C,Prediction!AI$5))</f>
        <v>0</v>
      </c>
      <c r="AK181" s="24">
        <f t="shared" si="71"/>
        <v>0</v>
      </c>
      <c r="AL181" s="24">
        <f t="shared" si="80"/>
        <v>0</v>
      </c>
      <c r="AM181" s="30">
        <f>SUMIFS(Output!$L:$L,Output!$A:$A,Prediction!$A181,Output!$C:$C,Prediction!AI$5)</f>
        <v>0</v>
      </c>
      <c r="AN181">
        <f t="shared" si="81"/>
        <v>0</v>
      </c>
      <c r="AO181" s="3">
        <f t="shared" si="82"/>
        <v>0</v>
      </c>
      <c r="AP181" s="44"/>
      <c r="AQ181" s="3">
        <f t="shared" si="72"/>
        <v>0</v>
      </c>
      <c r="AR181" s="3">
        <f t="shared" si="83"/>
        <v>0</v>
      </c>
    </row>
    <row r="182" spans="1:44" x14ac:dyDescent="0.25">
      <c r="A182" s="9" t="str">
        <f t="array" ref="A182">IFERROR(INDEX(Output!A$1:A$2000,MATCH(0,COUNTIF(Prediction!$A$7:A181,Output!A$1:A$2000),0)),"")</f>
        <v/>
      </c>
      <c r="B182" t="str">
        <f>IFERROR(VLOOKUP($A182,Output!$A:$M,2,FALSE),"")</f>
        <v/>
      </c>
      <c r="C182" t="str">
        <f>IFERROR(VLOOKUP(B182,Departments!B:C,2,FALSE),"")</f>
        <v/>
      </c>
      <c r="D182" t="str">
        <f>IFERROR(VLOOKUP($A182,Output!$A:$M,13,FALSE),"")</f>
        <v/>
      </c>
      <c r="E182" s="29">
        <f>IFERROR(VLOOKUP($D182,Schedules!$A:$I,MATCH(Prediction!E$6,Schedules!$A$1:$H$1,0),FALSE),0)</f>
        <v>0</v>
      </c>
      <c r="F182" s="24">
        <f>IF(E182=0,0,SUMIFS(Output!$L:$L,Output!$A:$A,Prediction!$A182,Output!$C:$C,Prediction!E$5))</f>
        <v>0</v>
      </c>
      <c r="G182" s="24">
        <f t="shared" si="66"/>
        <v>0</v>
      </c>
      <c r="H182" s="45">
        <f t="shared" si="73"/>
        <v>0</v>
      </c>
      <c r="I182" s="30">
        <f>SUMIFS(Output!$L:$L,Output!$A:$A,Prediction!$A182,Output!$C:$C,Prediction!E$5)</f>
        <v>0</v>
      </c>
      <c r="J182" s="29">
        <f>IFERROR(VLOOKUP($D182,Schedules!$A:$I,MATCH(Prediction!J$6,Schedules!$A$1:$H$1,0),FALSE),0)</f>
        <v>0</v>
      </c>
      <c r="K182" s="24">
        <f>IF(J182=0,0,SUMIFS(Output!$L:$L,Output!$A:$A,Prediction!$A182,Output!$C:$C,Prediction!J$5))</f>
        <v>0</v>
      </c>
      <c r="L182" s="24">
        <f t="shared" si="67"/>
        <v>0</v>
      </c>
      <c r="M182" s="24">
        <f t="shared" si="74"/>
        <v>0</v>
      </c>
      <c r="N182" s="30">
        <f>SUMIFS(Output!$L:$L,Output!$A:$A,Prediction!$A182,Output!$C:$C,Prediction!J$5)</f>
        <v>0</v>
      </c>
      <c r="O182" s="29">
        <f>IFERROR(VLOOKUP($D182,Schedules!$A:$I,MATCH(Prediction!O$6,Schedules!$A$1:$H$1,0),FALSE),0)</f>
        <v>0</v>
      </c>
      <c r="P182" s="24">
        <f>IF(O182=0,0,SUMIFS(Output!$L:$L,Output!$A:$A,Prediction!$A182,Output!$C:$C,Prediction!O$5))</f>
        <v>0</v>
      </c>
      <c r="Q182" s="24">
        <f t="shared" si="68"/>
        <v>0</v>
      </c>
      <c r="R182" s="24">
        <f t="shared" si="75"/>
        <v>0</v>
      </c>
      <c r="S182" s="30">
        <f>SUMIFS(Output!$L:$L,Output!$A:$A,Prediction!$A182,Output!$C:$C,Prediction!O$5)</f>
        <v>0</v>
      </c>
      <c r="T182" s="29">
        <f>IFERROR(VLOOKUP($D182,Schedules!$A:$I,MATCH(Prediction!T$6,Schedules!$A$1:$H$1,0),FALSE),0)</f>
        <v>0</v>
      </c>
      <c r="U182" s="24">
        <f>IF(T182=0,0,SUMIFS(Output!$L:$L,Output!$A:$A,Prediction!$A182,Output!$C:$C,Prediction!T$5))</f>
        <v>0</v>
      </c>
      <c r="V182" s="24">
        <f t="shared" si="76"/>
        <v>0</v>
      </c>
      <c r="W182" s="24">
        <f t="shared" si="77"/>
        <v>0</v>
      </c>
      <c r="X182" s="30">
        <f>SUMIFS(Output!$L:$L,Output!$A:$A,Prediction!$A182,Output!$C:$C,Prediction!T$5)</f>
        <v>0</v>
      </c>
      <c r="Y182" s="25">
        <f>IFERROR(VLOOKUP($D182,Schedules!$A:$I,MATCH(Prediction!Y$6,Schedules!$A$1:$H$1,0),FALSE),0)</f>
        <v>0</v>
      </c>
      <c r="Z182" s="24">
        <f>IF(Y182=0,0,SUMIFS(Output!$L:$L,Output!$A:$A,Prediction!$A182,Output!$C:$C,Prediction!Y$5))</f>
        <v>0</v>
      </c>
      <c r="AA182" s="24">
        <f t="shared" si="69"/>
        <v>0</v>
      </c>
      <c r="AB182" s="24">
        <f t="shared" si="78"/>
        <v>0</v>
      </c>
      <c r="AC182" s="30">
        <f>SUMIFS(Output!$L:$L,Output!$A:$A,Prediction!$A182,Output!$C:$C,Prediction!Y$5)</f>
        <v>0</v>
      </c>
      <c r="AD182" s="29">
        <f>IFERROR(VLOOKUP($D182,Schedules!$A:$I,MATCH(Prediction!AD$6,Schedules!$A$1:$H$1,0),FALSE),0)</f>
        <v>0</v>
      </c>
      <c r="AE182" s="24">
        <f>IF(AD182=0,0,SUMIFS(Output!$L:$L,Output!$A:$A,Prediction!$A182,Output!$C:$C,Prediction!AD$5))</f>
        <v>0</v>
      </c>
      <c r="AF182" s="24">
        <f t="shared" si="70"/>
        <v>0</v>
      </c>
      <c r="AG182" s="24">
        <f t="shared" si="79"/>
        <v>0</v>
      </c>
      <c r="AH182" s="30">
        <f>SUMIFS(Output!$L:$L,Output!$A:$A,Prediction!$A182,Output!$C:$C,Prediction!AD$5)</f>
        <v>0</v>
      </c>
      <c r="AI182" s="29">
        <f>IFERROR(VLOOKUP($D182,Schedules!$A:$I,MATCH(Prediction!AI$6,Schedules!$A$1:$H$1,0),FALSE),0)</f>
        <v>0</v>
      </c>
      <c r="AJ182" s="24">
        <f>IF(AI182=0,0,SUMIFS(Output!$L:$L,Output!$A:$A,Prediction!$A182,Output!$C:$C,Prediction!AI$5))</f>
        <v>0</v>
      </c>
      <c r="AK182" s="24">
        <f t="shared" si="71"/>
        <v>0</v>
      </c>
      <c r="AL182" s="24">
        <f t="shared" si="80"/>
        <v>0</v>
      </c>
      <c r="AM182" s="30">
        <f>SUMIFS(Output!$L:$L,Output!$A:$A,Prediction!$A182,Output!$C:$C,Prediction!AI$5)</f>
        <v>0</v>
      </c>
      <c r="AN182">
        <f t="shared" si="81"/>
        <v>0</v>
      </c>
      <c r="AO182" s="3">
        <f t="shared" si="82"/>
        <v>0</v>
      </c>
      <c r="AP182" s="44"/>
      <c r="AQ182" s="3">
        <f t="shared" si="72"/>
        <v>0</v>
      </c>
      <c r="AR182" s="3">
        <f t="shared" si="83"/>
        <v>0</v>
      </c>
    </row>
    <row r="183" spans="1:44" x14ac:dyDescent="0.25">
      <c r="A183" s="9" t="str">
        <f t="array" ref="A183">IFERROR(INDEX(Output!A$1:A$2000,MATCH(0,COUNTIF(Prediction!$A$7:A182,Output!A$1:A$2000),0)),"")</f>
        <v/>
      </c>
      <c r="B183" t="str">
        <f>IFERROR(VLOOKUP($A183,Output!$A:$M,2,FALSE),"")</f>
        <v/>
      </c>
      <c r="C183" t="str">
        <f>IFERROR(VLOOKUP(B183,Departments!B:C,2,FALSE),"")</f>
        <v/>
      </c>
      <c r="D183" t="str">
        <f>IFERROR(VLOOKUP($A183,Output!$A:$M,13,FALSE),"")</f>
        <v/>
      </c>
      <c r="E183" s="29">
        <f>IFERROR(VLOOKUP($D183,Schedules!$A:$I,MATCH(Prediction!E$6,Schedules!$A$1:$H$1,0),FALSE),0)</f>
        <v>0</v>
      </c>
      <c r="F183" s="24">
        <f>IF(E183=0,0,SUMIFS(Output!$L:$L,Output!$A:$A,Prediction!$A183,Output!$C:$C,Prediction!E$5))</f>
        <v>0</v>
      </c>
      <c r="G183" s="24">
        <f t="shared" si="66"/>
        <v>0</v>
      </c>
      <c r="H183" s="45">
        <f t="shared" si="73"/>
        <v>0</v>
      </c>
      <c r="I183" s="30">
        <f>SUMIFS(Output!$L:$L,Output!$A:$A,Prediction!$A183,Output!$C:$C,Prediction!E$5)</f>
        <v>0</v>
      </c>
      <c r="J183" s="29">
        <f>IFERROR(VLOOKUP($D183,Schedules!$A:$I,MATCH(Prediction!J$6,Schedules!$A$1:$H$1,0),FALSE),0)</f>
        <v>0</v>
      </c>
      <c r="K183" s="24">
        <f>IF(J183=0,0,SUMIFS(Output!$L:$L,Output!$A:$A,Prediction!$A183,Output!$C:$C,Prediction!J$5))</f>
        <v>0</v>
      </c>
      <c r="L183" s="24">
        <f t="shared" si="67"/>
        <v>0</v>
      </c>
      <c r="M183" s="24">
        <f t="shared" si="74"/>
        <v>0</v>
      </c>
      <c r="N183" s="30">
        <f>SUMIFS(Output!$L:$L,Output!$A:$A,Prediction!$A183,Output!$C:$C,Prediction!J$5)</f>
        <v>0</v>
      </c>
      <c r="O183" s="29">
        <f>IFERROR(VLOOKUP($D183,Schedules!$A:$I,MATCH(Prediction!O$6,Schedules!$A$1:$H$1,0),FALSE),0)</f>
        <v>0</v>
      </c>
      <c r="P183" s="24">
        <f>IF(O183=0,0,SUMIFS(Output!$L:$L,Output!$A:$A,Prediction!$A183,Output!$C:$C,Prediction!O$5))</f>
        <v>0</v>
      </c>
      <c r="Q183" s="24">
        <f t="shared" si="68"/>
        <v>0</v>
      </c>
      <c r="R183" s="24">
        <f t="shared" si="75"/>
        <v>0</v>
      </c>
      <c r="S183" s="30">
        <f>SUMIFS(Output!$L:$L,Output!$A:$A,Prediction!$A183,Output!$C:$C,Prediction!O$5)</f>
        <v>0</v>
      </c>
      <c r="T183" s="29">
        <f>IFERROR(VLOOKUP($D183,Schedules!$A:$I,MATCH(Prediction!T$6,Schedules!$A$1:$H$1,0),FALSE),0)</f>
        <v>0</v>
      </c>
      <c r="U183" s="24">
        <f>IF(T183=0,0,SUMIFS(Output!$L:$L,Output!$A:$A,Prediction!$A183,Output!$C:$C,Prediction!T$5))</f>
        <v>0</v>
      </c>
      <c r="V183" s="24">
        <f t="shared" si="76"/>
        <v>0</v>
      </c>
      <c r="W183" s="24">
        <f t="shared" si="77"/>
        <v>0</v>
      </c>
      <c r="X183" s="30">
        <f>SUMIFS(Output!$L:$L,Output!$A:$A,Prediction!$A183,Output!$C:$C,Prediction!T$5)</f>
        <v>0</v>
      </c>
      <c r="Y183" s="25">
        <f>IFERROR(VLOOKUP($D183,Schedules!$A:$I,MATCH(Prediction!Y$6,Schedules!$A$1:$H$1,0),FALSE),0)</f>
        <v>0</v>
      </c>
      <c r="Z183" s="24">
        <f>IF(Y183=0,0,SUMIFS(Output!$L:$L,Output!$A:$A,Prediction!$A183,Output!$C:$C,Prediction!Y$5))</f>
        <v>0</v>
      </c>
      <c r="AA183" s="24">
        <f t="shared" si="69"/>
        <v>0</v>
      </c>
      <c r="AB183" s="24">
        <f t="shared" si="78"/>
        <v>0</v>
      </c>
      <c r="AC183" s="30">
        <f>SUMIFS(Output!$L:$L,Output!$A:$A,Prediction!$A183,Output!$C:$C,Prediction!Y$5)</f>
        <v>0</v>
      </c>
      <c r="AD183" s="29">
        <f>IFERROR(VLOOKUP($D183,Schedules!$A:$I,MATCH(Prediction!AD$6,Schedules!$A$1:$H$1,0),FALSE),0)</f>
        <v>0</v>
      </c>
      <c r="AE183" s="24">
        <f>IF(AD183=0,0,SUMIFS(Output!$L:$L,Output!$A:$A,Prediction!$A183,Output!$C:$C,Prediction!AD$5))</f>
        <v>0</v>
      </c>
      <c r="AF183" s="24">
        <f t="shared" si="70"/>
        <v>0</v>
      </c>
      <c r="AG183" s="24">
        <f t="shared" si="79"/>
        <v>0</v>
      </c>
      <c r="AH183" s="30">
        <f>SUMIFS(Output!$L:$L,Output!$A:$A,Prediction!$A183,Output!$C:$C,Prediction!AD$5)</f>
        <v>0</v>
      </c>
      <c r="AI183" s="29">
        <f>IFERROR(VLOOKUP($D183,Schedules!$A:$I,MATCH(Prediction!AI$6,Schedules!$A$1:$H$1,0),FALSE),0)</f>
        <v>0</v>
      </c>
      <c r="AJ183" s="24">
        <f>IF(AI183=0,0,SUMIFS(Output!$L:$L,Output!$A:$A,Prediction!$A183,Output!$C:$C,Prediction!AI$5))</f>
        <v>0</v>
      </c>
      <c r="AK183" s="24">
        <f t="shared" si="71"/>
        <v>0</v>
      </c>
      <c r="AL183" s="24">
        <f t="shared" si="80"/>
        <v>0</v>
      </c>
      <c r="AM183" s="30">
        <f>SUMIFS(Output!$L:$L,Output!$A:$A,Prediction!$A183,Output!$C:$C,Prediction!AI$5)</f>
        <v>0</v>
      </c>
      <c r="AN183">
        <f t="shared" si="81"/>
        <v>0</v>
      </c>
      <c r="AO183" s="3">
        <f t="shared" si="82"/>
        <v>0</v>
      </c>
      <c r="AP183" s="44"/>
      <c r="AQ183" s="3">
        <f t="shared" si="72"/>
        <v>0</v>
      </c>
      <c r="AR183" s="3">
        <f t="shared" si="83"/>
        <v>0</v>
      </c>
    </row>
    <row r="184" spans="1:44" x14ac:dyDescent="0.25">
      <c r="A184" s="9" t="str">
        <f t="array" ref="A184">IFERROR(INDEX(Output!A$1:A$2000,MATCH(0,COUNTIF(Prediction!$A$7:A183,Output!A$1:A$2000),0)),"")</f>
        <v/>
      </c>
      <c r="B184" t="str">
        <f>IFERROR(VLOOKUP($A184,Output!$A:$M,2,FALSE),"")</f>
        <v/>
      </c>
      <c r="C184" t="str">
        <f>IFERROR(VLOOKUP(B184,Departments!B:C,2,FALSE),"")</f>
        <v/>
      </c>
      <c r="D184" t="str">
        <f>IFERROR(VLOOKUP($A184,Output!$A:$M,13,FALSE),"")</f>
        <v/>
      </c>
      <c r="E184" s="29">
        <f>IFERROR(VLOOKUP($D184,Schedules!$A:$I,MATCH(Prediction!E$6,Schedules!$A$1:$H$1,0),FALSE),0)</f>
        <v>0</v>
      </c>
      <c r="F184" s="24">
        <f>IF(E184=0,0,SUMIFS(Output!$L:$L,Output!$A:$A,Prediction!$A184,Output!$C:$C,Prediction!E$5))</f>
        <v>0</v>
      </c>
      <c r="G184" s="24">
        <f t="shared" si="66"/>
        <v>0</v>
      </c>
      <c r="H184" s="45">
        <f t="shared" si="73"/>
        <v>0</v>
      </c>
      <c r="I184" s="30">
        <f>SUMIFS(Output!$L:$L,Output!$A:$A,Prediction!$A184,Output!$C:$C,Prediction!E$5)</f>
        <v>0</v>
      </c>
      <c r="J184" s="29">
        <f>IFERROR(VLOOKUP($D184,Schedules!$A:$I,MATCH(Prediction!J$6,Schedules!$A$1:$H$1,0),FALSE),0)</f>
        <v>0</v>
      </c>
      <c r="K184" s="24">
        <f>IF(J184=0,0,SUMIFS(Output!$L:$L,Output!$A:$A,Prediction!$A184,Output!$C:$C,Prediction!J$5))</f>
        <v>0</v>
      </c>
      <c r="L184" s="24">
        <f t="shared" si="67"/>
        <v>0</v>
      </c>
      <c r="M184" s="24">
        <f t="shared" si="74"/>
        <v>0</v>
      </c>
      <c r="N184" s="30">
        <f>SUMIFS(Output!$L:$L,Output!$A:$A,Prediction!$A184,Output!$C:$C,Prediction!J$5)</f>
        <v>0</v>
      </c>
      <c r="O184" s="29">
        <f>IFERROR(VLOOKUP($D184,Schedules!$A:$I,MATCH(Prediction!O$6,Schedules!$A$1:$H$1,0),FALSE),0)</f>
        <v>0</v>
      </c>
      <c r="P184" s="24">
        <f>IF(O184=0,0,SUMIFS(Output!$L:$L,Output!$A:$A,Prediction!$A184,Output!$C:$C,Prediction!O$5))</f>
        <v>0</v>
      </c>
      <c r="Q184" s="24">
        <f t="shared" si="68"/>
        <v>0</v>
      </c>
      <c r="R184" s="24">
        <f t="shared" si="75"/>
        <v>0</v>
      </c>
      <c r="S184" s="30">
        <f>SUMIFS(Output!$L:$L,Output!$A:$A,Prediction!$A184,Output!$C:$C,Prediction!O$5)</f>
        <v>0</v>
      </c>
      <c r="T184" s="29">
        <f>IFERROR(VLOOKUP($D184,Schedules!$A:$I,MATCH(Prediction!T$6,Schedules!$A$1:$H$1,0),FALSE),0)</f>
        <v>0</v>
      </c>
      <c r="U184" s="24">
        <f>IF(T184=0,0,SUMIFS(Output!$L:$L,Output!$A:$A,Prediction!$A184,Output!$C:$C,Prediction!T$5))</f>
        <v>0</v>
      </c>
      <c r="V184" s="24">
        <f t="shared" si="76"/>
        <v>0</v>
      </c>
      <c r="W184" s="24">
        <f t="shared" si="77"/>
        <v>0</v>
      </c>
      <c r="X184" s="30">
        <f>SUMIFS(Output!$L:$L,Output!$A:$A,Prediction!$A184,Output!$C:$C,Prediction!T$5)</f>
        <v>0</v>
      </c>
      <c r="Y184" s="25">
        <f>IFERROR(VLOOKUP($D184,Schedules!$A:$I,MATCH(Prediction!Y$6,Schedules!$A$1:$H$1,0),FALSE),0)</f>
        <v>0</v>
      </c>
      <c r="Z184" s="24">
        <f>IF(Y184=0,0,SUMIFS(Output!$L:$L,Output!$A:$A,Prediction!$A184,Output!$C:$C,Prediction!Y$5))</f>
        <v>0</v>
      </c>
      <c r="AA184" s="24">
        <f t="shared" si="69"/>
        <v>0</v>
      </c>
      <c r="AB184" s="24">
        <f t="shared" si="78"/>
        <v>0</v>
      </c>
      <c r="AC184" s="30">
        <f>SUMIFS(Output!$L:$L,Output!$A:$A,Prediction!$A184,Output!$C:$C,Prediction!Y$5)</f>
        <v>0</v>
      </c>
      <c r="AD184" s="29">
        <f>IFERROR(VLOOKUP($D184,Schedules!$A:$I,MATCH(Prediction!AD$6,Schedules!$A$1:$H$1,0),FALSE),0)</f>
        <v>0</v>
      </c>
      <c r="AE184" s="24">
        <f>IF(AD184=0,0,SUMIFS(Output!$L:$L,Output!$A:$A,Prediction!$A184,Output!$C:$C,Prediction!AD$5))</f>
        <v>0</v>
      </c>
      <c r="AF184" s="24">
        <f t="shared" si="70"/>
        <v>0</v>
      </c>
      <c r="AG184" s="24">
        <f t="shared" si="79"/>
        <v>0</v>
      </c>
      <c r="AH184" s="30">
        <f>SUMIFS(Output!$L:$L,Output!$A:$A,Prediction!$A184,Output!$C:$C,Prediction!AD$5)</f>
        <v>0</v>
      </c>
      <c r="AI184" s="29">
        <f>IFERROR(VLOOKUP($D184,Schedules!$A:$I,MATCH(Prediction!AI$6,Schedules!$A$1:$H$1,0),FALSE),0)</f>
        <v>0</v>
      </c>
      <c r="AJ184" s="24">
        <f>IF(AI184=0,0,SUMIFS(Output!$L:$L,Output!$A:$A,Prediction!$A184,Output!$C:$C,Prediction!AI$5))</f>
        <v>0</v>
      </c>
      <c r="AK184" s="24">
        <f t="shared" si="71"/>
        <v>0</v>
      </c>
      <c r="AL184" s="24">
        <f t="shared" si="80"/>
        <v>0</v>
      </c>
      <c r="AM184" s="30">
        <f>SUMIFS(Output!$L:$L,Output!$A:$A,Prediction!$A184,Output!$C:$C,Prediction!AI$5)</f>
        <v>0</v>
      </c>
      <c r="AN184">
        <f t="shared" si="81"/>
        <v>0</v>
      </c>
      <c r="AO184" s="3">
        <f t="shared" si="82"/>
        <v>0</v>
      </c>
      <c r="AP184" s="44"/>
      <c r="AQ184" s="3">
        <f t="shared" si="72"/>
        <v>0</v>
      </c>
      <c r="AR184" s="3">
        <f t="shared" si="83"/>
        <v>0</v>
      </c>
    </row>
    <row r="185" spans="1:44" x14ac:dyDescent="0.25">
      <c r="A185" s="9" t="str">
        <f t="array" ref="A185">IFERROR(INDEX(Output!A$1:A$2000,MATCH(0,COUNTIF(Prediction!$A$7:A184,Output!A$1:A$2000),0)),"")</f>
        <v/>
      </c>
      <c r="B185" t="str">
        <f>IFERROR(VLOOKUP($A185,Output!$A:$M,2,FALSE),"")</f>
        <v/>
      </c>
      <c r="C185" t="str">
        <f>IFERROR(VLOOKUP(B185,Departments!B:C,2,FALSE),"")</f>
        <v/>
      </c>
      <c r="D185" t="str">
        <f>IFERROR(VLOOKUP($A185,Output!$A:$M,13,FALSE),"")</f>
        <v/>
      </c>
      <c r="E185" s="29">
        <f>IFERROR(VLOOKUP($D185,Schedules!$A:$I,MATCH(Prediction!E$6,Schedules!$A$1:$H$1,0),FALSE),0)</f>
        <v>0</v>
      </c>
      <c r="F185" s="24">
        <f>IF(E185=0,0,SUMIFS(Output!$L:$L,Output!$A:$A,Prediction!$A185,Output!$C:$C,Prediction!E$5))</f>
        <v>0</v>
      </c>
      <c r="G185" s="24">
        <f t="shared" si="66"/>
        <v>0</v>
      </c>
      <c r="H185" s="45">
        <f t="shared" si="73"/>
        <v>0</v>
      </c>
      <c r="I185" s="30">
        <f>SUMIFS(Output!$L:$L,Output!$A:$A,Prediction!$A185,Output!$C:$C,Prediction!E$5)</f>
        <v>0</v>
      </c>
      <c r="J185" s="29">
        <f>IFERROR(VLOOKUP($D185,Schedules!$A:$I,MATCH(Prediction!J$6,Schedules!$A$1:$H$1,0),FALSE),0)</f>
        <v>0</v>
      </c>
      <c r="K185" s="24">
        <f>IF(J185=0,0,SUMIFS(Output!$L:$L,Output!$A:$A,Prediction!$A185,Output!$C:$C,Prediction!J$5))</f>
        <v>0</v>
      </c>
      <c r="L185" s="24">
        <f t="shared" si="67"/>
        <v>0</v>
      </c>
      <c r="M185" s="24">
        <f t="shared" si="74"/>
        <v>0</v>
      </c>
      <c r="N185" s="30">
        <f>SUMIFS(Output!$L:$L,Output!$A:$A,Prediction!$A185,Output!$C:$C,Prediction!J$5)</f>
        <v>0</v>
      </c>
      <c r="O185" s="29">
        <f>IFERROR(VLOOKUP($D185,Schedules!$A:$I,MATCH(Prediction!O$6,Schedules!$A$1:$H$1,0),FALSE),0)</f>
        <v>0</v>
      </c>
      <c r="P185" s="24">
        <f>IF(O185=0,0,SUMIFS(Output!$L:$L,Output!$A:$A,Prediction!$A185,Output!$C:$C,Prediction!O$5))</f>
        <v>0</v>
      </c>
      <c r="Q185" s="24">
        <f t="shared" si="68"/>
        <v>0</v>
      </c>
      <c r="R185" s="24">
        <f t="shared" si="75"/>
        <v>0</v>
      </c>
      <c r="S185" s="30">
        <f>SUMIFS(Output!$L:$L,Output!$A:$A,Prediction!$A185,Output!$C:$C,Prediction!O$5)</f>
        <v>0</v>
      </c>
      <c r="T185" s="29">
        <f>IFERROR(VLOOKUP($D185,Schedules!$A:$I,MATCH(Prediction!T$6,Schedules!$A$1:$H$1,0),FALSE),0)</f>
        <v>0</v>
      </c>
      <c r="U185" s="24">
        <f>IF(T185=0,0,SUMIFS(Output!$L:$L,Output!$A:$A,Prediction!$A185,Output!$C:$C,Prediction!T$5))</f>
        <v>0</v>
      </c>
      <c r="V185" s="24">
        <f t="shared" si="76"/>
        <v>0</v>
      </c>
      <c r="W185" s="24">
        <f t="shared" si="77"/>
        <v>0</v>
      </c>
      <c r="X185" s="30">
        <f>SUMIFS(Output!$L:$L,Output!$A:$A,Prediction!$A185,Output!$C:$C,Prediction!T$5)</f>
        <v>0</v>
      </c>
      <c r="Y185" s="25">
        <f>IFERROR(VLOOKUP($D185,Schedules!$A:$I,MATCH(Prediction!Y$6,Schedules!$A$1:$H$1,0),FALSE),0)</f>
        <v>0</v>
      </c>
      <c r="Z185" s="24">
        <f>IF(Y185=0,0,SUMIFS(Output!$L:$L,Output!$A:$A,Prediction!$A185,Output!$C:$C,Prediction!Y$5))</f>
        <v>0</v>
      </c>
      <c r="AA185" s="24">
        <f t="shared" si="69"/>
        <v>0</v>
      </c>
      <c r="AB185" s="24">
        <f t="shared" si="78"/>
        <v>0</v>
      </c>
      <c r="AC185" s="30">
        <f>SUMIFS(Output!$L:$L,Output!$A:$A,Prediction!$A185,Output!$C:$C,Prediction!Y$5)</f>
        <v>0</v>
      </c>
      <c r="AD185" s="29">
        <f>IFERROR(VLOOKUP($D185,Schedules!$A:$I,MATCH(Prediction!AD$6,Schedules!$A$1:$H$1,0),FALSE),0)</f>
        <v>0</v>
      </c>
      <c r="AE185" s="24">
        <f>IF(AD185=0,0,SUMIFS(Output!$L:$L,Output!$A:$A,Prediction!$A185,Output!$C:$C,Prediction!AD$5))</f>
        <v>0</v>
      </c>
      <c r="AF185" s="24">
        <f t="shared" si="70"/>
        <v>0</v>
      </c>
      <c r="AG185" s="24">
        <f t="shared" si="79"/>
        <v>0</v>
      </c>
      <c r="AH185" s="30">
        <f>SUMIFS(Output!$L:$L,Output!$A:$A,Prediction!$A185,Output!$C:$C,Prediction!AD$5)</f>
        <v>0</v>
      </c>
      <c r="AI185" s="29">
        <f>IFERROR(VLOOKUP($D185,Schedules!$A:$I,MATCH(Prediction!AI$6,Schedules!$A$1:$H$1,0),FALSE),0)</f>
        <v>0</v>
      </c>
      <c r="AJ185" s="24">
        <f>IF(AI185=0,0,SUMIFS(Output!$L:$L,Output!$A:$A,Prediction!$A185,Output!$C:$C,Prediction!AI$5))</f>
        <v>0</v>
      </c>
      <c r="AK185" s="24">
        <f t="shared" si="71"/>
        <v>0</v>
      </c>
      <c r="AL185" s="24">
        <f t="shared" si="80"/>
        <v>0</v>
      </c>
      <c r="AM185" s="30">
        <f>SUMIFS(Output!$L:$L,Output!$A:$A,Prediction!$A185,Output!$C:$C,Prediction!AI$5)</f>
        <v>0</v>
      </c>
      <c r="AN185">
        <f t="shared" si="81"/>
        <v>0</v>
      </c>
      <c r="AO185" s="3">
        <f t="shared" si="82"/>
        <v>0</v>
      </c>
      <c r="AP185" s="44"/>
      <c r="AQ185" s="3">
        <f t="shared" si="72"/>
        <v>0</v>
      </c>
      <c r="AR185" s="3">
        <f t="shared" si="83"/>
        <v>0</v>
      </c>
    </row>
    <row r="186" spans="1:44" x14ac:dyDescent="0.25">
      <c r="A186" s="9" t="str">
        <f t="array" ref="A186">IFERROR(INDEX(Output!A$1:A$2000,MATCH(0,COUNTIF(Prediction!$A$7:A185,Output!A$1:A$2000),0)),"")</f>
        <v/>
      </c>
      <c r="B186" t="str">
        <f>IFERROR(VLOOKUP($A186,Output!$A:$M,2,FALSE),"")</f>
        <v/>
      </c>
      <c r="C186" t="str">
        <f>IFERROR(VLOOKUP(B186,Departments!B:C,2,FALSE),"")</f>
        <v/>
      </c>
      <c r="D186" t="str">
        <f>IFERROR(VLOOKUP($A186,Output!$A:$M,13,FALSE),"")</f>
        <v/>
      </c>
      <c r="E186" s="29">
        <f>IFERROR(VLOOKUP($D186,Schedules!$A:$I,MATCH(Prediction!E$6,Schedules!$A$1:$H$1,0),FALSE),0)</f>
        <v>0</v>
      </c>
      <c r="F186" s="24">
        <f>IF(E186=0,0,SUMIFS(Output!$L:$L,Output!$A:$A,Prediction!$A186,Output!$C:$C,Prediction!E$5))</f>
        <v>0</v>
      </c>
      <c r="G186" s="24">
        <f t="shared" si="66"/>
        <v>0</v>
      </c>
      <c r="H186" s="45">
        <f t="shared" si="73"/>
        <v>0</v>
      </c>
      <c r="I186" s="30">
        <f>SUMIFS(Output!$L:$L,Output!$A:$A,Prediction!$A186,Output!$C:$C,Prediction!E$5)</f>
        <v>0</v>
      </c>
      <c r="J186" s="29">
        <f>IFERROR(VLOOKUP($D186,Schedules!$A:$I,MATCH(Prediction!J$6,Schedules!$A$1:$H$1,0),FALSE),0)</f>
        <v>0</v>
      </c>
      <c r="K186" s="24">
        <f>IF(J186=0,0,SUMIFS(Output!$L:$L,Output!$A:$A,Prediction!$A186,Output!$C:$C,Prediction!J$5))</f>
        <v>0</v>
      </c>
      <c r="L186" s="24">
        <f t="shared" si="67"/>
        <v>0</v>
      </c>
      <c r="M186" s="24">
        <f t="shared" si="74"/>
        <v>0</v>
      </c>
      <c r="N186" s="30">
        <f>SUMIFS(Output!$L:$L,Output!$A:$A,Prediction!$A186,Output!$C:$C,Prediction!J$5)</f>
        <v>0</v>
      </c>
      <c r="O186" s="29">
        <f>IFERROR(VLOOKUP($D186,Schedules!$A:$I,MATCH(Prediction!O$6,Schedules!$A$1:$H$1,0),FALSE),0)</f>
        <v>0</v>
      </c>
      <c r="P186" s="24">
        <f>IF(O186=0,0,SUMIFS(Output!$L:$L,Output!$A:$A,Prediction!$A186,Output!$C:$C,Prediction!O$5))</f>
        <v>0</v>
      </c>
      <c r="Q186" s="24">
        <f t="shared" si="68"/>
        <v>0</v>
      </c>
      <c r="R186" s="24">
        <f t="shared" si="75"/>
        <v>0</v>
      </c>
      <c r="S186" s="30">
        <f>SUMIFS(Output!$L:$L,Output!$A:$A,Prediction!$A186,Output!$C:$C,Prediction!O$5)</f>
        <v>0</v>
      </c>
      <c r="T186" s="29">
        <f>IFERROR(VLOOKUP($D186,Schedules!$A:$I,MATCH(Prediction!T$6,Schedules!$A$1:$H$1,0),FALSE),0)</f>
        <v>0</v>
      </c>
      <c r="U186" s="24">
        <f>IF(T186=0,0,SUMIFS(Output!$L:$L,Output!$A:$A,Prediction!$A186,Output!$C:$C,Prediction!T$5))</f>
        <v>0</v>
      </c>
      <c r="V186" s="24">
        <f t="shared" si="76"/>
        <v>0</v>
      </c>
      <c r="W186" s="24">
        <f t="shared" si="77"/>
        <v>0</v>
      </c>
      <c r="X186" s="30">
        <f>SUMIFS(Output!$L:$L,Output!$A:$A,Prediction!$A186,Output!$C:$C,Prediction!T$5)</f>
        <v>0</v>
      </c>
      <c r="Y186" s="25">
        <f>IFERROR(VLOOKUP($D186,Schedules!$A:$I,MATCH(Prediction!Y$6,Schedules!$A$1:$H$1,0),FALSE),0)</f>
        <v>0</v>
      </c>
      <c r="Z186" s="24">
        <f>IF(Y186=0,0,SUMIFS(Output!$L:$L,Output!$A:$A,Prediction!$A186,Output!$C:$C,Prediction!Y$5))</f>
        <v>0</v>
      </c>
      <c r="AA186" s="24">
        <f t="shared" si="69"/>
        <v>0</v>
      </c>
      <c r="AB186" s="24">
        <f t="shared" si="78"/>
        <v>0</v>
      </c>
      <c r="AC186" s="30">
        <f>SUMIFS(Output!$L:$L,Output!$A:$A,Prediction!$A186,Output!$C:$C,Prediction!Y$5)</f>
        <v>0</v>
      </c>
      <c r="AD186" s="29">
        <f>IFERROR(VLOOKUP($D186,Schedules!$A:$I,MATCH(Prediction!AD$6,Schedules!$A$1:$H$1,0),FALSE),0)</f>
        <v>0</v>
      </c>
      <c r="AE186" s="24">
        <f>IF(AD186=0,0,SUMIFS(Output!$L:$L,Output!$A:$A,Prediction!$A186,Output!$C:$C,Prediction!AD$5))</f>
        <v>0</v>
      </c>
      <c r="AF186" s="24">
        <f t="shared" si="70"/>
        <v>0</v>
      </c>
      <c r="AG186" s="24">
        <f t="shared" si="79"/>
        <v>0</v>
      </c>
      <c r="AH186" s="30">
        <f>SUMIFS(Output!$L:$L,Output!$A:$A,Prediction!$A186,Output!$C:$C,Prediction!AD$5)</f>
        <v>0</v>
      </c>
      <c r="AI186" s="29">
        <f>IFERROR(VLOOKUP($D186,Schedules!$A:$I,MATCH(Prediction!AI$6,Schedules!$A$1:$H$1,0),FALSE),0)</f>
        <v>0</v>
      </c>
      <c r="AJ186" s="24">
        <f>IF(AI186=0,0,SUMIFS(Output!$L:$L,Output!$A:$A,Prediction!$A186,Output!$C:$C,Prediction!AI$5))</f>
        <v>0</v>
      </c>
      <c r="AK186" s="24">
        <f t="shared" si="71"/>
        <v>0</v>
      </c>
      <c r="AL186" s="24">
        <f t="shared" si="80"/>
        <v>0</v>
      </c>
      <c r="AM186" s="30">
        <f>SUMIFS(Output!$L:$L,Output!$A:$A,Prediction!$A186,Output!$C:$C,Prediction!AI$5)</f>
        <v>0</v>
      </c>
      <c r="AN186">
        <f t="shared" si="81"/>
        <v>0</v>
      </c>
      <c r="AO186" s="3">
        <f t="shared" si="82"/>
        <v>0</v>
      </c>
      <c r="AP186" s="44"/>
      <c r="AQ186" s="3">
        <f t="shared" si="72"/>
        <v>0</v>
      </c>
      <c r="AR186" s="3">
        <f t="shared" si="83"/>
        <v>0</v>
      </c>
    </row>
    <row r="187" spans="1:44" x14ac:dyDescent="0.25">
      <c r="A187" s="9" t="str">
        <f t="array" ref="A187">IFERROR(INDEX(Output!A$1:A$2000,MATCH(0,COUNTIF(Prediction!$A$7:A186,Output!A$1:A$2000),0)),"")</f>
        <v/>
      </c>
      <c r="B187" t="str">
        <f>IFERROR(VLOOKUP($A187,Output!$A:$M,2,FALSE),"")</f>
        <v/>
      </c>
      <c r="C187" t="str">
        <f>IFERROR(VLOOKUP(B187,Departments!B:C,2,FALSE),"")</f>
        <v/>
      </c>
      <c r="D187" t="str">
        <f>IFERROR(VLOOKUP($A187,Output!$A:$M,13,FALSE),"")</f>
        <v/>
      </c>
      <c r="E187" s="29">
        <f>IFERROR(VLOOKUP($D187,Schedules!$A:$I,MATCH(Prediction!E$6,Schedules!$A$1:$H$1,0),FALSE),0)</f>
        <v>0</v>
      </c>
      <c r="F187" s="24">
        <f>IF(E187=0,0,SUMIFS(Output!$L:$L,Output!$A:$A,Prediction!$A187,Output!$C:$C,Prediction!E$5))</f>
        <v>0</v>
      </c>
      <c r="G187" s="24">
        <f t="shared" si="66"/>
        <v>0</v>
      </c>
      <c r="H187" s="45">
        <f t="shared" si="73"/>
        <v>0</v>
      </c>
      <c r="I187" s="30">
        <f>SUMIFS(Output!$L:$L,Output!$A:$A,Prediction!$A187,Output!$C:$C,Prediction!E$5)</f>
        <v>0</v>
      </c>
      <c r="J187" s="29">
        <f>IFERROR(VLOOKUP($D187,Schedules!$A:$I,MATCH(Prediction!J$6,Schedules!$A$1:$H$1,0),FALSE),0)</f>
        <v>0</v>
      </c>
      <c r="K187" s="24">
        <f>IF(J187=0,0,SUMIFS(Output!$L:$L,Output!$A:$A,Prediction!$A187,Output!$C:$C,Prediction!J$5))</f>
        <v>0</v>
      </c>
      <c r="L187" s="24">
        <f t="shared" si="67"/>
        <v>0</v>
      </c>
      <c r="M187" s="24">
        <f t="shared" si="74"/>
        <v>0</v>
      </c>
      <c r="N187" s="30">
        <f>SUMIFS(Output!$L:$L,Output!$A:$A,Prediction!$A187,Output!$C:$C,Prediction!J$5)</f>
        <v>0</v>
      </c>
      <c r="O187" s="29">
        <f>IFERROR(VLOOKUP($D187,Schedules!$A:$I,MATCH(Prediction!O$6,Schedules!$A$1:$H$1,0),FALSE),0)</f>
        <v>0</v>
      </c>
      <c r="P187" s="24">
        <f>IF(O187=0,0,SUMIFS(Output!$L:$L,Output!$A:$A,Prediction!$A187,Output!$C:$C,Prediction!O$5))</f>
        <v>0</v>
      </c>
      <c r="Q187" s="24">
        <f t="shared" si="68"/>
        <v>0</v>
      </c>
      <c r="R187" s="24">
        <f t="shared" si="75"/>
        <v>0</v>
      </c>
      <c r="S187" s="30">
        <f>SUMIFS(Output!$L:$L,Output!$A:$A,Prediction!$A187,Output!$C:$C,Prediction!O$5)</f>
        <v>0</v>
      </c>
      <c r="T187" s="29">
        <f>IFERROR(VLOOKUP($D187,Schedules!$A:$I,MATCH(Prediction!T$6,Schedules!$A$1:$H$1,0),FALSE),0)</f>
        <v>0</v>
      </c>
      <c r="U187" s="24">
        <f>IF(T187=0,0,SUMIFS(Output!$L:$L,Output!$A:$A,Prediction!$A187,Output!$C:$C,Prediction!T$5))</f>
        <v>0</v>
      </c>
      <c r="V187" s="24">
        <f t="shared" si="76"/>
        <v>0</v>
      </c>
      <c r="W187" s="24">
        <f t="shared" si="77"/>
        <v>0</v>
      </c>
      <c r="X187" s="30">
        <f>SUMIFS(Output!$L:$L,Output!$A:$A,Prediction!$A187,Output!$C:$C,Prediction!T$5)</f>
        <v>0</v>
      </c>
      <c r="Y187" s="25">
        <f>IFERROR(VLOOKUP($D187,Schedules!$A:$I,MATCH(Prediction!Y$6,Schedules!$A$1:$H$1,0),FALSE),0)</f>
        <v>0</v>
      </c>
      <c r="Z187" s="24">
        <f>IF(Y187=0,0,SUMIFS(Output!$L:$L,Output!$A:$A,Prediction!$A187,Output!$C:$C,Prediction!Y$5))</f>
        <v>0</v>
      </c>
      <c r="AA187" s="24">
        <f t="shared" si="69"/>
        <v>0</v>
      </c>
      <c r="AB187" s="24">
        <f t="shared" si="78"/>
        <v>0</v>
      </c>
      <c r="AC187" s="30">
        <f>SUMIFS(Output!$L:$L,Output!$A:$A,Prediction!$A187,Output!$C:$C,Prediction!Y$5)</f>
        <v>0</v>
      </c>
      <c r="AD187" s="29">
        <f>IFERROR(VLOOKUP($D187,Schedules!$A:$I,MATCH(Prediction!AD$6,Schedules!$A$1:$H$1,0),FALSE),0)</f>
        <v>0</v>
      </c>
      <c r="AE187" s="24">
        <f>IF(AD187=0,0,SUMIFS(Output!$L:$L,Output!$A:$A,Prediction!$A187,Output!$C:$C,Prediction!AD$5))</f>
        <v>0</v>
      </c>
      <c r="AF187" s="24">
        <f t="shared" si="70"/>
        <v>0</v>
      </c>
      <c r="AG187" s="24">
        <f t="shared" si="79"/>
        <v>0</v>
      </c>
      <c r="AH187" s="30">
        <f>SUMIFS(Output!$L:$L,Output!$A:$A,Prediction!$A187,Output!$C:$C,Prediction!AD$5)</f>
        <v>0</v>
      </c>
      <c r="AI187" s="29">
        <f>IFERROR(VLOOKUP($D187,Schedules!$A:$I,MATCH(Prediction!AI$6,Schedules!$A$1:$H$1,0),FALSE),0)</f>
        <v>0</v>
      </c>
      <c r="AJ187" s="24">
        <f>IF(AI187=0,0,SUMIFS(Output!$L:$L,Output!$A:$A,Prediction!$A187,Output!$C:$C,Prediction!AI$5))</f>
        <v>0</v>
      </c>
      <c r="AK187" s="24">
        <f t="shared" si="71"/>
        <v>0</v>
      </c>
      <c r="AL187" s="24">
        <f t="shared" si="80"/>
        <v>0</v>
      </c>
      <c r="AM187" s="30">
        <f>SUMIFS(Output!$L:$L,Output!$A:$A,Prediction!$A187,Output!$C:$C,Prediction!AI$5)</f>
        <v>0</v>
      </c>
      <c r="AN187">
        <f t="shared" si="81"/>
        <v>0</v>
      </c>
      <c r="AO187" s="3">
        <f t="shared" si="82"/>
        <v>0</v>
      </c>
      <c r="AP187" s="44"/>
      <c r="AQ187" s="3">
        <f t="shared" si="72"/>
        <v>0</v>
      </c>
      <c r="AR187" s="3">
        <f t="shared" si="83"/>
        <v>0</v>
      </c>
    </row>
    <row r="188" spans="1:44" x14ac:dyDescent="0.25">
      <c r="A188" s="9" t="str">
        <f t="array" ref="A188">IFERROR(INDEX(Output!A$1:A$2000,MATCH(0,COUNTIF(Prediction!$A$7:A187,Output!A$1:A$2000),0)),"")</f>
        <v/>
      </c>
      <c r="B188" t="str">
        <f>IFERROR(VLOOKUP($A188,Output!$A:$M,2,FALSE),"")</f>
        <v/>
      </c>
      <c r="C188" t="str">
        <f>IFERROR(VLOOKUP(B188,Departments!B:C,2,FALSE),"")</f>
        <v/>
      </c>
      <c r="D188" t="str">
        <f>IFERROR(VLOOKUP($A188,Output!$A:$M,13,FALSE),"")</f>
        <v/>
      </c>
      <c r="E188" s="29">
        <f>IFERROR(VLOOKUP($D188,Schedules!$A:$I,MATCH(Prediction!E$6,Schedules!$A$1:$H$1,0),FALSE),0)</f>
        <v>0</v>
      </c>
      <c r="F188" s="24">
        <f>IF(E188=0,0,SUMIFS(Output!$L:$L,Output!$A:$A,Prediction!$A188,Output!$C:$C,Prediction!E$5))</f>
        <v>0</v>
      </c>
      <c r="G188" s="24">
        <f t="shared" si="66"/>
        <v>0</v>
      </c>
      <c r="H188" s="45">
        <f t="shared" si="73"/>
        <v>0</v>
      </c>
      <c r="I188" s="30">
        <f>SUMIFS(Output!$L:$L,Output!$A:$A,Prediction!$A188,Output!$C:$C,Prediction!E$5)</f>
        <v>0</v>
      </c>
      <c r="J188" s="29">
        <f>IFERROR(VLOOKUP($D188,Schedules!$A:$I,MATCH(Prediction!J$6,Schedules!$A$1:$H$1,0),FALSE),0)</f>
        <v>0</v>
      </c>
      <c r="K188" s="24">
        <f>IF(J188=0,0,SUMIFS(Output!$L:$L,Output!$A:$A,Prediction!$A188,Output!$C:$C,Prediction!J$5))</f>
        <v>0</v>
      </c>
      <c r="L188" s="24">
        <f t="shared" si="67"/>
        <v>0</v>
      </c>
      <c r="M188" s="24">
        <f t="shared" si="74"/>
        <v>0</v>
      </c>
      <c r="N188" s="30">
        <f>SUMIFS(Output!$L:$L,Output!$A:$A,Prediction!$A188,Output!$C:$C,Prediction!J$5)</f>
        <v>0</v>
      </c>
      <c r="O188" s="29">
        <f>IFERROR(VLOOKUP($D188,Schedules!$A:$I,MATCH(Prediction!O$6,Schedules!$A$1:$H$1,0),FALSE),0)</f>
        <v>0</v>
      </c>
      <c r="P188" s="24">
        <f>IF(O188=0,0,SUMIFS(Output!$L:$L,Output!$A:$A,Prediction!$A188,Output!$C:$C,Prediction!O$5))</f>
        <v>0</v>
      </c>
      <c r="Q188" s="24">
        <f t="shared" si="68"/>
        <v>0</v>
      </c>
      <c r="R188" s="24">
        <f t="shared" si="75"/>
        <v>0</v>
      </c>
      <c r="S188" s="30">
        <f>SUMIFS(Output!$L:$L,Output!$A:$A,Prediction!$A188,Output!$C:$C,Prediction!O$5)</f>
        <v>0</v>
      </c>
      <c r="T188" s="29">
        <f>IFERROR(VLOOKUP($D188,Schedules!$A:$I,MATCH(Prediction!T$6,Schedules!$A$1:$H$1,0),FALSE),0)</f>
        <v>0</v>
      </c>
      <c r="U188" s="24">
        <f>IF(T188=0,0,SUMIFS(Output!$L:$L,Output!$A:$A,Prediction!$A188,Output!$C:$C,Prediction!T$5))</f>
        <v>0</v>
      </c>
      <c r="V188" s="24">
        <f t="shared" si="76"/>
        <v>0</v>
      </c>
      <c r="W188" s="24">
        <f t="shared" si="77"/>
        <v>0</v>
      </c>
      <c r="X188" s="30">
        <f>SUMIFS(Output!$L:$L,Output!$A:$A,Prediction!$A188,Output!$C:$C,Prediction!T$5)</f>
        <v>0</v>
      </c>
      <c r="Y188" s="25">
        <f>IFERROR(VLOOKUP($D188,Schedules!$A:$I,MATCH(Prediction!Y$6,Schedules!$A$1:$H$1,0),FALSE),0)</f>
        <v>0</v>
      </c>
      <c r="Z188" s="24">
        <f>IF(Y188=0,0,SUMIFS(Output!$L:$L,Output!$A:$A,Prediction!$A188,Output!$C:$C,Prediction!Y$5))</f>
        <v>0</v>
      </c>
      <c r="AA188" s="24">
        <f t="shared" si="69"/>
        <v>0</v>
      </c>
      <c r="AB188" s="24">
        <f t="shared" si="78"/>
        <v>0</v>
      </c>
      <c r="AC188" s="30">
        <f>SUMIFS(Output!$L:$L,Output!$A:$A,Prediction!$A188,Output!$C:$C,Prediction!Y$5)</f>
        <v>0</v>
      </c>
      <c r="AD188" s="29">
        <f>IFERROR(VLOOKUP($D188,Schedules!$A:$I,MATCH(Prediction!AD$6,Schedules!$A$1:$H$1,0),FALSE),0)</f>
        <v>0</v>
      </c>
      <c r="AE188" s="24">
        <f>IF(AD188=0,0,SUMIFS(Output!$L:$L,Output!$A:$A,Prediction!$A188,Output!$C:$C,Prediction!AD$5))</f>
        <v>0</v>
      </c>
      <c r="AF188" s="24">
        <f t="shared" si="70"/>
        <v>0</v>
      </c>
      <c r="AG188" s="24">
        <f t="shared" si="79"/>
        <v>0</v>
      </c>
      <c r="AH188" s="30">
        <f>SUMIFS(Output!$L:$L,Output!$A:$A,Prediction!$A188,Output!$C:$C,Prediction!AD$5)</f>
        <v>0</v>
      </c>
      <c r="AI188" s="29">
        <f>IFERROR(VLOOKUP($D188,Schedules!$A:$I,MATCH(Prediction!AI$6,Schedules!$A$1:$H$1,0),FALSE),0)</f>
        <v>0</v>
      </c>
      <c r="AJ188" s="24">
        <f>IF(AI188=0,0,SUMIFS(Output!$L:$L,Output!$A:$A,Prediction!$A188,Output!$C:$C,Prediction!AI$5))</f>
        <v>0</v>
      </c>
      <c r="AK188" s="24">
        <f t="shared" si="71"/>
        <v>0</v>
      </c>
      <c r="AL188" s="24">
        <f t="shared" si="80"/>
        <v>0</v>
      </c>
      <c r="AM188" s="30">
        <f>SUMIFS(Output!$L:$L,Output!$A:$A,Prediction!$A188,Output!$C:$C,Prediction!AI$5)</f>
        <v>0</v>
      </c>
      <c r="AN188">
        <f t="shared" si="81"/>
        <v>0</v>
      </c>
      <c r="AO188" s="3">
        <f t="shared" si="82"/>
        <v>0</v>
      </c>
      <c r="AP188" s="44"/>
      <c r="AQ188" s="3">
        <f t="shared" si="72"/>
        <v>0</v>
      </c>
      <c r="AR188" s="3">
        <f t="shared" si="83"/>
        <v>0</v>
      </c>
    </row>
    <row r="189" spans="1:44" x14ac:dyDescent="0.25">
      <c r="A189" s="9" t="str">
        <f t="array" ref="A189">IFERROR(INDEX(Output!A$1:A$2000,MATCH(0,COUNTIF(Prediction!$A$7:A188,Output!A$1:A$2000),0)),"")</f>
        <v/>
      </c>
      <c r="B189" t="str">
        <f>IFERROR(VLOOKUP($A189,Output!$A:$M,2,FALSE),"")</f>
        <v/>
      </c>
      <c r="C189" t="str">
        <f>IFERROR(VLOOKUP(B189,Departments!B:C,2,FALSE),"")</f>
        <v/>
      </c>
      <c r="D189" t="str">
        <f>IFERROR(VLOOKUP($A189,Output!$A:$M,13,FALSE),"")</f>
        <v/>
      </c>
      <c r="E189" s="29">
        <f>IFERROR(VLOOKUP($D189,Schedules!$A:$I,MATCH(Prediction!E$6,Schedules!$A$1:$H$1,0),FALSE),0)</f>
        <v>0</v>
      </c>
      <c r="F189" s="24">
        <f>IF(E189=0,0,SUMIFS(Output!$L:$L,Output!$A:$A,Prediction!$A189,Output!$C:$C,Prediction!E$5))</f>
        <v>0</v>
      </c>
      <c r="G189" s="24">
        <f t="shared" si="66"/>
        <v>0</v>
      </c>
      <c r="H189" s="45">
        <f t="shared" si="73"/>
        <v>0</v>
      </c>
      <c r="I189" s="30">
        <f>SUMIFS(Output!$L:$L,Output!$A:$A,Prediction!$A189,Output!$C:$C,Prediction!E$5)</f>
        <v>0</v>
      </c>
      <c r="J189" s="29">
        <f>IFERROR(VLOOKUP($D189,Schedules!$A:$I,MATCH(Prediction!J$6,Schedules!$A$1:$H$1,0),FALSE),0)</f>
        <v>0</v>
      </c>
      <c r="K189" s="24">
        <f>IF(J189=0,0,SUMIFS(Output!$L:$L,Output!$A:$A,Prediction!$A189,Output!$C:$C,Prediction!J$5))</f>
        <v>0</v>
      </c>
      <c r="L189" s="24">
        <f t="shared" si="67"/>
        <v>0</v>
      </c>
      <c r="M189" s="24">
        <f t="shared" si="74"/>
        <v>0</v>
      </c>
      <c r="N189" s="30">
        <f>SUMIFS(Output!$L:$L,Output!$A:$A,Prediction!$A189,Output!$C:$C,Prediction!J$5)</f>
        <v>0</v>
      </c>
      <c r="O189" s="29">
        <f>IFERROR(VLOOKUP($D189,Schedules!$A:$I,MATCH(Prediction!O$6,Schedules!$A$1:$H$1,0),FALSE),0)</f>
        <v>0</v>
      </c>
      <c r="P189" s="24">
        <f>IF(O189=0,0,SUMIFS(Output!$L:$L,Output!$A:$A,Prediction!$A189,Output!$C:$C,Prediction!O$5))</f>
        <v>0</v>
      </c>
      <c r="Q189" s="24">
        <f t="shared" si="68"/>
        <v>0</v>
      </c>
      <c r="R189" s="24">
        <f t="shared" si="75"/>
        <v>0</v>
      </c>
      <c r="S189" s="30">
        <f>SUMIFS(Output!$L:$L,Output!$A:$A,Prediction!$A189,Output!$C:$C,Prediction!O$5)</f>
        <v>0</v>
      </c>
      <c r="T189" s="29">
        <f>IFERROR(VLOOKUP($D189,Schedules!$A:$I,MATCH(Prediction!T$6,Schedules!$A$1:$H$1,0),FALSE),0)</f>
        <v>0</v>
      </c>
      <c r="U189" s="24">
        <f>IF(T189=0,0,SUMIFS(Output!$L:$L,Output!$A:$A,Prediction!$A189,Output!$C:$C,Prediction!T$5))</f>
        <v>0</v>
      </c>
      <c r="V189" s="24">
        <f t="shared" si="76"/>
        <v>0</v>
      </c>
      <c r="W189" s="24">
        <f t="shared" si="77"/>
        <v>0</v>
      </c>
      <c r="X189" s="30">
        <f>SUMIFS(Output!$L:$L,Output!$A:$A,Prediction!$A189,Output!$C:$C,Prediction!T$5)</f>
        <v>0</v>
      </c>
      <c r="Y189" s="25">
        <f>IFERROR(VLOOKUP($D189,Schedules!$A:$I,MATCH(Prediction!Y$6,Schedules!$A$1:$H$1,0),FALSE),0)</f>
        <v>0</v>
      </c>
      <c r="Z189" s="24">
        <f>IF(Y189=0,0,SUMIFS(Output!$L:$L,Output!$A:$A,Prediction!$A189,Output!$C:$C,Prediction!Y$5))</f>
        <v>0</v>
      </c>
      <c r="AA189" s="24">
        <f t="shared" si="69"/>
        <v>0</v>
      </c>
      <c r="AB189" s="24">
        <f t="shared" si="78"/>
        <v>0</v>
      </c>
      <c r="AC189" s="30">
        <f>SUMIFS(Output!$L:$L,Output!$A:$A,Prediction!$A189,Output!$C:$C,Prediction!Y$5)</f>
        <v>0</v>
      </c>
      <c r="AD189" s="29">
        <f>IFERROR(VLOOKUP($D189,Schedules!$A:$I,MATCH(Prediction!AD$6,Schedules!$A$1:$H$1,0),FALSE),0)</f>
        <v>0</v>
      </c>
      <c r="AE189" s="24">
        <f>IF(AD189=0,0,SUMIFS(Output!$L:$L,Output!$A:$A,Prediction!$A189,Output!$C:$C,Prediction!AD$5))</f>
        <v>0</v>
      </c>
      <c r="AF189" s="24">
        <f t="shared" si="70"/>
        <v>0</v>
      </c>
      <c r="AG189" s="24">
        <f t="shared" si="79"/>
        <v>0</v>
      </c>
      <c r="AH189" s="30">
        <f>SUMIFS(Output!$L:$L,Output!$A:$A,Prediction!$A189,Output!$C:$C,Prediction!AD$5)</f>
        <v>0</v>
      </c>
      <c r="AI189" s="29">
        <f>IFERROR(VLOOKUP($D189,Schedules!$A:$I,MATCH(Prediction!AI$6,Schedules!$A$1:$H$1,0),FALSE),0)</f>
        <v>0</v>
      </c>
      <c r="AJ189" s="24">
        <f>IF(AI189=0,0,SUMIFS(Output!$L:$L,Output!$A:$A,Prediction!$A189,Output!$C:$C,Prediction!AI$5))</f>
        <v>0</v>
      </c>
      <c r="AK189" s="24">
        <f t="shared" si="71"/>
        <v>0</v>
      </c>
      <c r="AL189" s="24">
        <f t="shared" si="80"/>
        <v>0</v>
      </c>
      <c r="AM189" s="30">
        <f>SUMIFS(Output!$L:$L,Output!$A:$A,Prediction!$A189,Output!$C:$C,Prediction!AI$5)</f>
        <v>0</v>
      </c>
      <c r="AN189">
        <f t="shared" si="81"/>
        <v>0</v>
      </c>
      <c r="AO189" s="3">
        <f t="shared" si="82"/>
        <v>0</v>
      </c>
      <c r="AP189" s="44"/>
      <c r="AQ189" s="3">
        <f t="shared" si="72"/>
        <v>0</v>
      </c>
      <c r="AR189" s="3">
        <f t="shared" si="83"/>
        <v>0</v>
      </c>
    </row>
    <row r="190" spans="1:44" x14ac:dyDescent="0.25">
      <c r="A190" s="9" t="str">
        <f t="array" ref="A190">IFERROR(INDEX(Output!A$1:A$2000,MATCH(0,COUNTIF(Prediction!$A$7:A189,Output!A$1:A$2000),0)),"")</f>
        <v/>
      </c>
      <c r="B190" t="str">
        <f>IFERROR(VLOOKUP($A190,Output!$A:$M,2,FALSE),"")</f>
        <v/>
      </c>
      <c r="C190" t="str">
        <f>IFERROR(VLOOKUP(B190,Departments!B:C,2,FALSE),"")</f>
        <v/>
      </c>
      <c r="D190" t="str">
        <f>IFERROR(VLOOKUP($A190,Output!$A:$M,13,FALSE),"")</f>
        <v/>
      </c>
      <c r="E190" s="29">
        <f>IFERROR(VLOOKUP($D190,Schedules!$A:$I,MATCH(Prediction!E$6,Schedules!$A$1:$H$1,0),FALSE),0)</f>
        <v>0</v>
      </c>
      <c r="F190" s="24">
        <f>IF(E190=0,0,SUMIFS(Output!$L:$L,Output!$A:$A,Prediction!$A190,Output!$C:$C,Prediction!E$5))</f>
        <v>0</v>
      </c>
      <c r="G190" s="24">
        <f t="shared" si="66"/>
        <v>0</v>
      </c>
      <c r="H190" s="45">
        <f t="shared" si="73"/>
        <v>0</v>
      </c>
      <c r="I190" s="30">
        <f>SUMIFS(Output!$L:$L,Output!$A:$A,Prediction!$A190,Output!$C:$C,Prediction!E$5)</f>
        <v>0</v>
      </c>
      <c r="J190" s="29">
        <f>IFERROR(VLOOKUP($D190,Schedules!$A:$I,MATCH(Prediction!J$6,Schedules!$A$1:$H$1,0),FALSE),0)</f>
        <v>0</v>
      </c>
      <c r="K190" s="24">
        <f>IF(J190=0,0,SUMIFS(Output!$L:$L,Output!$A:$A,Prediction!$A190,Output!$C:$C,Prediction!J$5))</f>
        <v>0</v>
      </c>
      <c r="L190" s="24">
        <f t="shared" si="67"/>
        <v>0</v>
      </c>
      <c r="M190" s="24">
        <f t="shared" si="74"/>
        <v>0</v>
      </c>
      <c r="N190" s="30">
        <f>SUMIFS(Output!$L:$L,Output!$A:$A,Prediction!$A190,Output!$C:$C,Prediction!J$5)</f>
        <v>0</v>
      </c>
      <c r="O190" s="29">
        <f>IFERROR(VLOOKUP($D190,Schedules!$A:$I,MATCH(Prediction!O$6,Schedules!$A$1:$H$1,0),FALSE),0)</f>
        <v>0</v>
      </c>
      <c r="P190" s="24">
        <f>IF(O190=0,0,SUMIFS(Output!$L:$L,Output!$A:$A,Prediction!$A190,Output!$C:$C,Prediction!O$5))</f>
        <v>0</v>
      </c>
      <c r="Q190" s="24">
        <f t="shared" si="68"/>
        <v>0</v>
      </c>
      <c r="R190" s="24">
        <f t="shared" si="75"/>
        <v>0</v>
      </c>
      <c r="S190" s="30">
        <f>SUMIFS(Output!$L:$L,Output!$A:$A,Prediction!$A190,Output!$C:$C,Prediction!O$5)</f>
        <v>0</v>
      </c>
      <c r="T190" s="29">
        <f>IFERROR(VLOOKUP($D190,Schedules!$A:$I,MATCH(Prediction!T$6,Schedules!$A$1:$H$1,0),FALSE),0)</f>
        <v>0</v>
      </c>
      <c r="U190" s="24">
        <f>IF(T190=0,0,SUMIFS(Output!$L:$L,Output!$A:$A,Prediction!$A190,Output!$C:$C,Prediction!T$5))</f>
        <v>0</v>
      </c>
      <c r="V190" s="24">
        <f t="shared" si="76"/>
        <v>0</v>
      </c>
      <c r="W190" s="24">
        <f t="shared" si="77"/>
        <v>0</v>
      </c>
      <c r="X190" s="30">
        <f>SUMIFS(Output!$L:$L,Output!$A:$A,Prediction!$A190,Output!$C:$C,Prediction!T$5)</f>
        <v>0</v>
      </c>
      <c r="Y190" s="25">
        <f>IFERROR(VLOOKUP($D190,Schedules!$A:$I,MATCH(Prediction!Y$6,Schedules!$A$1:$H$1,0),FALSE),0)</f>
        <v>0</v>
      </c>
      <c r="Z190" s="24">
        <f>IF(Y190=0,0,SUMIFS(Output!$L:$L,Output!$A:$A,Prediction!$A190,Output!$C:$C,Prediction!Y$5))</f>
        <v>0</v>
      </c>
      <c r="AA190" s="24">
        <f t="shared" si="69"/>
        <v>0</v>
      </c>
      <c r="AB190" s="24">
        <f t="shared" si="78"/>
        <v>0</v>
      </c>
      <c r="AC190" s="30">
        <f>SUMIFS(Output!$L:$L,Output!$A:$A,Prediction!$A190,Output!$C:$C,Prediction!Y$5)</f>
        <v>0</v>
      </c>
      <c r="AD190" s="29">
        <f>IFERROR(VLOOKUP($D190,Schedules!$A:$I,MATCH(Prediction!AD$6,Schedules!$A$1:$H$1,0),FALSE),0)</f>
        <v>0</v>
      </c>
      <c r="AE190" s="24">
        <f>IF(AD190=0,0,SUMIFS(Output!$L:$L,Output!$A:$A,Prediction!$A190,Output!$C:$C,Prediction!AD$5))</f>
        <v>0</v>
      </c>
      <c r="AF190" s="24">
        <f t="shared" si="70"/>
        <v>0</v>
      </c>
      <c r="AG190" s="24">
        <f t="shared" si="79"/>
        <v>0</v>
      </c>
      <c r="AH190" s="30">
        <f>SUMIFS(Output!$L:$L,Output!$A:$A,Prediction!$A190,Output!$C:$C,Prediction!AD$5)</f>
        <v>0</v>
      </c>
      <c r="AI190" s="29">
        <f>IFERROR(VLOOKUP($D190,Schedules!$A:$I,MATCH(Prediction!AI$6,Schedules!$A$1:$H$1,0),FALSE),0)</f>
        <v>0</v>
      </c>
      <c r="AJ190" s="24">
        <f>IF(AI190=0,0,SUMIFS(Output!$L:$L,Output!$A:$A,Prediction!$A190,Output!$C:$C,Prediction!AI$5))</f>
        <v>0</v>
      </c>
      <c r="AK190" s="24">
        <f t="shared" si="71"/>
        <v>0</v>
      </c>
      <c r="AL190" s="24">
        <f t="shared" si="80"/>
        <v>0</v>
      </c>
      <c r="AM190" s="30">
        <f>SUMIFS(Output!$L:$L,Output!$A:$A,Prediction!$A190,Output!$C:$C,Prediction!AI$5)</f>
        <v>0</v>
      </c>
      <c r="AN190">
        <f t="shared" si="81"/>
        <v>0</v>
      </c>
      <c r="AO190" s="3">
        <f t="shared" si="82"/>
        <v>0</v>
      </c>
      <c r="AP190" s="44"/>
      <c r="AQ190" s="3">
        <f t="shared" si="72"/>
        <v>0</v>
      </c>
      <c r="AR190" s="3">
        <f t="shared" si="83"/>
        <v>0</v>
      </c>
    </row>
    <row r="191" spans="1:44" x14ac:dyDescent="0.25">
      <c r="A191" s="9" t="str">
        <f t="array" ref="A191">IFERROR(INDEX(Output!A$1:A$2000,MATCH(0,COUNTIF(Prediction!$A$7:A190,Output!A$1:A$2000),0)),"")</f>
        <v/>
      </c>
      <c r="B191" t="str">
        <f>IFERROR(VLOOKUP($A191,Output!$A:$M,2,FALSE),"")</f>
        <v/>
      </c>
      <c r="C191" t="str">
        <f>IFERROR(VLOOKUP(B191,Departments!B:C,2,FALSE),"")</f>
        <v/>
      </c>
      <c r="D191" t="str">
        <f>IFERROR(VLOOKUP($A191,Output!$A:$M,13,FALSE),"")</f>
        <v/>
      </c>
      <c r="E191" s="29">
        <f>IFERROR(VLOOKUP($D191,Schedules!$A:$I,MATCH(Prediction!E$6,Schedules!$A$1:$H$1,0),FALSE),0)</f>
        <v>0</v>
      </c>
      <c r="F191" s="24">
        <f>IF(E191=0,0,SUMIFS(Output!$L:$L,Output!$A:$A,Prediction!$A191,Output!$C:$C,Prediction!E$5))</f>
        <v>0</v>
      </c>
      <c r="G191" s="24">
        <f t="shared" si="66"/>
        <v>0</v>
      </c>
      <c r="H191" s="45">
        <f t="shared" si="73"/>
        <v>0</v>
      </c>
      <c r="I191" s="30">
        <f>SUMIFS(Output!$L:$L,Output!$A:$A,Prediction!$A191,Output!$C:$C,Prediction!E$5)</f>
        <v>0</v>
      </c>
      <c r="J191" s="29">
        <f>IFERROR(VLOOKUP($D191,Schedules!$A:$I,MATCH(Prediction!J$6,Schedules!$A$1:$H$1,0),FALSE),0)</f>
        <v>0</v>
      </c>
      <c r="K191" s="24">
        <f>IF(J191=0,0,SUMIFS(Output!$L:$L,Output!$A:$A,Prediction!$A191,Output!$C:$C,Prediction!J$5))</f>
        <v>0</v>
      </c>
      <c r="L191" s="24">
        <f t="shared" si="67"/>
        <v>0</v>
      </c>
      <c r="M191" s="24">
        <f t="shared" si="74"/>
        <v>0</v>
      </c>
      <c r="N191" s="30">
        <f>SUMIFS(Output!$L:$L,Output!$A:$A,Prediction!$A191,Output!$C:$C,Prediction!J$5)</f>
        <v>0</v>
      </c>
      <c r="O191" s="29">
        <f>IFERROR(VLOOKUP($D191,Schedules!$A:$I,MATCH(Prediction!O$6,Schedules!$A$1:$H$1,0),FALSE),0)</f>
        <v>0</v>
      </c>
      <c r="P191" s="24">
        <f>IF(O191=0,0,SUMIFS(Output!$L:$L,Output!$A:$A,Prediction!$A191,Output!$C:$C,Prediction!O$5))</f>
        <v>0</v>
      </c>
      <c r="Q191" s="24">
        <f t="shared" si="68"/>
        <v>0</v>
      </c>
      <c r="R191" s="24">
        <f t="shared" si="75"/>
        <v>0</v>
      </c>
      <c r="S191" s="30">
        <f>SUMIFS(Output!$L:$L,Output!$A:$A,Prediction!$A191,Output!$C:$C,Prediction!O$5)</f>
        <v>0</v>
      </c>
      <c r="T191" s="29">
        <f>IFERROR(VLOOKUP($D191,Schedules!$A:$I,MATCH(Prediction!T$6,Schedules!$A$1:$H$1,0),FALSE),0)</f>
        <v>0</v>
      </c>
      <c r="U191" s="24">
        <f>IF(T191=0,0,SUMIFS(Output!$L:$L,Output!$A:$A,Prediction!$A191,Output!$C:$C,Prediction!T$5))</f>
        <v>0</v>
      </c>
      <c r="V191" s="24">
        <f t="shared" si="76"/>
        <v>0</v>
      </c>
      <c r="W191" s="24">
        <f t="shared" si="77"/>
        <v>0</v>
      </c>
      <c r="X191" s="30">
        <f>SUMIFS(Output!$L:$L,Output!$A:$A,Prediction!$A191,Output!$C:$C,Prediction!T$5)</f>
        <v>0</v>
      </c>
      <c r="Y191" s="25">
        <f>IFERROR(VLOOKUP($D191,Schedules!$A:$I,MATCH(Prediction!Y$6,Schedules!$A$1:$H$1,0),FALSE),0)</f>
        <v>0</v>
      </c>
      <c r="Z191" s="24">
        <f>IF(Y191=0,0,SUMIFS(Output!$L:$L,Output!$A:$A,Prediction!$A191,Output!$C:$C,Prediction!Y$5))</f>
        <v>0</v>
      </c>
      <c r="AA191" s="24">
        <f t="shared" si="69"/>
        <v>0</v>
      </c>
      <c r="AB191" s="24">
        <f t="shared" si="78"/>
        <v>0</v>
      </c>
      <c r="AC191" s="30">
        <f>SUMIFS(Output!$L:$L,Output!$A:$A,Prediction!$A191,Output!$C:$C,Prediction!Y$5)</f>
        <v>0</v>
      </c>
      <c r="AD191" s="29">
        <f>IFERROR(VLOOKUP($D191,Schedules!$A:$I,MATCH(Prediction!AD$6,Schedules!$A$1:$H$1,0),FALSE),0)</f>
        <v>0</v>
      </c>
      <c r="AE191" s="24">
        <f>IF(AD191=0,0,SUMIFS(Output!$L:$L,Output!$A:$A,Prediction!$A191,Output!$C:$C,Prediction!AD$5))</f>
        <v>0</v>
      </c>
      <c r="AF191" s="24">
        <f t="shared" si="70"/>
        <v>0</v>
      </c>
      <c r="AG191" s="24">
        <f t="shared" si="79"/>
        <v>0</v>
      </c>
      <c r="AH191" s="30">
        <f>SUMIFS(Output!$L:$L,Output!$A:$A,Prediction!$A191,Output!$C:$C,Prediction!AD$5)</f>
        <v>0</v>
      </c>
      <c r="AI191" s="29">
        <f>IFERROR(VLOOKUP($D191,Schedules!$A:$I,MATCH(Prediction!AI$6,Schedules!$A$1:$H$1,0),FALSE),0)</f>
        <v>0</v>
      </c>
      <c r="AJ191" s="24">
        <f>IF(AI191=0,0,SUMIFS(Output!$L:$L,Output!$A:$A,Prediction!$A191,Output!$C:$C,Prediction!AI$5))</f>
        <v>0</v>
      </c>
      <c r="AK191" s="24">
        <f t="shared" si="71"/>
        <v>0</v>
      </c>
      <c r="AL191" s="24">
        <f t="shared" si="80"/>
        <v>0</v>
      </c>
      <c r="AM191" s="30">
        <f>SUMIFS(Output!$L:$L,Output!$A:$A,Prediction!$A191,Output!$C:$C,Prediction!AI$5)</f>
        <v>0</v>
      </c>
      <c r="AN191">
        <f t="shared" si="81"/>
        <v>0</v>
      </c>
      <c r="AO191" s="3">
        <f t="shared" si="82"/>
        <v>0</v>
      </c>
      <c r="AP191" s="44"/>
      <c r="AQ191" s="3">
        <f t="shared" si="72"/>
        <v>0</v>
      </c>
      <c r="AR191" s="3">
        <f t="shared" si="83"/>
        <v>0</v>
      </c>
    </row>
    <row r="192" spans="1:44" x14ac:dyDescent="0.25">
      <c r="A192" s="9" t="str">
        <f t="array" ref="A192">IFERROR(INDEX(Output!A$1:A$2000,MATCH(0,COUNTIF(Prediction!$A$7:A191,Output!A$1:A$2000),0)),"")</f>
        <v/>
      </c>
      <c r="B192" t="str">
        <f>IFERROR(VLOOKUP($A192,Output!$A:$M,2,FALSE),"")</f>
        <v/>
      </c>
      <c r="C192" t="str">
        <f>IFERROR(VLOOKUP(B192,Departments!B:C,2,FALSE),"")</f>
        <v/>
      </c>
      <c r="D192" t="str">
        <f>IFERROR(VLOOKUP($A192,Output!$A:$M,13,FALSE),"")</f>
        <v/>
      </c>
      <c r="E192" s="29">
        <f>IFERROR(VLOOKUP($D192,Schedules!$A:$I,MATCH(Prediction!E$6,Schedules!$A$1:$H$1,0),FALSE),0)</f>
        <v>0</v>
      </c>
      <c r="F192" s="24">
        <f>IF(E192=0,0,SUMIFS(Output!$L:$L,Output!$A:$A,Prediction!$A192,Output!$C:$C,Prediction!E$5))</f>
        <v>0</v>
      </c>
      <c r="G192" s="24">
        <f t="shared" si="66"/>
        <v>0</v>
      </c>
      <c r="H192" s="45">
        <f t="shared" si="73"/>
        <v>0</v>
      </c>
      <c r="I192" s="30">
        <f>SUMIFS(Output!$L:$L,Output!$A:$A,Prediction!$A192,Output!$C:$C,Prediction!E$5)</f>
        <v>0</v>
      </c>
      <c r="J192" s="29">
        <f>IFERROR(VLOOKUP($D192,Schedules!$A:$I,MATCH(Prediction!J$6,Schedules!$A$1:$H$1,0),FALSE),0)</f>
        <v>0</v>
      </c>
      <c r="K192" s="24">
        <f>IF(J192=0,0,SUMIFS(Output!$L:$L,Output!$A:$A,Prediction!$A192,Output!$C:$C,Prediction!J$5))</f>
        <v>0</v>
      </c>
      <c r="L192" s="24">
        <f t="shared" si="67"/>
        <v>0</v>
      </c>
      <c r="M192" s="24">
        <f t="shared" si="74"/>
        <v>0</v>
      </c>
      <c r="N192" s="30">
        <f>SUMIFS(Output!$L:$L,Output!$A:$A,Prediction!$A192,Output!$C:$C,Prediction!J$5)</f>
        <v>0</v>
      </c>
      <c r="O192" s="29">
        <f>IFERROR(VLOOKUP($D192,Schedules!$A:$I,MATCH(Prediction!O$6,Schedules!$A$1:$H$1,0),FALSE),0)</f>
        <v>0</v>
      </c>
      <c r="P192" s="24">
        <f>IF(O192=0,0,SUMIFS(Output!$L:$L,Output!$A:$A,Prediction!$A192,Output!$C:$C,Prediction!O$5))</f>
        <v>0</v>
      </c>
      <c r="Q192" s="24">
        <f t="shared" si="68"/>
        <v>0</v>
      </c>
      <c r="R192" s="24">
        <f t="shared" si="75"/>
        <v>0</v>
      </c>
      <c r="S192" s="30">
        <f>SUMIFS(Output!$L:$L,Output!$A:$A,Prediction!$A192,Output!$C:$C,Prediction!O$5)</f>
        <v>0</v>
      </c>
      <c r="T192" s="29">
        <f>IFERROR(VLOOKUP($D192,Schedules!$A:$I,MATCH(Prediction!T$6,Schedules!$A$1:$H$1,0),FALSE),0)</f>
        <v>0</v>
      </c>
      <c r="U192" s="24">
        <f>IF(T192=0,0,SUMIFS(Output!$L:$L,Output!$A:$A,Prediction!$A192,Output!$C:$C,Prediction!T$5))</f>
        <v>0</v>
      </c>
      <c r="V192" s="24">
        <f t="shared" si="76"/>
        <v>0</v>
      </c>
      <c r="W192" s="24">
        <f t="shared" si="77"/>
        <v>0</v>
      </c>
      <c r="X192" s="30">
        <f>SUMIFS(Output!$L:$L,Output!$A:$A,Prediction!$A192,Output!$C:$C,Prediction!T$5)</f>
        <v>0</v>
      </c>
      <c r="Y192" s="25">
        <f>IFERROR(VLOOKUP($D192,Schedules!$A:$I,MATCH(Prediction!Y$6,Schedules!$A$1:$H$1,0),FALSE),0)</f>
        <v>0</v>
      </c>
      <c r="Z192" s="24">
        <f>IF(Y192=0,0,SUMIFS(Output!$L:$L,Output!$A:$A,Prediction!$A192,Output!$C:$C,Prediction!Y$5))</f>
        <v>0</v>
      </c>
      <c r="AA192" s="24">
        <f t="shared" si="69"/>
        <v>0</v>
      </c>
      <c r="AB192" s="24">
        <f t="shared" si="78"/>
        <v>0</v>
      </c>
      <c r="AC192" s="30">
        <f>SUMIFS(Output!$L:$L,Output!$A:$A,Prediction!$A192,Output!$C:$C,Prediction!Y$5)</f>
        <v>0</v>
      </c>
      <c r="AD192" s="29">
        <f>IFERROR(VLOOKUP($D192,Schedules!$A:$I,MATCH(Prediction!AD$6,Schedules!$A$1:$H$1,0),FALSE),0)</f>
        <v>0</v>
      </c>
      <c r="AE192" s="24">
        <f>IF(AD192=0,0,SUMIFS(Output!$L:$L,Output!$A:$A,Prediction!$A192,Output!$C:$C,Prediction!AD$5))</f>
        <v>0</v>
      </c>
      <c r="AF192" s="24">
        <f t="shared" si="70"/>
        <v>0</v>
      </c>
      <c r="AG192" s="24">
        <f t="shared" si="79"/>
        <v>0</v>
      </c>
      <c r="AH192" s="30">
        <f>SUMIFS(Output!$L:$L,Output!$A:$A,Prediction!$A192,Output!$C:$C,Prediction!AD$5)</f>
        <v>0</v>
      </c>
      <c r="AI192" s="29">
        <f>IFERROR(VLOOKUP($D192,Schedules!$A:$I,MATCH(Prediction!AI$6,Schedules!$A$1:$H$1,0),FALSE),0)</f>
        <v>0</v>
      </c>
      <c r="AJ192" s="24">
        <f>IF(AI192=0,0,SUMIFS(Output!$L:$L,Output!$A:$A,Prediction!$A192,Output!$C:$C,Prediction!AI$5))</f>
        <v>0</v>
      </c>
      <c r="AK192" s="24">
        <f t="shared" si="71"/>
        <v>0</v>
      </c>
      <c r="AL192" s="24">
        <f t="shared" si="80"/>
        <v>0</v>
      </c>
      <c r="AM192" s="30">
        <f>SUMIFS(Output!$L:$L,Output!$A:$A,Prediction!$A192,Output!$C:$C,Prediction!AI$5)</f>
        <v>0</v>
      </c>
      <c r="AN192">
        <f t="shared" si="81"/>
        <v>0</v>
      </c>
      <c r="AO192" s="3">
        <f t="shared" si="82"/>
        <v>0</v>
      </c>
      <c r="AP192" s="44"/>
      <c r="AQ192" s="3">
        <f t="shared" si="72"/>
        <v>0</v>
      </c>
      <c r="AR192" s="3">
        <f t="shared" si="83"/>
        <v>0</v>
      </c>
    </row>
    <row r="193" spans="1:44" x14ac:dyDescent="0.25">
      <c r="A193" s="9" t="str">
        <f t="array" ref="A193">IFERROR(INDEX(Output!A$1:A$2000,MATCH(0,COUNTIF(Prediction!$A$7:A192,Output!A$1:A$2000),0)),"")</f>
        <v/>
      </c>
      <c r="B193" t="str">
        <f>IFERROR(VLOOKUP($A193,Output!$A:$M,2,FALSE),"")</f>
        <v/>
      </c>
      <c r="C193" t="str">
        <f>IFERROR(VLOOKUP(B193,Departments!B:C,2,FALSE),"")</f>
        <v/>
      </c>
      <c r="D193" t="str">
        <f>IFERROR(VLOOKUP($A193,Output!$A:$M,13,FALSE),"")</f>
        <v/>
      </c>
      <c r="E193" s="29">
        <f>IFERROR(VLOOKUP($D193,Schedules!$A:$I,MATCH(Prediction!E$6,Schedules!$A$1:$H$1,0),FALSE),0)</f>
        <v>0</v>
      </c>
      <c r="F193" s="24">
        <f>IF(E193=0,0,SUMIFS(Output!$L:$L,Output!$A:$A,Prediction!$A193,Output!$C:$C,Prediction!E$5))</f>
        <v>0</v>
      </c>
      <c r="G193" s="24">
        <f t="shared" si="66"/>
        <v>0</v>
      </c>
      <c r="H193" s="45">
        <f t="shared" si="73"/>
        <v>0</v>
      </c>
      <c r="I193" s="30">
        <f>SUMIFS(Output!$L:$L,Output!$A:$A,Prediction!$A193,Output!$C:$C,Prediction!E$5)</f>
        <v>0</v>
      </c>
      <c r="J193" s="29">
        <f>IFERROR(VLOOKUP($D193,Schedules!$A:$I,MATCH(Prediction!J$6,Schedules!$A$1:$H$1,0),FALSE),0)</f>
        <v>0</v>
      </c>
      <c r="K193" s="24">
        <f>IF(J193=0,0,SUMIFS(Output!$L:$L,Output!$A:$A,Prediction!$A193,Output!$C:$C,Prediction!J$5))</f>
        <v>0</v>
      </c>
      <c r="L193" s="24">
        <f t="shared" si="67"/>
        <v>0</v>
      </c>
      <c r="M193" s="24">
        <f t="shared" si="74"/>
        <v>0</v>
      </c>
      <c r="N193" s="30">
        <f>SUMIFS(Output!$L:$L,Output!$A:$A,Prediction!$A193,Output!$C:$C,Prediction!J$5)</f>
        <v>0</v>
      </c>
      <c r="O193" s="29">
        <f>IFERROR(VLOOKUP($D193,Schedules!$A:$I,MATCH(Prediction!O$6,Schedules!$A$1:$H$1,0),FALSE),0)</f>
        <v>0</v>
      </c>
      <c r="P193" s="24">
        <f>IF(O193=0,0,SUMIFS(Output!$L:$L,Output!$A:$A,Prediction!$A193,Output!$C:$C,Prediction!O$5))</f>
        <v>0</v>
      </c>
      <c r="Q193" s="24">
        <f t="shared" si="68"/>
        <v>0</v>
      </c>
      <c r="R193" s="24">
        <f t="shared" si="75"/>
        <v>0</v>
      </c>
      <c r="S193" s="30">
        <f>SUMIFS(Output!$L:$L,Output!$A:$A,Prediction!$A193,Output!$C:$C,Prediction!O$5)</f>
        <v>0</v>
      </c>
      <c r="T193" s="29">
        <f>IFERROR(VLOOKUP($D193,Schedules!$A:$I,MATCH(Prediction!T$6,Schedules!$A$1:$H$1,0),FALSE),0)</f>
        <v>0</v>
      </c>
      <c r="U193" s="24">
        <f>IF(T193=0,0,SUMIFS(Output!$L:$L,Output!$A:$A,Prediction!$A193,Output!$C:$C,Prediction!T$5))</f>
        <v>0</v>
      </c>
      <c r="V193" s="24">
        <f t="shared" si="76"/>
        <v>0</v>
      </c>
      <c r="W193" s="24">
        <f t="shared" si="77"/>
        <v>0</v>
      </c>
      <c r="X193" s="30">
        <f>SUMIFS(Output!$L:$L,Output!$A:$A,Prediction!$A193,Output!$C:$C,Prediction!T$5)</f>
        <v>0</v>
      </c>
      <c r="Y193" s="25">
        <f>IFERROR(VLOOKUP($D193,Schedules!$A:$I,MATCH(Prediction!Y$6,Schedules!$A$1:$H$1,0),FALSE),0)</f>
        <v>0</v>
      </c>
      <c r="Z193" s="24">
        <f>IF(Y193=0,0,SUMIFS(Output!$L:$L,Output!$A:$A,Prediction!$A193,Output!$C:$C,Prediction!Y$5))</f>
        <v>0</v>
      </c>
      <c r="AA193" s="24">
        <f t="shared" si="69"/>
        <v>0</v>
      </c>
      <c r="AB193" s="24">
        <f t="shared" si="78"/>
        <v>0</v>
      </c>
      <c r="AC193" s="30">
        <f>SUMIFS(Output!$L:$L,Output!$A:$A,Prediction!$A193,Output!$C:$C,Prediction!Y$5)</f>
        <v>0</v>
      </c>
      <c r="AD193" s="29">
        <f>IFERROR(VLOOKUP($D193,Schedules!$A:$I,MATCH(Prediction!AD$6,Schedules!$A$1:$H$1,0),FALSE),0)</f>
        <v>0</v>
      </c>
      <c r="AE193" s="24">
        <f>IF(AD193=0,0,SUMIFS(Output!$L:$L,Output!$A:$A,Prediction!$A193,Output!$C:$C,Prediction!AD$5))</f>
        <v>0</v>
      </c>
      <c r="AF193" s="24">
        <f t="shared" si="70"/>
        <v>0</v>
      </c>
      <c r="AG193" s="24">
        <f t="shared" si="79"/>
        <v>0</v>
      </c>
      <c r="AH193" s="30">
        <f>SUMIFS(Output!$L:$L,Output!$A:$A,Prediction!$A193,Output!$C:$C,Prediction!AD$5)</f>
        <v>0</v>
      </c>
      <c r="AI193" s="29">
        <f>IFERROR(VLOOKUP($D193,Schedules!$A:$I,MATCH(Prediction!AI$6,Schedules!$A$1:$H$1,0),FALSE),0)</f>
        <v>0</v>
      </c>
      <c r="AJ193" s="24">
        <f>IF(AI193=0,0,SUMIFS(Output!$L:$L,Output!$A:$A,Prediction!$A193,Output!$C:$C,Prediction!AI$5))</f>
        <v>0</v>
      </c>
      <c r="AK193" s="24">
        <f t="shared" si="71"/>
        <v>0</v>
      </c>
      <c r="AL193" s="24">
        <f t="shared" si="80"/>
        <v>0</v>
      </c>
      <c r="AM193" s="30">
        <f>SUMIFS(Output!$L:$L,Output!$A:$A,Prediction!$A193,Output!$C:$C,Prediction!AI$5)</f>
        <v>0</v>
      </c>
      <c r="AN193">
        <f t="shared" si="81"/>
        <v>0</v>
      </c>
      <c r="AO193" s="3">
        <f t="shared" si="82"/>
        <v>0</v>
      </c>
      <c r="AP193" s="44"/>
      <c r="AQ193" s="3">
        <f t="shared" si="72"/>
        <v>0</v>
      </c>
      <c r="AR193" s="3">
        <f t="shared" si="83"/>
        <v>0</v>
      </c>
    </row>
    <row r="194" spans="1:44" x14ac:dyDescent="0.25">
      <c r="A194" s="9" t="str">
        <f t="array" ref="A194">IFERROR(INDEX(Output!A$1:A$2000,MATCH(0,COUNTIF(Prediction!$A$7:A193,Output!A$1:A$2000),0)),"")</f>
        <v/>
      </c>
      <c r="B194" t="str">
        <f>IFERROR(VLOOKUP($A194,Output!$A:$M,2,FALSE),"")</f>
        <v/>
      </c>
      <c r="C194" t="str">
        <f>IFERROR(VLOOKUP(B194,Departments!B:C,2,FALSE),"")</f>
        <v/>
      </c>
      <c r="D194" t="str">
        <f>IFERROR(VLOOKUP($A194,Output!$A:$M,13,FALSE),"")</f>
        <v/>
      </c>
      <c r="E194" s="29">
        <f>IFERROR(VLOOKUP($D194,Schedules!$A:$I,MATCH(Prediction!E$6,Schedules!$A$1:$H$1,0),FALSE),0)</f>
        <v>0</v>
      </c>
      <c r="F194" s="24">
        <f>IF(E194=0,0,SUMIFS(Output!$L:$L,Output!$A:$A,Prediction!$A194,Output!$C:$C,Prediction!E$5))</f>
        <v>0</v>
      </c>
      <c r="G194" s="24">
        <f t="shared" si="66"/>
        <v>0</v>
      </c>
      <c r="H194" s="45">
        <f t="shared" si="73"/>
        <v>0</v>
      </c>
      <c r="I194" s="30">
        <f>SUMIFS(Output!$L:$L,Output!$A:$A,Prediction!$A194,Output!$C:$C,Prediction!E$5)</f>
        <v>0</v>
      </c>
      <c r="J194" s="29">
        <f>IFERROR(VLOOKUP($D194,Schedules!$A:$I,MATCH(Prediction!J$6,Schedules!$A$1:$H$1,0),FALSE),0)</f>
        <v>0</v>
      </c>
      <c r="K194" s="24">
        <f>IF(J194=0,0,SUMIFS(Output!$L:$L,Output!$A:$A,Prediction!$A194,Output!$C:$C,Prediction!J$5))</f>
        <v>0</v>
      </c>
      <c r="L194" s="24">
        <f t="shared" si="67"/>
        <v>0</v>
      </c>
      <c r="M194" s="24">
        <f t="shared" si="74"/>
        <v>0</v>
      </c>
      <c r="N194" s="30">
        <f>SUMIFS(Output!$L:$L,Output!$A:$A,Prediction!$A194,Output!$C:$C,Prediction!J$5)</f>
        <v>0</v>
      </c>
      <c r="O194" s="29">
        <f>IFERROR(VLOOKUP($D194,Schedules!$A:$I,MATCH(Prediction!O$6,Schedules!$A$1:$H$1,0),FALSE),0)</f>
        <v>0</v>
      </c>
      <c r="P194" s="24">
        <f>IF(O194=0,0,SUMIFS(Output!$L:$L,Output!$A:$A,Prediction!$A194,Output!$C:$C,Prediction!O$5))</f>
        <v>0</v>
      </c>
      <c r="Q194" s="24">
        <f t="shared" si="68"/>
        <v>0</v>
      </c>
      <c r="R194" s="24">
        <f t="shared" si="75"/>
        <v>0</v>
      </c>
      <c r="S194" s="30">
        <f>SUMIFS(Output!$L:$L,Output!$A:$A,Prediction!$A194,Output!$C:$C,Prediction!O$5)</f>
        <v>0</v>
      </c>
      <c r="T194" s="29">
        <f>IFERROR(VLOOKUP($D194,Schedules!$A:$I,MATCH(Prediction!T$6,Schedules!$A$1:$H$1,0),FALSE),0)</f>
        <v>0</v>
      </c>
      <c r="U194" s="24">
        <f>IF(T194=0,0,SUMIFS(Output!$L:$L,Output!$A:$A,Prediction!$A194,Output!$C:$C,Prediction!T$5))</f>
        <v>0</v>
      </c>
      <c r="V194" s="24">
        <f t="shared" si="76"/>
        <v>0</v>
      </c>
      <c r="W194" s="24">
        <f t="shared" si="77"/>
        <v>0</v>
      </c>
      <c r="X194" s="30">
        <f>SUMIFS(Output!$L:$L,Output!$A:$A,Prediction!$A194,Output!$C:$C,Prediction!T$5)</f>
        <v>0</v>
      </c>
      <c r="Y194" s="25">
        <f>IFERROR(VLOOKUP($D194,Schedules!$A:$I,MATCH(Prediction!Y$6,Schedules!$A$1:$H$1,0),FALSE),0)</f>
        <v>0</v>
      </c>
      <c r="Z194" s="24">
        <f>IF(Y194=0,0,SUMIFS(Output!$L:$L,Output!$A:$A,Prediction!$A194,Output!$C:$C,Prediction!Y$5))</f>
        <v>0</v>
      </c>
      <c r="AA194" s="24">
        <f t="shared" si="69"/>
        <v>0</v>
      </c>
      <c r="AB194" s="24">
        <f t="shared" si="78"/>
        <v>0</v>
      </c>
      <c r="AC194" s="30">
        <f>SUMIFS(Output!$L:$L,Output!$A:$A,Prediction!$A194,Output!$C:$C,Prediction!Y$5)</f>
        <v>0</v>
      </c>
      <c r="AD194" s="29">
        <f>IFERROR(VLOOKUP($D194,Schedules!$A:$I,MATCH(Prediction!AD$6,Schedules!$A$1:$H$1,0),FALSE),0)</f>
        <v>0</v>
      </c>
      <c r="AE194" s="24">
        <f>IF(AD194=0,0,SUMIFS(Output!$L:$L,Output!$A:$A,Prediction!$A194,Output!$C:$C,Prediction!AD$5))</f>
        <v>0</v>
      </c>
      <c r="AF194" s="24">
        <f t="shared" si="70"/>
        <v>0</v>
      </c>
      <c r="AG194" s="24">
        <f t="shared" si="79"/>
        <v>0</v>
      </c>
      <c r="AH194" s="30">
        <f>SUMIFS(Output!$L:$L,Output!$A:$A,Prediction!$A194,Output!$C:$C,Prediction!AD$5)</f>
        <v>0</v>
      </c>
      <c r="AI194" s="29">
        <f>IFERROR(VLOOKUP($D194,Schedules!$A:$I,MATCH(Prediction!AI$6,Schedules!$A$1:$H$1,0),FALSE),0)</f>
        <v>0</v>
      </c>
      <c r="AJ194" s="24">
        <f>IF(AI194=0,0,SUMIFS(Output!$L:$L,Output!$A:$A,Prediction!$A194,Output!$C:$C,Prediction!AI$5))</f>
        <v>0</v>
      </c>
      <c r="AK194" s="24">
        <f t="shared" si="71"/>
        <v>0</v>
      </c>
      <c r="AL194" s="24">
        <f t="shared" si="80"/>
        <v>0</v>
      </c>
      <c r="AM194" s="30">
        <f>SUMIFS(Output!$L:$L,Output!$A:$A,Prediction!$A194,Output!$C:$C,Prediction!AI$5)</f>
        <v>0</v>
      </c>
      <c r="AN194">
        <f t="shared" si="81"/>
        <v>0</v>
      </c>
      <c r="AO194" s="3">
        <f t="shared" si="82"/>
        <v>0</v>
      </c>
      <c r="AP194" s="44"/>
      <c r="AQ194" s="3">
        <f t="shared" si="72"/>
        <v>0</v>
      </c>
      <c r="AR194" s="3">
        <f t="shared" si="83"/>
        <v>0</v>
      </c>
    </row>
    <row r="195" spans="1:44" x14ac:dyDescent="0.25">
      <c r="A195" s="9" t="str">
        <f t="array" ref="A195">IFERROR(INDEX(Output!A$1:A$2000,MATCH(0,COUNTIF(Prediction!$A$7:A194,Output!A$1:A$2000),0)),"")</f>
        <v/>
      </c>
      <c r="B195" t="str">
        <f>IFERROR(VLOOKUP($A195,Output!$A:$M,2,FALSE),"")</f>
        <v/>
      </c>
      <c r="C195" t="str">
        <f>IFERROR(VLOOKUP(B195,Departments!B:C,2,FALSE),"")</f>
        <v/>
      </c>
      <c r="D195" t="str">
        <f>IFERROR(VLOOKUP($A195,Output!$A:$M,13,FALSE),"")</f>
        <v/>
      </c>
      <c r="E195" s="29">
        <f>IFERROR(VLOOKUP($D195,Schedules!$A:$I,MATCH(Prediction!E$6,Schedules!$A$1:$H$1,0),FALSE),0)</f>
        <v>0</v>
      </c>
      <c r="F195" s="24">
        <f>IF(E195=0,0,SUMIFS(Output!$L:$L,Output!$A:$A,Prediction!$A195,Output!$C:$C,Prediction!E$5))</f>
        <v>0</v>
      </c>
      <c r="G195" s="24">
        <f t="shared" si="66"/>
        <v>0</v>
      </c>
      <c r="H195" s="45">
        <f t="shared" si="73"/>
        <v>0</v>
      </c>
      <c r="I195" s="30">
        <f>SUMIFS(Output!$L:$L,Output!$A:$A,Prediction!$A195,Output!$C:$C,Prediction!E$5)</f>
        <v>0</v>
      </c>
      <c r="J195" s="29">
        <f>IFERROR(VLOOKUP($D195,Schedules!$A:$I,MATCH(Prediction!J$6,Schedules!$A$1:$H$1,0),FALSE),0)</f>
        <v>0</v>
      </c>
      <c r="K195" s="24">
        <f>IF(J195=0,0,SUMIFS(Output!$L:$L,Output!$A:$A,Prediction!$A195,Output!$C:$C,Prediction!J$5))</f>
        <v>0</v>
      </c>
      <c r="L195" s="24">
        <f t="shared" si="67"/>
        <v>0</v>
      </c>
      <c r="M195" s="24">
        <f t="shared" si="74"/>
        <v>0</v>
      </c>
      <c r="N195" s="30">
        <f>SUMIFS(Output!$L:$L,Output!$A:$A,Prediction!$A195,Output!$C:$C,Prediction!J$5)</f>
        <v>0</v>
      </c>
      <c r="O195" s="29">
        <f>IFERROR(VLOOKUP($D195,Schedules!$A:$I,MATCH(Prediction!O$6,Schedules!$A$1:$H$1,0),FALSE),0)</f>
        <v>0</v>
      </c>
      <c r="P195" s="24">
        <f>IF(O195=0,0,SUMIFS(Output!$L:$L,Output!$A:$A,Prediction!$A195,Output!$C:$C,Prediction!O$5))</f>
        <v>0</v>
      </c>
      <c r="Q195" s="24">
        <f t="shared" si="68"/>
        <v>0</v>
      </c>
      <c r="R195" s="24">
        <f t="shared" si="75"/>
        <v>0</v>
      </c>
      <c r="S195" s="30">
        <f>SUMIFS(Output!$L:$L,Output!$A:$A,Prediction!$A195,Output!$C:$C,Prediction!O$5)</f>
        <v>0</v>
      </c>
      <c r="T195" s="29">
        <f>IFERROR(VLOOKUP($D195,Schedules!$A:$I,MATCH(Prediction!T$6,Schedules!$A$1:$H$1,0),FALSE),0)</f>
        <v>0</v>
      </c>
      <c r="U195" s="24">
        <f>IF(T195=0,0,SUMIFS(Output!$L:$L,Output!$A:$A,Prediction!$A195,Output!$C:$C,Prediction!T$5))</f>
        <v>0</v>
      </c>
      <c r="V195" s="24">
        <f t="shared" si="76"/>
        <v>0</v>
      </c>
      <c r="W195" s="24">
        <f t="shared" si="77"/>
        <v>0</v>
      </c>
      <c r="X195" s="30">
        <f>SUMIFS(Output!$L:$L,Output!$A:$A,Prediction!$A195,Output!$C:$C,Prediction!T$5)</f>
        <v>0</v>
      </c>
      <c r="Y195" s="25">
        <f>IFERROR(VLOOKUP($D195,Schedules!$A:$I,MATCH(Prediction!Y$6,Schedules!$A$1:$H$1,0),FALSE),0)</f>
        <v>0</v>
      </c>
      <c r="Z195" s="24">
        <f>IF(Y195=0,0,SUMIFS(Output!$L:$L,Output!$A:$A,Prediction!$A195,Output!$C:$C,Prediction!Y$5))</f>
        <v>0</v>
      </c>
      <c r="AA195" s="24">
        <f t="shared" si="69"/>
        <v>0</v>
      </c>
      <c r="AB195" s="24">
        <f t="shared" si="78"/>
        <v>0</v>
      </c>
      <c r="AC195" s="30">
        <f>SUMIFS(Output!$L:$L,Output!$A:$A,Prediction!$A195,Output!$C:$C,Prediction!Y$5)</f>
        <v>0</v>
      </c>
      <c r="AD195" s="29">
        <f>IFERROR(VLOOKUP($D195,Schedules!$A:$I,MATCH(Prediction!AD$6,Schedules!$A$1:$H$1,0),FALSE),0)</f>
        <v>0</v>
      </c>
      <c r="AE195" s="24">
        <f>IF(AD195=0,0,SUMIFS(Output!$L:$L,Output!$A:$A,Prediction!$A195,Output!$C:$C,Prediction!AD$5))</f>
        <v>0</v>
      </c>
      <c r="AF195" s="24">
        <f t="shared" si="70"/>
        <v>0</v>
      </c>
      <c r="AG195" s="24">
        <f t="shared" si="79"/>
        <v>0</v>
      </c>
      <c r="AH195" s="30">
        <f>SUMIFS(Output!$L:$L,Output!$A:$A,Prediction!$A195,Output!$C:$C,Prediction!AD$5)</f>
        <v>0</v>
      </c>
      <c r="AI195" s="29">
        <f>IFERROR(VLOOKUP($D195,Schedules!$A:$I,MATCH(Prediction!AI$6,Schedules!$A$1:$H$1,0),FALSE),0)</f>
        <v>0</v>
      </c>
      <c r="AJ195" s="24">
        <f>IF(AI195=0,0,SUMIFS(Output!$L:$L,Output!$A:$A,Prediction!$A195,Output!$C:$C,Prediction!AI$5))</f>
        <v>0</v>
      </c>
      <c r="AK195" s="24">
        <f t="shared" si="71"/>
        <v>0</v>
      </c>
      <c r="AL195" s="24">
        <f t="shared" si="80"/>
        <v>0</v>
      </c>
      <c r="AM195" s="30">
        <f>SUMIFS(Output!$L:$L,Output!$A:$A,Prediction!$A195,Output!$C:$C,Prediction!AI$5)</f>
        <v>0</v>
      </c>
      <c r="AN195">
        <f t="shared" si="81"/>
        <v>0</v>
      </c>
      <c r="AO195" s="3">
        <f t="shared" si="82"/>
        <v>0</v>
      </c>
      <c r="AP195" s="44"/>
      <c r="AQ195" s="3">
        <f t="shared" si="72"/>
        <v>0</v>
      </c>
      <c r="AR195" s="3">
        <f t="shared" si="83"/>
        <v>0</v>
      </c>
    </row>
    <row r="196" spans="1:44" x14ac:dyDescent="0.25">
      <c r="A196" s="9" t="str">
        <f t="array" ref="A196">IFERROR(INDEX(Output!A$1:A$2000,MATCH(0,COUNTIF(Prediction!$A$7:A195,Output!A$1:A$2000),0)),"")</f>
        <v/>
      </c>
      <c r="B196" t="str">
        <f>IFERROR(VLOOKUP($A196,Output!$A:$M,2,FALSE),"")</f>
        <v/>
      </c>
      <c r="C196" t="str">
        <f>IFERROR(VLOOKUP(B196,Departments!B:C,2,FALSE),"")</f>
        <v/>
      </c>
      <c r="D196" t="str">
        <f>IFERROR(VLOOKUP($A196,Output!$A:$M,13,FALSE),"")</f>
        <v/>
      </c>
      <c r="E196" s="29">
        <f>IFERROR(VLOOKUP($D196,Schedules!$A:$I,MATCH(Prediction!E$6,Schedules!$A$1:$H$1,0),FALSE),0)</f>
        <v>0</v>
      </c>
      <c r="F196" s="24">
        <f>IF(E196=0,0,SUMIFS(Output!$L:$L,Output!$A:$A,Prediction!$A196,Output!$C:$C,Prediction!E$5))</f>
        <v>0</v>
      </c>
      <c r="G196" s="24">
        <f t="shared" si="66"/>
        <v>0</v>
      </c>
      <c r="H196" s="45">
        <f t="shared" si="73"/>
        <v>0</v>
      </c>
      <c r="I196" s="30">
        <f>SUMIFS(Output!$L:$L,Output!$A:$A,Prediction!$A196,Output!$C:$C,Prediction!E$5)</f>
        <v>0</v>
      </c>
      <c r="J196" s="29">
        <f>IFERROR(VLOOKUP($D196,Schedules!$A:$I,MATCH(Prediction!J$6,Schedules!$A$1:$H$1,0),FALSE),0)</f>
        <v>0</v>
      </c>
      <c r="K196" s="24">
        <f>IF(J196=0,0,SUMIFS(Output!$L:$L,Output!$A:$A,Prediction!$A196,Output!$C:$C,Prediction!J$5))</f>
        <v>0</v>
      </c>
      <c r="L196" s="24">
        <f t="shared" si="67"/>
        <v>0</v>
      </c>
      <c r="M196" s="24">
        <f t="shared" si="74"/>
        <v>0</v>
      </c>
      <c r="N196" s="30">
        <f>SUMIFS(Output!$L:$L,Output!$A:$A,Prediction!$A196,Output!$C:$C,Prediction!J$5)</f>
        <v>0</v>
      </c>
      <c r="O196" s="29">
        <f>IFERROR(VLOOKUP($D196,Schedules!$A:$I,MATCH(Prediction!O$6,Schedules!$A$1:$H$1,0),FALSE),0)</f>
        <v>0</v>
      </c>
      <c r="P196" s="24">
        <f>IF(O196=0,0,SUMIFS(Output!$L:$L,Output!$A:$A,Prediction!$A196,Output!$C:$C,Prediction!O$5))</f>
        <v>0</v>
      </c>
      <c r="Q196" s="24">
        <f t="shared" si="68"/>
        <v>0</v>
      </c>
      <c r="R196" s="24">
        <f t="shared" si="75"/>
        <v>0</v>
      </c>
      <c r="S196" s="30">
        <f>SUMIFS(Output!$L:$L,Output!$A:$A,Prediction!$A196,Output!$C:$C,Prediction!O$5)</f>
        <v>0</v>
      </c>
      <c r="T196" s="29">
        <f>IFERROR(VLOOKUP($D196,Schedules!$A:$I,MATCH(Prediction!T$6,Schedules!$A$1:$H$1,0),FALSE),0)</f>
        <v>0</v>
      </c>
      <c r="U196" s="24">
        <f>IF(T196=0,0,SUMIFS(Output!$L:$L,Output!$A:$A,Prediction!$A196,Output!$C:$C,Prediction!T$5))</f>
        <v>0</v>
      </c>
      <c r="V196" s="24">
        <f t="shared" si="76"/>
        <v>0</v>
      </c>
      <c r="W196" s="24">
        <f t="shared" si="77"/>
        <v>0</v>
      </c>
      <c r="X196" s="30">
        <f>SUMIFS(Output!$L:$L,Output!$A:$A,Prediction!$A196,Output!$C:$C,Prediction!T$5)</f>
        <v>0</v>
      </c>
      <c r="Y196" s="25">
        <f>IFERROR(VLOOKUP($D196,Schedules!$A:$I,MATCH(Prediction!Y$6,Schedules!$A$1:$H$1,0),FALSE),0)</f>
        <v>0</v>
      </c>
      <c r="Z196" s="24">
        <f>IF(Y196=0,0,SUMIFS(Output!$L:$L,Output!$A:$A,Prediction!$A196,Output!$C:$C,Prediction!Y$5))</f>
        <v>0</v>
      </c>
      <c r="AA196" s="24">
        <f t="shared" si="69"/>
        <v>0</v>
      </c>
      <c r="AB196" s="24">
        <f t="shared" si="78"/>
        <v>0</v>
      </c>
      <c r="AC196" s="30">
        <f>SUMIFS(Output!$L:$L,Output!$A:$A,Prediction!$A196,Output!$C:$C,Prediction!Y$5)</f>
        <v>0</v>
      </c>
      <c r="AD196" s="29">
        <f>IFERROR(VLOOKUP($D196,Schedules!$A:$I,MATCH(Prediction!AD$6,Schedules!$A$1:$H$1,0),FALSE),0)</f>
        <v>0</v>
      </c>
      <c r="AE196" s="24">
        <f>IF(AD196=0,0,SUMIFS(Output!$L:$L,Output!$A:$A,Prediction!$A196,Output!$C:$C,Prediction!AD$5))</f>
        <v>0</v>
      </c>
      <c r="AF196" s="24">
        <f t="shared" si="70"/>
        <v>0</v>
      </c>
      <c r="AG196" s="24">
        <f t="shared" si="79"/>
        <v>0</v>
      </c>
      <c r="AH196" s="30">
        <f>SUMIFS(Output!$L:$L,Output!$A:$A,Prediction!$A196,Output!$C:$C,Prediction!AD$5)</f>
        <v>0</v>
      </c>
      <c r="AI196" s="29">
        <f>IFERROR(VLOOKUP($D196,Schedules!$A:$I,MATCH(Prediction!AI$6,Schedules!$A$1:$H$1,0),FALSE),0)</f>
        <v>0</v>
      </c>
      <c r="AJ196" s="24">
        <f>IF(AI196=0,0,SUMIFS(Output!$L:$L,Output!$A:$A,Prediction!$A196,Output!$C:$C,Prediction!AI$5))</f>
        <v>0</v>
      </c>
      <c r="AK196" s="24">
        <f t="shared" si="71"/>
        <v>0</v>
      </c>
      <c r="AL196" s="24">
        <f t="shared" si="80"/>
        <v>0</v>
      </c>
      <c r="AM196" s="30">
        <f>SUMIFS(Output!$L:$L,Output!$A:$A,Prediction!$A196,Output!$C:$C,Prediction!AI$5)</f>
        <v>0</v>
      </c>
      <c r="AN196">
        <f t="shared" si="81"/>
        <v>0</v>
      </c>
      <c r="AO196" s="3">
        <f t="shared" si="82"/>
        <v>0</v>
      </c>
      <c r="AP196" s="44"/>
      <c r="AQ196" s="3">
        <f t="shared" si="72"/>
        <v>0</v>
      </c>
      <c r="AR196" s="3">
        <f t="shared" si="83"/>
        <v>0</v>
      </c>
    </row>
    <row r="197" spans="1:44" x14ac:dyDescent="0.25">
      <c r="A197" s="9" t="str">
        <f t="array" ref="A197">IFERROR(INDEX(Output!A$1:A$2000,MATCH(0,COUNTIF(Prediction!$A$7:A196,Output!A$1:A$2000),0)),"")</f>
        <v/>
      </c>
      <c r="B197" t="str">
        <f>IFERROR(VLOOKUP($A197,Output!$A:$M,2,FALSE),"")</f>
        <v/>
      </c>
      <c r="C197" t="str">
        <f>IFERROR(VLOOKUP(B197,Departments!B:C,2,FALSE),"")</f>
        <v/>
      </c>
      <c r="D197" t="str">
        <f>IFERROR(VLOOKUP($A197,Output!$A:$M,13,FALSE),"")</f>
        <v/>
      </c>
      <c r="E197" s="29">
        <f>IFERROR(VLOOKUP($D197,Schedules!$A:$I,MATCH(Prediction!E$6,Schedules!$A$1:$H$1,0),FALSE),0)</f>
        <v>0</v>
      </c>
      <c r="F197" s="24">
        <f>IF(E197=0,0,SUMIFS(Output!$L:$L,Output!$A:$A,Prediction!$A197,Output!$C:$C,Prediction!E$5))</f>
        <v>0</v>
      </c>
      <c r="G197" s="24">
        <f t="shared" si="66"/>
        <v>0</v>
      </c>
      <c r="H197" s="45">
        <f t="shared" si="73"/>
        <v>0</v>
      </c>
      <c r="I197" s="30">
        <f>SUMIFS(Output!$L:$L,Output!$A:$A,Prediction!$A197,Output!$C:$C,Prediction!E$5)</f>
        <v>0</v>
      </c>
      <c r="J197" s="29">
        <f>IFERROR(VLOOKUP($D197,Schedules!$A:$I,MATCH(Prediction!J$6,Schedules!$A$1:$H$1,0),FALSE),0)</f>
        <v>0</v>
      </c>
      <c r="K197" s="24">
        <f>IF(J197=0,0,SUMIFS(Output!$L:$L,Output!$A:$A,Prediction!$A197,Output!$C:$C,Prediction!J$5))</f>
        <v>0</v>
      </c>
      <c r="L197" s="24">
        <f t="shared" si="67"/>
        <v>0</v>
      </c>
      <c r="M197" s="24">
        <f t="shared" si="74"/>
        <v>0</v>
      </c>
      <c r="N197" s="30">
        <f>SUMIFS(Output!$L:$L,Output!$A:$A,Prediction!$A197,Output!$C:$C,Prediction!J$5)</f>
        <v>0</v>
      </c>
      <c r="O197" s="29">
        <f>IFERROR(VLOOKUP($D197,Schedules!$A:$I,MATCH(Prediction!O$6,Schedules!$A$1:$H$1,0),FALSE),0)</f>
        <v>0</v>
      </c>
      <c r="P197" s="24">
        <f>IF(O197=0,0,SUMIFS(Output!$L:$L,Output!$A:$A,Prediction!$A197,Output!$C:$C,Prediction!O$5))</f>
        <v>0</v>
      </c>
      <c r="Q197" s="24">
        <f t="shared" si="68"/>
        <v>0</v>
      </c>
      <c r="R197" s="24">
        <f t="shared" si="75"/>
        <v>0</v>
      </c>
      <c r="S197" s="30">
        <f>SUMIFS(Output!$L:$L,Output!$A:$A,Prediction!$A197,Output!$C:$C,Prediction!O$5)</f>
        <v>0</v>
      </c>
      <c r="T197" s="29">
        <f>IFERROR(VLOOKUP($D197,Schedules!$A:$I,MATCH(Prediction!T$6,Schedules!$A$1:$H$1,0),FALSE),0)</f>
        <v>0</v>
      </c>
      <c r="U197" s="24">
        <f>IF(T197=0,0,SUMIFS(Output!$L:$L,Output!$A:$A,Prediction!$A197,Output!$C:$C,Prediction!T$5))</f>
        <v>0</v>
      </c>
      <c r="V197" s="24">
        <f t="shared" si="76"/>
        <v>0</v>
      </c>
      <c r="W197" s="24">
        <f t="shared" si="77"/>
        <v>0</v>
      </c>
      <c r="X197" s="30">
        <f>SUMIFS(Output!$L:$L,Output!$A:$A,Prediction!$A197,Output!$C:$C,Prediction!T$5)</f>
        <v>0</v>
      </c>
      <c r="Y197" s="25">
        <f>IFERROR(VLOOKUP($D197,Schedules!$A:$I,MATCH(Prediction!Y$6,Schedules!$A$1:$H$1,0),FALSE),0)</f>
        <v>0</v>
      </c>
      <c r="Z197" s="24">
        <f>IF(Y197=0,0,SUMIFS(Output!$L:$L,Output!$A:$A,Prediction!$A197,Output!$C:$C,Prediction!Y$5))</f>
        <v>0</v>
      </c>
      <c r="AA197" s="24">
        <f t="shared" si="69"/>
        <v>0</v>
      </c>
      <c r="AB197" s="24">
        <f t="shared" si="78"/>
        <v>0</v>
      </c>
      <c r="AC197" s="30">
        <f>SUMIFS(Output!$L:$L,Output!$A:$A,Prediction!$A197,Output!$C:$C,Prediction!Y$5)</f>
        <v>0</v>
      </c>
      <c r="AD197" s="29">
        <f>IFERROR(VLOOKUP($D197,Schedules!$A:$I,MATCH(Prediction!AD$6,Schedules!$A$1:$H$1,0),FALSE),0)</f>
        <v>0</v>
      </c>
      <c r="AE197" s="24">
        <f>IF(AD197=0,0,SUMIFS(Output!$L:$L,Output!$A:$A,Prediction!$A197,Output!$C:$C,Prediction!AD$5))</f>
        <v>0</v>
      </c>
      <c r="AF197" s="24">
        <f t="shared" si="70"/>
        <v>0</v>
      </c>
      <c r="AG197" s="24">
        <f t="shared" si="79"/>
        <v>0</v>
      </c>
      <c r="AH197" s="30">
        <f>SUMIFS(Output!$L:$L,Output!$A:$A,Prediction!$A197,Output!$C:$C,Prediction!AD$5)</f>
        <v>0</v>
      </c>
      <c r="AI197" s="29">
        <f>IFERROR(VLOOKUP($D197,Schedules!$A:$I,MATCH(Prediction!AI$6,Schedules!$A$1:$H$1,0),FALSE),0)</f>
        <v>0</v>
      </c>
      <c r="AJ197" s="24">
        <f>IF(AI197=0,0,SUMIFS(Output!$L:$L,Output!$A:$A,Prediction!$A197,Output!$C:$C,Prediction!AI$5))</f>
        <v>0</v>
      </c>
      <c r="AK197" s="24">
        <f t="shared" si="71"/>
        <v>0</v>
      </c>
      <c r="AL197" s="24">
        <f t="shared" si="80"/>
        <v>0</v>
      </c>
      <c r="AM197" s="30">
        <f>SUMIFS(Output!$L:$L,Output!$A:$A,Prediction!$A197,Output!$C:$C,Prediction!AI$5)</f>
        <v>0</v>
      </c>
      <c r="AN197">
        <f t="shared" si="81"/>
        <v>0</v>
      </c>
      <c r="AO197" s="3">
        <f t="shared" si="82"/>
        <v>0</v>
      </c>
      <c r="AP197" s="44"/>
      <c r="AQ197" s="3">
        <f t="shared" si="72"/>
        <v>0</v>
      </c>
      <c r="AR197" s="3">
        <f t="shared" si="83"/>
        <v>0</v>
      </c>
    </row>
    <row r="198" spans="1:44" x14ac:dyDescent="0.25">
      <c r="A198" s="9" t="str">
        <f t="array" ref="A198">IFERROR(INDEX(Output!A$1:A$2000,MATCH(0,COUNTIF(Prediction!$A$7:A197,Output!A$1:A$2000),0)),"")</f>
        <v/>
      </c>
      <c r="B198" t="str">
        <f>IFERROR(VLOOKUP($A198,Output!$A:$M,2,FALSE),"")</f>
        <v/>
      </c>
      <c r="C198" t="str">
        <f>IFERROR(VLOOKUP(B198,Departments!B:C,2,FALSE),"")</f>
        <v/>
      </c>
      <c r="D198" t="str">
        <f>IFERROR(VLOOKUP($A198,Output!$A:$M,13,FALSE),"")</f>
        <v/>
      </c>
      <c r="E198" s="29">
        <f>IFERROR(VLOOKUP($D198,Schedules!$A:$I,MATCH(Prediction!E$6,Schedules!$A$1:$H$1,0),FALSE),0)</f>
        <v>0</v>
      </c>
      <c r="F198" s="24">
        <f>IF(E198=0,0,SUMIFS(Output!$L:$L,Output!$A:$A,Prediction!$A198,Output!$C:$C,Prediction!E$5))</f>
        <v>0</v>
      </c>
      <c r="G198" s="24">
        <f t="shared" si="66"/>
        <v>0</v>
      </c>
      <c r="H198" s="45">
        <f t="shared" si="73"/>
        <v>0</v>
      </c>
      <c r="I198" s="30">
        <f>SUMIFS(Output!$L:$L,Output!$A:$A,Prediction!$A198,Output!$C:$C,Prediction!E$5)</f>
        <v>0</v>
      </c>
      <c r="J198" s="29">
        <f>IFERROR(VLOOKUP($D198,Schedules!$A:$I,MATCH(Prediction!J$6,Schedules!$A$1:$H$1,0),FALSE),0)</f>
        <v>0</v>
      </c>
      <c r="K198" s="24">
        <f>IF(J198=0,0,SUMIFS(Output!$L:$L,Output!$A:$A,Prediction!$A198,Output!$C:$C,Prediction!J$5))</f>
        <v>0</v>
      </c>
      <c r="L198" s="24">
        <f t="shared" si="67"/>
        <v>0</v>
      </c>
      <c r="M198" s="24">
        <f t="shared" si="74"/>
        <v>0</v>
      </c>
      <c r="N198" s="30">
        <f>SUMIFS(Output!$L:$L,Output!$A:$A,Prediction!$A198,Output!$C:$C,Prediction!J$5)</f>
        <v>0</v>
      </c>
      <c r="O198" s="29">
        <f>IFERROR(VLOOKUP($D198,Schedules!$A:$I,MATCH(Prediction!O$6,Schedules!$A$1:$H$1,0),FALSE),0)</f>
        <v>0</v>
      </c>
      <c r="P198" s="24">
        <f>IF(O198=0,0,SUMIFS(Output!$L:$L,Output!$A:$A,Prediction!$A198,Output!$C:$C,Prediction!O$5))</f>
        <v>0</v>
      </c>
      <c r="Q198" s="24">
        <f t="shared" si="68"/>
        <v>0</v>
      </c>
      <c r="R198" s="24">
        <f t="shared" si="75"/>
        <v>0</v>
      </c>
      <c r="S198" s="30">
        <f>SUMIFS(Output!$L:$L,Output!$A:$A,Prediction!$A198,Output!$C:$C,Prediction!O$5)</f>
        <v>0</v>
      </c>
      <c r="T198" s="29">
        <f>IFERROR(VLOOKUP($D198,Schedules!$A:$I,MATCH(Prediction!T$6,Schedules!$A$1:$H$1,0),FALSE),0)</f>
        <v>0</v>
      </c>
      <c r="U198" s="24">
        <f>IF(T198=0,0,SUMIFS(Output!$L:$L,Output!$A:$A,Prediction!$A198,Output!$C:$C,Prediction!T$5))</f>
        <v>0</v>
      </c>
      <c r="V198" s="24">
        <f t="shared" si="76"/>
        <v>0</v>
      </c>
      <c r="W198" s="24">
        <f t="shared" si="77"/>
        <v>0</v>
      </c>
      <c r="X198" s="30">
        <f>SUMIFS(Output!$L:$L,Output!$A:$A,Prediction!$A198,Output!$C:$C,Prediction!T$5)</f>
        <v>0</v>
      </c>
      <c r="Y198" s="25">
        <f>IFERROR(VLOOKUP($D198,Schedules!$A:$I,MATCH(Prediction!Y$6,Schedules!$A$1:$H$1,0),FALSE),0)</f>
        <v>0</v>
      </c>
      <c r="Z198" s="24">
        <f>IF(Y198=0,0,SUMIFS(Output!$L:$L,Output!$A:$A,Prediction!$A198,Output!$C:$C,Prediction!Y$5))</f>
        <v>0</v>
      </c>
      <c r="AA198" s="24">
        <f t="shared" si="69"/>
        <v>0</v>
      </c>
      <c r="AB198" s="24">
        <f t="shared" si="78"/>
        <v>0</v>
      </c>
      <c r="AC198" s="30">
        <f>SUMIFS(Output!$L:$L,Output!$A:$A,Prediction!$A198,Output!$C:$C,Prediction!Y$5)</f>
        <v>0</v>
      </c>
      <c r="AD198" s="29">
        <f>IFERROR(VLOOKUP($D198,Schedules!$A:$I,MATCH(Prediction!AD$6,Schedules!$A$1:$H$1,0),FALSE),0)</f>
        <v>0</v>
      </c>
      <c r="AE198" s="24">
        <f>IF(AD198=0,0,SUMIFS(Output!$L:$L,Output!$A:$A,Prediction!$A198,Output!$C:$C,Prediction!AD$5))</f>
        <v>0</v>
      </c>
      <c r="AF198" s="24">
        <f t="shared" si="70"/>
        <v>0</v>
      </c>
      <c r="AG198" s="24">
        <f t="shared" si="79"/>
        <v>0</v>
      </c>
      <c r="AH198" s="30">
        <f>SUMIFS(Output!$L:$L,Output!$A:$A,Prediction!$A198,Output!$C:$C,Prediction!AD$5)</f>
        <v>0</v>
      </c>
      <c r="AI198" s="29">
        <f>IFERROR(VLOOKUP($D198,Schedules!$A:$I,MATCH(Prediction!AI$6,Schedules!$A$1:$H$1,0),FALSE),0)</f>
        <v>0</v>
      </c>
      <c r="AJ198" s="24">
        <f>IF(AI198=0,0,SUMIFS(Output!$L:$L,Output!$A:$A,Prediction!$A198,Output!$C:$C,Prediction!AI$5))</f>
        <v>0</v>
      </c>
      <c r="AK198" s="24">
        <f t="shared" si="71"/>
        <v>0</v>
      </c>
      <c r="AL198" s="24">
        <f t="shared" si="80"/>
        <v>0</v>
      </c>
      <c r="AM198" s="30">
        <f>SUMIFS(Output!$L:$L,Output!$A:$A,Prediction!$A198,Output!$C:$C,Prediction!AI$5)</f>
        <v>0</v>
      </c>
      <c r="AN198">
        <f t="shared" si="81"/>
        <v>0</v>
      </c>
      <c r="AO198" s="3">
        <f t="shared" si="82"/>
        <v>0</v>
      </c>
      <c r="AP198" s="44"/>
      <c r="AQ198" s="3">
        <f t="shared" si="72"/>
        <v>0</v>
      </c>
      <c r="AR198" s="3">
        <f t="shared" si="83"/>
        <v>0</v>
      </c>
    </row>
    <row r="199" spans="1:44" x14ac:dyDescent="0.25">
      <c r="A199" s="9" t="str">
        <f t="array" ref="A199">IFERROR(INDEX(Output!A$1:A$2000,MATCH(0,COUNTIF(Prediction!$A$7:A198,Output!A$1:A$2000),0)),"")</f>
        <v/>
      </c>
      <c r="B199" t="str">
        <f>IFERROR(VLOOKUP($A199,Output!$A:$M,2,FALSE),"")</f>
        <v/>
      </c>
      <c r="C199" t="str">
        <f>IFERROR(VLOOKUP(B199,Departments!B:C,2,FALSE),"")</f>
        <v/>
      </c>
      <c r="D199" t="str">
        <f>IFERROR(VLOOKUP($A199,Output!$A:$M,13,FALSE),"")</f>
        <v/>
      </c>
      <c r="E199" s="29">
        <f>IFERROR(VLOOKUP($D199,Schedules!$A:$I,MATCH(Prediction!E$6,Schedules!$A$1:$H$1,0),FALSE),0)</f>
        <v>0</v>
      </c>
      <c r="F199" s="24">
        <f>IF(E199=0,0,SUMIFS(Output!$L:$L,Output!$A:$A,Prediction!$A199,Output!$C:$C,Prediction!E$5))</f>
        <v>0</v>
      </c>
      <c r="G199" s="24">
        <f t="shared" si="66"/>
        <v>0</v>
      </c>
      <c r="H199" s="45">
        <f t="shared" si="73"/>
        <v>0</v>
      </c>
      <c r="I199" s="30">
        <f>SUMIFS(Output!$L:$L,Output!$A:$A,Prediction!$A199,Output!$C:$C,Prediction!E$5)</f>
        <v>0</v>
      </c>
      <c r="J199" s="29">
        <f>IFERROR(VLOOKUP($D199,Schedules!$A:$I,MATCH(Prediction!J$6,Schedules!$A$1:$H$1,0),FALSE),0)</f>
        <v>0</v>
      </c>
      <c r="K199" s="24">
        <f>IF(J199=0,0,SUMIFS(Output!$L:$L,Output!$A:$A,Prediction!$A199,Output!$C:$C,Prediction!J$5))</f>
        <v>0</v>
      </c>
      <c r="L199" s="24">
        <f t="shared" si="67"/>
        <v>0</v>
      </c>
      <c r="M199" s="24">
        <f t="shared" si="74"/>
        <v>0</v>
      </c>
      <c r="N199" s="30">
        <f>SUMIFS(Output!$L:$L,Output!$A:$A,Prediction!$A199,Output!$C:$C,Prediction!J$5)</f>
        <v>0</v>
      </c>
      <c r="O199" s="29">
        <f>IFERROR(VLOOKUP($D199,Schedules!$A:$I,MATCH(Prediction!O$6,Schedules!$A$1:$H$1,0),FALSE),0)</f>
        <v>0</v>
      </c>
      <c r="P199" s="24">
        <f>IF(O199=0,0,SUMIFS(Output!$L:$L,Output!$A:$A,Prediction!$A199,Output!$C:$C,Prediction!O$5))</f>
        <v>0</v>
      </c>
      <c r="Q199" s="24">
        <f t="shared" si="68"/>
        <v>0</v>
      </c>
      <c r="R199" s="24">
        <f t="shared" si="75"/>
        <v>0</v>
      </c>
      <c r="S199" s="30">
        <f>SUMIFS(Output!$L:$L,Output!$A:$A,Prediction!$A199,Output!$C:$C,Prediction!O$5)</f>
        <v>0</v>
      </c>
      <c r="T199" s="29">
        <f>IFERROR(VLOOKUP($D199,Schedules!$A:$I,MATCH(Prediction!T$6,Schedules!$A$1:$H$1,0),FALSE),0)</f>
        <v>0</v>
      </c>
      <c r="U199" s="24">
        <f>IF(T199=0,0,SUMIFS(Output!$L:$L,Output!$A:$A,Prediction!$A199,Output!$C:$C,Prediction!T$5))</f>
        <v>0</v>
      </c>
      <c r="V199" s="24">
        <f t="shared" si="76"/>
        <v>0</v>
      </c>
      <c r="W199" s="24">
        <f t="shared" si="77"/>
        <v>0</v>
      </c>
      <c r="X199" s="30">
        <f>SUMIFS(Output!$L:$L,Output!$A:$A,Prediction!$A199,Output!$C:$C,Prediction!T$5)</f>
        <v>0</v>
      </c>
      <c r="Y199" s="25">
        <f>IFERROR(VLOOKUP($D199,Schedules!$A:$I,MATCH(Prediction!Y$6,Schedules!$A$1:$H$1,0),FALSE),0)</f>
        <v>0</v>
      </c>
      <c r="Z199" s="24">
        <f>IF(Y199=0,0,SUMIFS(Output!$L:$L,Output!$A:$A,Prediction!$A199,Output!$C:$C,Prediction!Y$5))</f>
        <v>0</v>
      </c>
      <c r="AA199" s="24">
        <f t="shared" si="69"/>
        <v>0</v>
      </c>
      <c r="AB199" s="24">
        <f t="shared" si="78"/>
        <v>0</v>
      </c>
      <c r="AC199" s="30">
        <f>SUMIFS(Output!$L:$L,Output!$A:$A,Prediction!$A199,Output!$C:$C,Prediction!Y$5)</f>
        <v>0</v>
      </c>
      <c r="AD199" s="29">
        <f>IFERROR(VLOOKUP($D199,Schedules!$A:$I,MATCH(Prediction!AD$6,Schedules!$A$1:$H$1,0),FALSE),0)</f>
        <v>0</v>
      </c>
      <c r="AE199" s="24">
        <f>IF(AD199=0,0,SUMIFS(Output!$L:$L,Output!$A:$A,Prediction!$A199,Output!$C:$C,Prediction!AD$5))</f>
        <v>0</v>
      </c>
      <c r="AF199" s="24">
        <f t="shared" si="70"/>
        <v>0</v>
      </c>
      <c r="AG199" s="24">
        <f t="shared" si="79"/>
        <v>0</v>
      </c>
      <c r="AH199" s="30">
        <f>SUMIFS(Output!$L:$L,Output!$A:$A,Prediction!$A199,Output!$C:$C,Prediction!AD$5)</f>
        <v>0</v>
      </c>
      <c r="AI199" s="29">
        <f>IFERROR(VLOOKUP($D199,Schedules!$A:$I,MATCH(Prediction!AI$6,Schedules!$A$1:$H$1,0),FALSE),0)</f>
        <v>0</v>
      </c>
      <c r="AJ199" s="24">
        <f>IF(AI199=0,0,SUMIFS(Output!$L:$L,Output!$A:$A,Prediction!$A199,Output!$C:$C,Prediction!AI$5))</f>
        <v>0</v>
      </c>
      <c r="AK199" s="24">
        <f t="shared" si="71"/>
        <v>0</v>
      </c>
      <c r="AL199" s="24">
        <f t="shared" si="80"/>
        <v>0</v>
      </c>
      <c r="AM199" s="30">
        <f>SUMIFS(Output!$L:$L,Output!$A:$A,Prediction!$A199,Output!$C:$C,Prediction!AI$5)</f>
        <v>0</v>
      </c>
      <c r="AN199">
        <f t="shared" si="81"/>
        <v>0</v>
      </c>
      <c r="AO199" s="3">
        <f t="shared" si="82"/>
        <v>0</v>
      </c>
      <c r="AP199" s="44"/>
      <c r="AQ199" s="3">
        <f t="shared" si="72"/>
        <v>0</v>
      </c>
      <c r="AR199" s="3">
        <f t="shared" si="83"/>
        <v>0</v>
      </c>
    </row>
    <row r="200" spans="1:44" ht="15.75" thickBot="1" x14ac:dyDescent="0.3">
      <c r="A200" s="9" t="str">
        <f t="array" ref="A200">IFERROR(INDEX(Output!A$1:A$2000,MATCH(0,COUNTIF(Prediction!$A$7:A199,Output!A$1:A$2000),0)),"")</f>
        <v/>
      </c>
      <c r="B200" t="str">
        <f>IFERROR(VLOOKUP($A200,Output!$A:$M,2,FALSE),"")</f>
        <v/>
      </c>
      <c r="C200" t="str">
        <f>IFERROR(VLOOKUP(B200,Departments!B:C,2,FALSE),"")</f>
        <v/>
      </c>
      <c r="D200" t="str">
        <f>IFERROR(VLOOKUP($A200,Output!$A:$M,13,FALSE),"")</f>
        <v/>
      </c>
      <c r="E200" s="31">
        <f>IFERROR(VLOOKUP($D200,Schedules!$A:$I,MATCH(Prediction!E$6,Schedules!$A$1:$H$1,0),FALSE),0)</f>
        <v>0</v>
      </c>
      <c r="F200" s="32">
        <f>IF(E200=0,0,SUMIFS(Output!$L:$L,Output!$A:$A,Prediction!$A200,Output!$C:$C,Prediction!E$5))</f>
        <v>0</v>
      </c>
      <c r="G200" s="32">
        <f t="shared" si="66"/>
        <v>0</v>
      </c>
      <c r="H200" s="45">
        <f t="shared" si="73"/>
        <v>0</v>
      </c>
      <c r="I200" s="33">
        <f>SUMIFS(Output!$L:$L,Output!$A:$A,Prediction!$A200,Output!$C:$C,Prediction!E$5)</f>
        <v>0</v>
      </c>
      <c r="J200" s="31">
        <f>IFERROR(VLOOKUP($D200,Schedules!$A:$I,MATCH(Prediction!J$6,Schedules!$A$1:$H$1,0),FALSE),0)</f>
        <v>0</v>
      </c>
      <c r="K200" s="32">
        <f>IF(J200=0,0,SUMIFS(Output!$L:$L,Output!$A:$A,Prediction!$A200,Output!$C:$C,Prediction!J$5))</f>
        <v>0</v>
      </c>
      <c r="L200" s="32">
        <f t="shared" si="67"/>
        <v>0</v>
      </c>
      <c r="M200" s="32">
        <f t="shared" si="74"/>
        <v>0</v>
      </c>
      <c r="N200" s="33">
        <f>SUMIFS(Output!$L:$L,Output!$A:$A,Prediction!$A200,Output!$C:$C,Prediction!J$5)</f>
        <v>0</v>
      </c>
      <c r="O200" s="31">
        <f>IFERROR(VLOOKUP($D200,Schedules!$A:$I,MATCH(Prediction!O$6,Schedules!$A$1:$H$1,0),FALSE),0)</f>
        <v>0</v>
      </c>
      <c r="P200" s="32">
        <f>IF(O200=0,0,SUMIFS(Output!$L:$L,Output!$A:$A,Prediction!$A200,Output!$C:$C,Prediction!O$5))</f>
        <v>0</v>
      </c>
      <c r="Q200" s="32">
        <f t="shared" si="68"/>
        <v>0</v>
      </c>
      <c r="R200" s="32">
        <f t="shared" si="75"/>
        <v>0</v>
      </c>
      <c r="S200" s="33">
        <f>SUMIFS(Output!$L:$L,Output!$A:$A,Prediction!$A200,Output!$C:$C,Prediction!O$5)</f>
        <v>0</v>
      </c>
      <c r="T200" s="31">
        <f>IFERROR(VLOOKUP($D200,Schedules!$A:$I,MATCH(Prediction!T$6,Schedules!$A$1:$H$1,0),FALSE),0)</f>
        <v>0</v>
      </c>
      <c r="U200" s="32">
        <f>IF(T200=0,0,SUMIFS(Output!$L:$L,Output!$A:$A,Prediction!$A200,Output!$C:$C,Prediction!T$5))</f>
        <v>0</v>
      </c>
      <c r="V200" s="32">
        <f t="shared" si="76"/>
        <v>0</v>
      </c>
      <c r="W200" s="32">
        <f t="shared" si="77"/>
        <v>0</v>
      </c>
      <c r="X200" s="33">
        <f>SUMIFS(Output!$L:$L,Output!$A:$A,Prediction!$A200,Output!$C:$C,Prediction!T$5)</f>
        <v>0</v>
      </c>
      <c r="Y200" s="35">
        <f>IFERROR(VLOOKUP($D200,Schedules!$A:$I,MATCH(Prediction!Y$6,Schedules!$A$1:$H$1,0),FALSE),0)</f>
        <v>0</v>
      </c>
      <c r="Z200" s="24">
        <f>IF(Y200=0,0,SUMIFS(Output!$L:$L,Output!$A:$A,Prediction!$A200,Output!$C:$C,Prediction!Y$5))</f>
        <v>0</v>
      </c>
      <c r="AA200" s="32">
        <f t="shared" si="69"/>
        <v>0</v>
      </c>
      <c r="AB200" s="32">
        <f t="shared" si="78"/>
        <v>0</v>
      </c>
      <c r="AC200" s="33">
        <f>SUMIFS(Output!$L:$L,Output!$A:$A,Prediction!$A200,Output!$C:$C,Prediction!Y$5)</f>
        <v>0</v>
      </c>
      <c r="AD200" s="31">
        <f>IFERROR(VLOOKUP($D200,Schedules!$A:$I,MATCH(Prediction!AD$6,Schedules!$A$1:$H$1,0),FALSE),0)</f>
        <v>0</v>
      </c>
      <c r="AE200" s="32">
        <f>IF(AD200=0,0,SUMIFS(Output!$L:$L,Output!$A:$A,Prediction!$A200,Output!$C:$C,Prediction!AD$5))</f>
        <v>0</v>
      </c>
      <c r="AF200" s="32">
        <f t="shared" si="70"/>
        <v>0</v>
      </c>
      <c r="AG200" s="32">
        <f t="shared" si="79"/>
        <v>0</v>
      </c>
      <c r="AH200" s="33">
        <f>SUMIFS(Output!$L:$L,Output!$A:$A,Prediction!$A200,Output!$C:$C,Prediction!AD$5)</f>
        <v>0</v>
      </c>
      <c r="AI200" s="31">
        <f>IFERROR(VLOOKUP($D200,Schedules!$A:$I,MATCH(Prediction!AI$6,Schedules!$A$1:$H$1,0),FALSE),0)</f>
        <v>0</v>
      </c>
      <c r="AJ200" s="32">
        <f>IF(AI200=0,0,SUMIFS(Output!$L:$L,Output!$A:$A,Prediction!$A200,Output!$C:$C,Prediction!AI$5))</f>
        <v>0</v>
      </c>
      <c r="AK200" s="32">
        <f t="shared" si="71"/>
        <v>0</v>
      </c>
      <c r="AL200" s="32">
        <f t="shared" si="80"/>
        <v>0</v>
      </c>
      <c r="AM200" s="33">
        <f>SUMIFS(Output!$L:$L,Output!$A:$A,Prediction!$A200,Output!$C:$C,Prediction!AI$5)</f>
        <v>0</v>
      </c>
      <c r="AN200">
        <f t="shared" si="81"/>
        <v>0</v>
      </c>
      <c r="AO200" s="3">
        <f t="shared" si="82"/>
        <v>0</v>
      </c>
      <c r="AP200" s="44"/>
      <c r="AQ200" s="3">
        <f t="shared" si="72"/>
        <v>0</v>
      </c>
      <c r="AR200" s="3">
        <f t="shared" ref="AR200:AR201" si="84">IF(AQ200-AN200&lt;0,0,AQ200-AN200)</f>
        <v>0</v>
      </c>
    </row>
    <row r="201" spans="1:44" x14ac:dyDescent="0.25">
      <c r="A201" s="9" t="str">
        <f t="array" ref="A201">IFERROR(INDEX(Output!A$1:A$2000,MATCH(0,COUNTIF(Prediction!$A$7:A200,Output!A$1:A$2000),0)),"")</f>
        <v/>
      </c>
      <c r="B201" t="str">
        <f>IFERROR(VLOOKUP($A201,Output!$A:$M,2,FALSE),"")</f>
        <v/>
      </c>
      <c r="C201" t="str">
        <f>IFERROR(VLOOKUP(B201,Departments!B:C,2,FALSE),"")</f>
        <v/>
      </c>
      <c r="D201" t="str">
        <f>IFERROR(VLOOKUP($A201,Output!$A:$M,13,FALSE),"")</f>
        <v/>
      </c>
      <c r="E201" s="22">
        <f>IFERROR(VLOOKUP($D201,Schedules!$A:$I,MATCH(Prediction!E$6,Schedules!$A$1:$H$1,0),FALSE),0)</f>
        <v>0</v>
      </c>
      <c r="F201" s="23">
        <f>IF(E201=0,0,SUMIFS(Output!$L:$L,Output!$A:$A,Prediction!$A201,Output!$C:$C,Prediction!E$5))</f>
        <v>0</v>
      </c>
      <c r="G201" s="23">
        <f t="shared" ref="G201" si="85">IF(I201&gt;E201, I201-E201, 0)</f>
        <v>0</v>
      </c>
      <c r="H201" s="45">
        <f t="shared" si="73"/>
        <v>0</v>
      </c>
      <c r="I201" s="23">
        <f>SUMIFS(Output!$L:$L,Output!$A:$A,Prediction!$A201,Output!$C:$C,Prediction!E$5)</f>
        <v>0</v>
      </c>
      <c r="J201" s="22">
        <f>IFERROR(VLOOKUP($D201,Schedules!$A:$I,MATCH(Prediction!J$6,Schedules!$A$1:$H$1,0),FALSE),0)</f>
        <v>0</v>
      </c>
      <c r="K201" s="23">
        <f>IF(J201=0,0,SUMIFS(Output!$L:$L,Output!$A:$A,Prediction!$A201,Output!$C:$C,Prediction!J$5))</f>
        <v>0</v>
      </c>
      <c r="L201" s="23">
        <f t="shared" ref="L201" si="86">IF(N201&gt;J201, N201-J201, 0)</f>
        <v>0</v>
      </c>
      <c r="M201" s="23">
        <f t="shared" si="74"/>
        <v>0</v>
      </c>
      <c r="N201" s="23">
        <f>SUMIFS(Output!$L:$L,Output!$A:$A,Prediction!$A201,Output!$C:$C,Prediction!J$5)</f>
        <v>0</v>
      </c>
      <c r="O201" s="22">
        <f>IFERROR(VLOOKUP($D201,Schedules!$A:$I,MATCH(Prediction!O$6,Schedules!$A$1:$H$1,0),FALSE),0)</f>
        <v>0</v>
      </c>
      <c r="P201" s="23">
        <f>IF(O201=0,0,SUMIFS(Output!$L:$L,Output!$A:$A,Prediction!$A201,Output!$C:$C,Prediction!O$5))</f>
        <v>0</v>
      </c>
      <c r="Q201" s="23">
        <f t="shared" ref="Q201" si="87">IF(S201&gt;O201, S201-O201, 0)</f>
        <v>0</v>
      </c>
      <c r="R201" s="23">
        <f t="shared" si="75"/>
        <v>0</v>
      </c>
      <c r="S201" s="23">
        <f>SUMIFS(Output!$L:$L,Output!$A:$A,Prediction!$A201,Output!$C:$C,Prediction!O$5)</f>
        <v>0</v>
      </c>
      <c r="T201" s="22">
        <f>IFERROR(VLOOKUP($D201,Schedules!$A:$I,MATCH(Prediction!T$6,Schedules!$A$1:$H$1,0),FALSE),0)</f>
        <v>0</v>
      </c>
      <c r="U201" s="23">
        <f>IF(T201=0,0,SUMIFS(Output!$L:$L,Output!$A:$A,Prediction!$A201,Output!$C:$C,Prediction!T$5))</f>
        <v>0</v>
      </c>
      <c r="V201" s="23">
        <f t="shared" si="76"/>
        <v>0</v>
      </c>
      <c r="W201" s="23">
        <f t="shared" si="77"/>
        <v>0</v>
      </c>
      <c r="X201" s="23">
        <f>SUMIFS(Output!$L:$L,Output!$A:$A,Prediction!$A201,Output!$C:$C,Prediction!T$5)</f>
        <v>0</v>
      </c>
      <c r="Y201" s="22">
        <f>IFERROR(VLOOKUP($D201,Schedules!$A:$I,MATCH(Prediction!Y$6,Schedules!$A$1:$H$1,0),FALSE),0)</f>
        <v>0</v>
      </c>
      <c r="Z201" s="24">
        <f>IF(Y201=0,0,SUMIFS(Output!$L:$L,Output!$A:$A,Prediction!$A201,Output!$C:$C,Prediction!Y$5))</f>
        <v>0</v>
      </c>
      <c r="AA201" s="23">
        <f t="shared" ref="AA201" si="88">IF(AC201&gt;Y201, AC201-Y201, 0)</f>
        <v>0</v>
      </c>
      <c r="AB201" s="23">
        <f t="shared" si="78"/>
        <v>0</v>
      </c>
      <c r="AC201" s="23">
        <f>SUMIFS(Output!$L:$L,Output!$A:$A,Prediction!$A201,Output!$C:$C,Prediction!Y$5)</f>
        <v>0</v>
      </c>
      <c r="AD201" s="22">
        <f>IFERROR(VLOOKUP($D201,Schedules!$A:$I,MATCH(Prediction!AD$6,Schedules!$A$1:$H$1,0),FALSE),0)</f>
        <v>0</v>
      </c>
      <c r="AE201" s="23">
        <f>IF(AD201=0,0,SUMIFS(Output!$L:$L,Output!$A:$A,Prediction!$A201,Output!$C:$C,Prediction!AD$5))</f>
        <v>0</v>
      </c>
      <c r="AF201" s="23">
        <f t="shared" ref="AF201" si="89">IF(AH201&gt;AD201, AH201-AD201, 0)</f>
        <v>0</v>
      </c>
      <c r="AG201" s="23">
        <f t="shared" si="79"/>
        <v>0</v>
      </c>
      <c r="AH201" s="23">
        <f>SUMIFS(Output!$L:$L,Output!$A:$A,Prediction!$A201,Output!$C:$C,Prediction!AD$5)</f>
        <v>0</v>
      </c>
      <c r="AI201" s="22">
        <f>IFERROR(VLOOKUP($D201,Schedules!$A:$I,MATCH(Prediction!AI$6,Schedules!$A$1:$H$1,0),FALSE),0)</f>
        <v>0</v>
      </c>
      <c r="AJ201" s="23">
        <f>IF(AI201=0,0,SUMIFS(Output!$L:$L,Output!$A:$A,Prediction!$A201,Output!$C:$C,Prediction!AI$5))</f>
        <v>0</v>
      </c>
      <c r="AK201" s="23">
        <f t="shared" ref="AK201" si="90">IF(AM201&gt;AI201, AM201-AI201, 0)</f>
        <v>0</v>
      </c>
      <c r="AL201" s="23">
        <f t="shared" si="80"/>
        <v>0</v>
      </c>
      <c r="AM201" s="23">
        <f>SUMIFS(Output!$L:$L,Output!$A:$A,Prediction!$A201,Output!$C:$C,Prediction!AI$5)</f>
        <v>0</v>
      </c>
      <c r="AN201">
        <f t="shared" si="81"/>
        <v>0</v>
      </c>
      <c r="AO201" s="3">
        <f t="shared" si="82"/>
        <v>0</v>
      </c>
      <c r="AP201" s="3"/>
      <c r="AQ201" s="3">
        <f t="shared" ref="AQ201" si="91">SUM(H201:I201,M201:N201,R201:S201,W201:X201,AB201:AC201,AG201:AH201,AL201:AM201,AP201)</f>
        <v>0</v>
      </c>
      <c r="AR201" s="3">
        <f t="shared" si="84"/>
        <v>0</v>
      </c>
    </row>
  </sheetData>
  <mergeCells count="15">
    <mergeCell ref="A1:AM1"/>
    <mergeCell ref="E5:I5"/>
    <mergeCell ref="E6:I6"/>
    <mergeCell ref="AI5:AM5"/>
    <mergeCell ref="AI6:AM6"/>
    <mergeCell ref="J5:N5"/>
    <mergeCell ref="J6:N6"/>
    <mergeCell ref="O5:S5"/>
    <mergeCell ref="O6:S6"/>
    <mergeCell ref="T5:X5"/>
    <mergeCell ref="T6:X6"/>
    <mergeCell ref="Y5:AC5"/>
    <mergeCell ref="Y6:AC6"/>
    <mergeCell ref="AD5:AH5"/>
    <mergeCell ref="AD6:AH6"/>
  </mergeCells>
  <conditionalFormatting sqref="AR8:AR20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8:AR201">
    <cfRule type="cellIs" dxfId="4" priority="1" operator="equal">
      <formula>0</formula>
    </cfRule>
    <cfRule type="expression" dxfId="3" priority="2">
      <formula>0</formula>
    </cfRule>
  </conditionalFormatting>
  <conditionalFormatting sqref="AQ8:AQ201">
    <cfRule type="cellIs" dxfId="2" priority="11" operator="greaterThan">
      <formula>59.9</formula>
    </cfRule>
    <cfRule type="expression" dxfId="1" priority="12">
      <formula>$AQ8+$AP$6&gt;60</formula>
    </cfRule>
    <cfRule type="expression" dxfId="0" priority="13">
      <formula>$AQ8=$AN8</formula>
    </cfRule>
  </conditionalFormatting>
  <pageMargins left="0.7" right="0.7" top="0.75" bottom="0.75" header="0.3" footer="0.3"/>
  <pageSetup paperSize="9" orientation="portrait" r:id="rId1"/>
  <ignoredErrors>
    <ignoredError sqref="G8 Q8 V8 AA8 AF8 AK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77"/>
  <sheetViews>
    <sheetView workbookViewId="0">
      <selection activeCell="B39" sqref="B39"/>
    </sheetView>
  </sheetViews>
  <sheetFormatPr defaultRowHeight="15" x14ac:dyDescent="0.25"/>
  <cols>
    <col min="1" max="1" width="9.140625" style="17"/>
    <col min="2" max="2" width="32" style="17" bestFit="1" customWidth="1"/>
    <col min="3" max="3" width="33.140625" style="17" customWidth="1"/>
  </cols>
  <sheetData>
    <row r="1" spans="1:3" x14ac:dyDescent="0.25">
      <c r="A1" s="37">
        <v>96</v>
      </c>
      <c r="B1" s="38" t="s">
        <v>42</v>
      </c>
      <c r="C1" s="38" t="s">
        <v>43</v>
      </c>
    </row>
    <row r="2" spans="1:3" x14ac:dyDescent="0.25">
      <c r="A2" s="37">
        <v>533</v>
      </c>
      <c r="B2" s="38" t="s">
        <v>44</v>
      </c>
      <c r="C2" s="38" t="s">
        <v>45</v>
      </c>
    </row>
    <row r="3" spans="1:3" x14ac:dyDescent="0.25">
      <c r="A3" s="37">
        <v>628</v>
      </c>
      <c r="B3" s="38" t="s">
        <v>46</v>
      </c>
      <c r="C3" s="38" t="s">
        <v>47</v>
      </c>
    </row>
    <row r="4" spans="1:3" x14ac:dyDescent="0.25">
      <c r="A4" s="37">
        <v>699</v>
      </c>
      <c r="B4" s="38" t="s">
        <v>48</v>
      </c>
      <c r="C4" s="38" t="s">
        <v>49</v>
      </c>
    </row>
    <row r="5" spans="1:3" x14ac:dyDescent="0.25">
      <c r="A5" s="37">
        <v>706</v>
      </c>
      <c r="B5" s="38" t="s">
        <v>50</v>
      </c>
      <c r="C5" s="38" t="s">
        <v>49</v>
      </c>
    </row>
    <row r="6" spans="1:3" x14ac:dyDescent="0.25">
      <c r="A6" s="37">
        <v>718</v>
      </c>
      <c r="B6" s="38" t="s">
        <v>51</v>
      </c>
      <c r="C6" s="38" t="s">
        <v>52</v>
      </c>
    </row>
    <row r="7" spans="1:3" x14ac:dyDescent="0.25">
      <c r="A7" s="37">
        <v>752</v>
      </c>
      <c r="B7" s="38" t="s">
        <v>53</v>
      </c>
      <c r="C7" s="38" t="s">
        <v>54</v>
      </c>
    </row>
    <row r="8" spans="1:3" x14ac:dyDescent="0.25">
      <c r="A8" s="37">
        <v>776</v>
      </c>
      <c r="B8" s="38" t="s">
        <v>55</v>
      </c>
      <c r="C8" s="38" t="s">
        <v>56</v>
      </c>
    </row>
    <row r="9" spans="1:3" x14ac:dyDescent="0.25">
      <c r="A9" s="37">
        <v>784</v>
      </c>
      <c r="B9" s="38" t="s">
        <v>57</v>
      </c>
      <c r="C9" s="38" t="s">
        <v>49</v>
      </c>
    </row>
    <row r="10" spans="1:3" x14ac:dyDescent="0.25">
      <c r="A10" s="37">
        <v>800</v>
      </c>
      <c r="B10" s="38" t="s">
        <v>58</v>
      </c>
      <c r="C10" s="38" t="s">
        <v>49</v>
      </c>
    </row>
    <row r="11" spans="1:3" x14ac:dyDescent="0.25">
      <c r="A11" s="37">
        <v>836</v>
      </c>
      <c r="B11" s="38" t="s">
        <v>59</v>
      </c>
      <c r="C11" s="38" t="s">
        <v>49</v>
      </c>
    </row>
    <row r="12" spans="1:3" x14ac:dyDescent="0.25">
      <c r="A12" s="37">
        <v>863</v>
      </c>
      <c r="B12" s="38" t="s">
        <v>60</v>
      </c>
      <c r="C12" s="38" t="s">
        <v>56</v>
      </c>
    </row>
    <row r="13" spans="1:3" x14ac:dyDescent="0.25">
      <c r="A13" s="37">
        <v>869</v>
      </c>
      <c r="B13" s="38" t="s">
        <v>61</v>
      </c>
      <c r="C13" s="38" t="s">
        <v>54</v>
      </c>
    </row>
    <row r="14" spans="1:3" x14ac:dyDescent="0.25">
      <c r="A14" s="37">
        <v>872</v>
      </c>
      <c r="B14" s="38" t="s">
        <v>62</v>
      </c>
      <c r="C14" s="38" t="s">
        <v>63</v>
      </c>
    </row>
    <row r="15" spans="1:3" x14ac:dyDescent="0.25">
      <c r="A15" s="37">
        <v>883</v>
      </c>
      <c r="B15" s="38" t="s">
        <v>64</v>
      </c>
      <c r="C15" s="38" t="s">
        <v>56</v>
      </c>
    </row>
    <row r="16" spans="1:3" x14ac:dyDescent="0.25">
      <c r="A16" s="37">
        <v>916</v>
      </c>
      <c r="B16" s="38" t="s">
        <v>65</v>
      </c>
      <c r="C16" s="38" t="s">
        <v>52</v>
      </c>
    </row>
    <row r="17" spans="1:3" x14ac:dyDescent="0.25">
      <c r="A17" s="37">
        <v>923</v>
      </c>
      <c r="B17" s="38" t="s">
        <v>66</v>
      </c>
      <c r="C17" s="38" t="s">
        <v>52</v>
      </c>
    </row>
    <row r="18" spans="1:3" x14ac:dyDescent="0.25">
      <c r="A18" s="37">
        <v>936</v>
      </c>
      <c r="B18" s="38" t="s">
        <v>67</v>
      </c>
      <c r="C18" s="38" t="s">
        <v>68</v>
      </c>
    </row>
    <row r="19" spans="1:3" x14ac:dyDescent="0.25">
      <c r="A19" s="37">
        <v>945</v>
      </c>
      <c r="B19" s="38" t="s">
        <v>69</v>
      </c>
      <c r="C19" s="38" t="s">
        <v>70</v>
      </c>
    </row>
    <row r="20" spans="1:3" x14ac:dyDescent="0.25">
      <c r="A20" s="37">
        <v>947</v>
      </c>
      <c r="B20" s="38" t="s">
        <v>71</v>
      </c>
      <c r="C20" s="38" t="s">
        <v>45</v>
      </c>
    </row>
    <row r="21" spans="1:3" x14ac:dyDescent="0.25">
      <c r="A21" s="37">
        <v>975</v>
      </c>
      <c r="B21" s="38" t="s">
        <v>72</v>
      </c>
      <c r="C21" s="38" t="s">
        <v>52</v>
      </c>
    </row>
    <row r="22" spans="1:3" x14ac:dyDescent="0.25">
      <c r="A22" s="37">
        <v>984</v>
      </c>
      <c r="B22" s="38" t="s">
        <v>73</v>
      </c>
      <c r="C22" s="38" t="s">
        <v>54</v>
      </c>
    </row>
    <row r="23" spans="1:3" x14ac:dyDescent="0.25">
      <c r="A23" s="37">
        <v>995</v>
      </c>
      <c r="B23" s="38" t="s">
        <v>74</v>
      </c>
      <c r="C23" s="38" t="s">
        <v>54</v>
      </c>
    </row>
    <row r="24" spans="1:3" x14ac:dyDescent="0.25">
      <c r="A24" s="37">
        <v>1025</v>
      </c>
      <c r="B24" s="38" t="s">
        <v>75</v>
      </c>
      <c r="C24" s="38" t="s">
        <v>76</v>
      </c>
    </row>
    <row r="25" spans="1:3" x14ac:dyDescent="0.25">
      <c r="A25" s="37">
        <v>1063</v>
      </c>
      <c r="B25" s="38" t="s">
        <v>77</v>
      </c>
      <c r="C25" s="38" t="s">
        <v>68</v>
      </c>
    </row>
    <row r="26" spans="1:3" x14ac:dyDescent="0.25">
      <c r="A26" s="37">
        <v>1067</v>
      </c>
      <c r="B26" s="38" t="s">
        <v>78</v>
      </c>
      <c r="C26" s="38" t="s">
        <v>49</v>
      </c>
    </row>
    <row r="27" spans="1:3" x14ac:dyDescent="0.25">
      <c r="A27" s="37">
        <v>1068</v>
      </c>
      <c r="B27" s="38" t="s">
        <v>79</v>
      </c>
      <c r="C27" s="38" t="s">
        <v>49</v>
      </c>
    </row>
    <row r="28" spans="1:3" x14ac:dyDescent="0.25">
      <c r="A28" s="37">
        <v>1089</v>
      </c>
      <c r="B28" s="38" t="s">
        <v>80</v>
      </c>
      <c r="C28" s="38" t="s">
        <v>54</v>
      </c>
    </row>
    <row r="29" spans="1:3" x14ac:dyDescent="0.25">
      <c r="A29" s="37">
        <v>1100</v>
      </c>
      <c r="B29" s="38" t="s">
        <v>81</v>
      </c>
      <c r="C29" s="38" t="s">
        <v>54</v>
      </c>
    </row>
    <row r="30" spans="1:3" x14ac:dyDescent="0.25">
      <c r="A30" s="37">
        <v>1114</v>
      </c>
      <c r="B30" s="38" t="s">
        <v>82</v>
      </c>
      <c r="C30" s="38" t="s">
        <v>49</v>
      </c>
    </row>
    <row r="31" spans="1:3" x14ac:dyDescent="0.25">
      <c r="A31" s="37">
        <v>1121</v>
      </c>
      <c r="B31" s="38" t="s">
        <v>83</v>
      </c>
      <c r="C31" s="38" t="s">
        <v>49</v>
      </c>
    </row>
    <row r="32" spans="1:3" x14ac:dyDescent="0.25">
      <c r="A32" s="37">
        <v>1123</v>
      </c>
      <c r="B32" s="38" t="s">
        <v>84</v>
      </c>
      <c r="C32" s="38" t="s">
        <v>85</v>
      </c>
    </row>
    <row r="33" spans="1:3" x14ac:dyDescent="0.25">
      <c r="A33" s="37">
        <v>1127</v>
      </c>
      <c r="B33" s="38" t="s">
        <v>86</v>
      </c>
      <c r="C33" s="38" t="s">
        <v>45</v>
      </c>
    </row>
    <row r="34" spans="1:3" x14ac:dyDescent="0.25">
      <c r="A34" s="37">
        <v>1132</v>
      </c>
      <c r="B34" s="38" t="s">
        <v>87</v>
      </c>
      <c r="C34" s="38" t="s">
        <v>49</v>
      </c>
    </row>
    <row r="35" spans="1:3" x14ac:dyDescent="0.25">
      <c r="A35" s="37">
        <v>1135</v>
      </c>
      <c r="B35" s="39" t="s">
        <v>88</v>
      </c>
      <c r="C35" s="38" t="s">
        <v>89</v>
      </c>
    </row>
    <row r="36" spans="1:3" x14ac:dyDescent="0.25">
      <c r="A36" s="37">
        <v>1138</v>
      </c>
      <c r="B36" s="38" t="s">
        <v>90</v>
      </c>
      <c r="C36" s="38" t="s">
        <v>45</v>
      </c>
    </row>
    <row r="37" spans="1:3" x14ac:dyDescent="0.25">
      <c r="A37" s="37">
        <v>1153</v>
      </c>
      <c r="B37" s="38" t="s">
        <v>91</v>
      </c>
      <c r="C37" s="38" t="s">
        <v>54</v>
      </c>
    </row>
    <row r="38" spans="1:3" x14ac:dyDescent="0.25">
      <c r="A38" s="37">
        <v>1154</v>
      </c>
      <c r="B38" s="38" t="s">
        <v>92</v>
      </c>
      <c r="C38" s="38" t="s">
        <v>93</v>
      </c>
    </row>
    <row r="39" spans="1:3" x14ac:dyDescent="0.25">
      <c r="A39" s="37">
        <v>1169</v>
      </c>
      <c r="B39" s="39" t="s">
        <v>94</v>
      </c>
      <c r="C39" s="38" t="s">
        <v>89</v>
      </c>
    </row>
    <row r="40" spans="1:3" x14ac:dyDescent="0.25">
      <c r="A40" s="37">
        <v>1175</v>
      </c>
      <c r="B40" s="38" t="s">
        <v>95</v>
      </c>
      <c r="C40" s="38" t="s">
        <v>45</v>
      </c>
    </row>
    <row r="41" spans="1:3" x14ac:dyDescent="0.25">
      <c r="A41" s="37">
        <v>1178</v>
      </c>
      <c r="B41" s="38" t="s">
        <v>96</v>
      </c>
      <c r="C41" s="38" t="s">
        <v>97</v>
      </c>
    </row>
    <row r="42" spans="1:3" x14ac:dyDescent="0.25">
      <c r="A42" s="37">
        <v>1188</v>
      </c>
      <c r="B42" s="38" t="s">
        <v>98</v>
      </c>
      <c r="C42" s="38" t="s">
        <v>85</v>
      </c>
    </row>
    <row r="43" spans="1:3" x14ac:dyDescent="0.25">
      <c r="A43" s="37">
        <v>1193</v>
      </c>
      <c r="B43" s="38" t="s">
        <v>99</v>
      </c>
      <c r="C43" s="38" t="s">
        <v>100</v>
      </c>
    </row>
    <row r="44" spans="1:3" x14ac:dyDescent="0.25">
      <c r="A44" s="37">
        <v>1203</v>
      </c>
      <c r="B44" s="38" t="s">
        <v>101</v>
      </c>
      <c r="C44" s="38" t="s">
        <v>49</v>
      </c>
    </row>
    <row r="45" spans="1:3" x14ac:dyDescent="0.25">
      <c r="A45" s="37">
        <v>1207</v>
      </c>
      <c r="B45" s="38" t="s">
        <v>102</v>
      </c>
      <c r="C45" s="38" t="s">
        <v>70</v>
      </c>
    </row>
    <row r="46" spans="1:3" x14ac:dyDescent="0.25">
      <c r="A46" s="37">
        <v>1214</v>
      </c>
      <c r="B46" s="38" t="s">
        <v>103</v>
      </c>
      <c r="C46" s="38" t="s">
        <v>45</v>
      </c>
    </row>
    <row r="47" spans="1:3" x14ac:dyDescent="0.25">
      <c r="A47" s="37">
        <v>1226</v>
      </c>
      <c r="B47" s="38" t="s">
        <v>104</v>
      </c>
      <c r="C47" s="38" t="s">
        <v>56</v>
      </c>
    </row>
    <row r="48" spans="1:3" x14ac:dyDescent="0.25">
      <c r="A48" s="37">
        <v>1233</v>
      </c>
      <c r="B48" s="38" t="s">
        <v>105</v>
      </c>
      <c r="C48" s="38" t="s">
        <v>68</v>
      </c>
    </row>
    <row r="49" spans="1:3" x14ac:dyDescent="0.25">
      <c r="A49" s="37">
        <v>1243</v>
      </c>
      <c r="B49" s="38" t="s">
        <v>106</v>
      </c>
      <c r="C49" s="38" t="s">
        <v>107</v>
      </c>
    </row>
    <row r="50" spans="1:3" x14ac:dyDescent="0.25">
      <c r="A50" s="37">
        <v>1269</v>
      </c>
      <c r="B50" s="38" t="s">
        <v>108</v>
      </c>
      <c r="C50" s="38" t="s">
        <v>49</v>
      </c>
    </row>
    <row r="51" spans="1:3" x14ac:dyDescent="0.25">
      <c r="A51" s="37">
        <v>1276</v>
      </c>
      <c r="B51" s="38" t="s">
        <v>109</v>
      </c>
      <c r="C51" s="38" t="s">
        <v>45</v>
      </c>
    </row>
    <row r="52" spans="1:3" x14ac:dyDescent="0.25">
      <c r="A52" s="37">
        <v>1281</v>
      </c>
      <c r="B52" s="39" t="s">
        <v>110</v>
      </c>
      <c r="C52" s="38" t="s">
        <v>97</v>
      </c>
    </row>
    <row r="53" spans="1:3" x14ac:dyDescent="0.25">
      <c r="A53" s="37">
        <v>1284</v>
      </c>
      <c r="B53" s="39" t="s">
        <v>111</v>
      </c>
      <c r="C53" s="38" t="s">
        <v>45</v>
      </c>
    </row>
    <row r="54" spans="1:3" x14ac:dyDescent="0.25">
      <c r="A54" s="37">
        <v>1288</v>
      </c>
      <c r="B54" s="38" t="s">
        <v>112</v>
      </c>
      <c r="C54" s="38" t="s">
        <v>56</v>
      </c>
    </row>
    <row r="55" spans="1:3" x14ac:dyDescent="0.25">
      <c r="A55" s="37">
        <v>1315</v>
      </c>
      <c r="B55" s="38" t="s">
        <v>113</v>
      </c>
      <c r="C55" s="38" t="s">
        <v>76</v>
      </c>
    </row>
    <row r="56" spans="1:3" x14ac:dyDescent="0.25">
      <c r="A56" s="37">
        <v>1331</v>
      </c>
      <c r="B56" s="38" t="s">
        <v>114</v>
      </c>
      <c r="C56" s="38" t="s">
        <v>70</v>
      </c>
    </row>
    <row r="57" spans="1:3" x14ac:dyDescent="0.25">
      <c r="A57" s="37">
        <v>1332</v>
      </c>
      <c r="B57" s="38" t="s">
        <v>115</v>
      </c>
      <c r="C57" s="38" t="s">
        <v>116</v>
      </c>
    </row>
    <row r="58" spans="1:3" x14ac:dyDescent="0.25">
      <c r="A58" s="37">
        <v>1333</v>
      </c>
      <c r="B58" s="38" t="s">
        <v>117</v>
      </c>
      <c r="C58" s="38" t="s">
        <v>45</v>
      </c>
    </row>
    <row r="59" spans="1:3" x14ac:dyDescent="0.25">
      <c r="A59" s="37">
        <v>1334</v>
      </c>
      <c r="B59" s="38" t="s">
        <v>118</v>
      </c>
      <c r="C59" s="38" t="s">
        <v>85</v>
      </c>
    </row>
    <row r="60" spans="1:3" x14ac:dyDescent="0.25">
      <c r="A60" s="37">
        <v>1343</v>
      </c>
      <c r="B60" s="38" t="s">
        <v>119</v>
      </c>
      <c r="C60" s="38" t="s">
        <v>107</v>
      </c>
    </row>
    <row r="61" spans="1:3" x14ac:dyDescent="0.25">
      <c r="A61" s="37">
        <v>1344</v>
      </c>
      <c r="B61" s="38" t="s">
        <v>120</v>
      </c>
      <c r="C61" s="38" t="s">
        <v>49</v>
      </c>
    </row>
    <row r="62" spans="1:3" x14ac:dyDescent="0.25">
      <c r="A62" s="37">
        <v>1352</v>
      </c>
      <c r="B62" s="39" t="s">
        <v>121</v>
      </c>
      <c r="C62" s="38" t="s">
        <v>89</v>
      </c>
    </row>
    <row r="63" spans="1:3" x14ac:dyDescent="0.25">
      <c r="A63" s="37">
        <v>1357</v>
      </c>
      <c r="B63" s="38" t="s">
        <v>122</v>
      </c>
      <c r="C63" s="38" t="s">
        <v>63</v>
      </c>
    </row>
    <row r="64" spans="1:3" x14ac:dyDescent="0.25">
      <c r="A64" s="37">
        <v>1368</v>
      </c>
      <c r="B64" s="38" t="s">
        <v>123</v>
      </c>
      <c r="C64" s="38" t="s">
        <v>45</v>
      </c>
    </row>
    <row r="65" spans="1:3" x14ac:dyDescent="0.25">
      <c r="A65" s="37">
        <v>1370</v>
      </c>
      <c r="B65" s="38" t="s">
        <v>124</v>
      </c>
      <c r="C65" s="38" t="s">
        <v>47</v>
      </c>
    </row>
    <row r="66" spans="1:3" x14ac:dyDescent="0.25">
      <c r="A66" s="37">
        <v>1371</v>
      </c>
      <c r="B66" s="38" t="s">
        <v>125</v>
      </c>
      <c r="C66" s="38" t="s">
        <v>97</v>
      </c>
    </row>
    <row r="67" spans="1:3" x14ac:dyDescent="0.25">
      <c r="A67" s="37">
        <v>1373</v>
      </c>
      <c r="B67" s="38" t="s">
        <v>126</v>
      </c>
      <c r="C67" s="38" t="s">
        <v>97</v>
      </c>
    </row>
    <row r="68" spans="1:3" x14ac:dyDescent="0.25">
      <c r="A68" s="37">
        <v>1377</v>
      </c>
      <c r="B68" s="38" t="s">
        <v>127</v>
      </c>
      <c r="C68" s="38" t="s">
        <v>54</v>
      </c>
    </row>
    <row r="69" spans="1:3" x14ac:dyDescent="0.25">
      <c r="A69" s="37">
        <v>1379</v>
      </c>
      <c r="B69" s="38" t="s">
        <v>128</v>
      </c>
      <c r="C69" s="38" t="s">
        <v>54</v>
      </c>
    </row>
    <row r="70" spans="1:3" x14ac:dyDescent="0.25">
      <c r="A70" s="37">
        <v>1390</v>
      </c>
      <c r="B70" s="38" t="s">
        <v>129</v>
      </c>
      <c r="C70" s="38" t="s">
        <v>93</v>
      </c>
    </row>
    <row r="71" spans="1:3" x14ac:dyDescent="0.25">
      <c r="A71" s="37">
        <v>1391</v>
      </c>
      <c r="B71" s="38" t="s">
        <v>130</v>
      </c>
      <c r="C71" s="38" t="s">
        <v>97</v>
      </c>
    </row>
    <row r="72" spans="1:3" x14ac:dyDescent="0.25">
      <c r="A72" s="37">
        <v>1394</v>
      </c>
      <c r="B72" s="38" t="s">
        <v>131</v>
      </c>
      <c r="C72" s="38" t="s">
        <v>97</v>
      </c>
    </row>
    <row r="73" spans="1:3" x14ac:dyDescent="0.25">
      <c r="A73" s="37">
        <v>1395</v>
      </c>
      <c r="B73" s="38" t="s">
        <v>132</v>
      </c>
      <c r="C73" s="38" t="s">
        <v>63</v>
      </c>
    </row>
    <row r="74" spans="1:3" x14ac:dyDescent="0.25">
      <c r="A74" s="37">
        <v>1397</v>
      </c>
      <c r="B74" s="38" t="s">
        <v>133</v>
      </c>
      <c r="C74" s="38" t="s">
        <v>43</v>
      </c>
    </row>
    <row r="75" spans="1:3" x14ac:dyDescent="0.25">
      <c r="A75" s="37">
        <v>1406</v>
      </c>
      <c r="B75" s="38" t="s">
        <v>134</v>
      </c>
      <c r="C75" s="38" t="s">
        <v>135</v>
      </c>
    </row>
    <row r="76" spans="1:3" x14ac:dyDescent="0.25">
      <c r="A76" s="37">
        <v>1422</v>
      </c>
      <c r="B76" s="38" t="s">
        <v>136</v>
      </c>
      <c r="C76" s="38" t="s">
        <v>70</v>
      </c>
    </row>
    <row r="77" spans="1:3" x14ac:dyDescent="0.25">
      <c r="A77" s="37">
        <v>1428</v>
      </c>
      <c r="B77" s="38" t="s">
        <v>137</v>
      </c>
      <c r="C77" s="38" t="s">
        <v>52</v>
      </c>
    </row>
    <row r="78" spans="1:3" x14ac:dyDescent="0.25">
      <c r="A78" s="37">
        <v>1430</v>
      </c>
      <c r="B78" s="38" t="s">
        <v>138</v>
      </c>
      <c r="C78" s="38" t="s">
        <v>76</v>
      </c>
    </row>
    <row r="79" spans="1:3" x14ac:dyDescent="0.25">
      <c r="A79" s="37">
        <v>1432</v>
      </c>
      <c r="B79" s="38" t="s">
        <v>139</v>
      </c>
      <c r="C79" s="38" t="s">
        <v>49</v>
      </c>
    </row>
    <row r="80" spans="1:3" x14ac:dyDescent="0.25">
      <c r="A80" s="37">
        <v>1433</v>
      </c>
      <c r="B80" s="38" t="s">
        <v>140</v>
      </c>
      <c r="C80" s="38" t="s">
        <v>49</v>
      </c>
    </row>
    <row r="81" spans="1:3" x14ac:dyDescent="0.25">
      <c r="A81" s="37">
        <v>1434</v>
      </c>
      <c r="B81" s="38" t="s">
        <v>141</v>
      </c>
      <c r="C81" s="38" t="s">
        <v>68</v>
      </c>
    </row>
    <row r="82" spans="1:3" x14ac:dyDescent="0.25">
      <c r="A82" s="37">
        <v>1437</v>
      </c>
      <c r="B82" s="38" t="s">
        <v>142</v>
      </c>
      <c r="C82" s="38" t="s">
        <v>63</v>
      </c>
    </row>
    <row r="83" spans="1:3" x14ac:dyDescent="0.25">
      <c r="A83" s="37">
        <v>1440</v>
      </c>
      <c r="B83" s="38" t="s">
        <v>143</v>
      </c>
      <c r="C83" s="38" t="s">
        <v>52</v>
      </c>
    </row>
    <row r="84" spans="1:3" x14ac:dyDescent="0.25">
      <c r="A84" s="37">
        <v>1446</v>
      </c>
      <c r="B84" s="38" t="s">
        <v>144</v>
      </c>
      <c r="C84" s="38" t="s">
        <v>70</v>
      </c>
    </row>
    <row r="85" spans="1:3" x14ac:dyDescent="0.25">
      <c r="A85" s="37">
        <v>1448</v>
      </c>
      <c r="B85" s="38" t="s">
        <v>145</v>
      </c>
      <c r="C85" s="38" t="s">
        <v>85</v>
      </c>
    </row>
    <row r="86" spans="1:3" x14ac:dyDescent="0.25">
      <c r="A86" s="37">
        <v>1451</v>
      </c>
      <c r="B86" s="38" t="s">
        <v>146</v>
      </c>
      <c r="C86" s="38" t="s">
        <v>116</v>
      </c>
    </row>
    <row r="87" spans="1:3" x14ac:dyDescent="0.25">
      <c r="A87" s="37">
        <v>1452</v>
      </c>
      <c r="B87" s="38" t="s">
        <v>147</v>
      </c>
      <c r="C87" s="38" t="s">
        <v>45</v>
      </c>
    </row>
    <row r="88" spans="1:3" x14ac:dyDescent="0.25">
      <c r="A88" s="37">
        <v>1457</v>
      </c>
      <c r="B88" s="38" t="s">
        <v>148</v>
      </c>
      <c r="C88" s="38" t="s">
        <v>52</v>
      </c>
    </row>
    <row r="89" spans="1:3" x14ac:dyDescent="0.25">
      <c r="A89" s="37">
        <v>1458</v>
      </c>
      <c r="B89" s="38" t="s">
        <v>149</v>
      </c>
      <c r="C89" s="38" t="s">
        <v>85</v>
      </c>
    </row>
    <row r="90" spans="1:3" x14ac:dyDescent="0.25">
      <c r="A90" s="37">
        <v>1460</v>
      </c>
      <c r="B90" s="38" t="s">
        <v>150</v>
      </c>
      <c r="C90" s="38" t="s">
        <v>49</v>
      </c>
    </row>
    <row r="91" spans="1:3" x14ac:dyDescent="0.25">
      <c r="A91" s="37">
        <v>1462</v>
      </c>
      <c r="B91" s="38" t="s">
        <v>151</v>
      </c>
      <c r="C91" s="38" t="s">
        <v>49</v>
      </c>
    </row>
    <row r="92" spans="1:3" x14ac:dyDescent="0.25">
      <c r="A92" s="37">
        <v>1463</v>
      </c>
      <c r="B92" s="38" t="s">
        <v>152</v>
      </c>
      <c r="C92" s="38" t="s">
        <v>49</v>
      </c>
    </row>
    <row r="93" spans="1:3" x14ac:dyDescent="0.25">
      <c r="A93" s="37">
        <v>1467</v>
      </c>
      <c r="B93" s="38" t="s">
        <v>153</v>
      </c>
      <c r="C93" s="38" t="s">
        <v>70</v>
      </c>
    </row>
    <row r="94" spans="1:3" x14ac:dyDescent="0.25">
      <c r="A94" s="37">
        <v>1468</v>
      </c>
      <c r="B94" s="38" t="s">
        <v>154</v>
      </c>
      <c r="C94" s="38" t="s">
        <v>63</v>
      </c>
    </row>
    <row r="95" spans="1:3" x14ac:dyDescent="0.25">
      <c r="A95" s="37">
        <v>1469</v>
      </c>
      <c r="B95" s="38" t="s">
        <v>155</v>
      </c>
      <c r="C95" s="38" t="s">
        <v>76</v>
      </c>
    </row>
    <row r="96" spans="1:3" x14ac:dyDescent="0.25">
      <c r="A96" s="37">
        <v>1470</v>
      </c>
      <c r="B96" s="38" t="s">
        <v>156</v>
      </c>
      <c r="C96" s="38" t="s">
        <v>49</v>
      </c>
    </row>
    <row r="97" spans="1:3" x14ac:dyDescent="0.25">
      <c r="A97" s="37">
        <v>1471</v>
      </c>
      <c r="B97" s="38" t="s">
        <v>157</v>
      </c>
      <c r="C97" s="38" t="s">
        <v>76</v>
      </c>
    </row>
    <row r="98" spans="1:3" x14ac:dyDescent="0.25">
      <c r="A98" s="37">
        <v>1474</v>
      </c>
      <c r="B98" s="38" t="s">
        <v>158</v>
      </c>
      <c r="C98" s="38" t="s">
        <v>85</v>
      </c>
    </row>
    <row r="99" spans="1:3" x14ac:dyDescent="0.25">
      <c r="A99" s="37">
        <v>1476</v>
      </c>
      <c r="B99" s="38" t="s">
        <v>159</v>
      </c>
      <c r="C99" s="38" t="s">
        <v>97</v>
      </c>
    </row>
    <row r="100" spans="1:3" x14ac:dyDescent="0.25">
      <c r="A100" s="37">
        <v>1477</v>
      </c>
      <c r="B100" s="38" t="s">
        <v>160</v>
      </c>
      <c r="C100" s="38" t="s">
        <v>47</v>
      </c>
    </row>
    <row r="101" spans="1:3" x14ac:dyDescent="0.25">
      <c r="A101" s="37">
        <v>1478</v>
      </c>
      <c r="B101" s="38" t="s">
        <v>161</v>
      </c>
      <c r="C101" s="38" t="s">
        <v>47</v>
      </c>
    </row>
    <row r="102" spans="1:3" x14ac:dyDescent="0.25">
      <c r="A102" s="37">
        <v>1480</v>
      </c>
      <c r="B102" s="38" t="s">
        <v>162</v>
      </c>
      <c r="C102" s="38" t="s">
        <v>54</v>
      </c>
    </row>
    <row r="103" spans="1:3" x14ac:dyDescent="0.25">
      <c r="A103" s="37">
        <v>1482</v>
      </c>
      <c r="B103" s="38" t="s">
        <v>163</v>
      </c>
      <c r="C103" s="38" t="s">
        <v>49</v>
      </c>
    </row>
    <row r="104" spans="1:3" x14ac:dyDescent="0.25">
      <c r="A104" s="37">
        <v>1484</v>
      </c>
      <c r="B104" s="38" t="s">
        <v>164</v>
      </c>
      <c r="C104" s="38" t="s">
        <v>85</v>
      </c>
    </row>
    <row r="105" spans="1:3" x14ac:dyDescent="0.25">
      <c r="A105" s="37">
        <v>1485</v>
      </c>
      <c r="B105" s="38" t="s">
        <v>165</v>
      </c>
      <c r="C105" s="38" t="s">
        <v>56</v>
      </c>
    </row>
    <row r="106" spans="1:3" x14ac:dyDescent="0.25">
      <c r="A106" s="37">
        <v>1486</v>
      </c>
      <c r="B106" s="38" t="s">
        <v>166</v>
      </c>
      <c r="C106" s="38" t="s">
        <v>85</v>
      </c>
    </row>
    <row r="107" spans="1:3" x14ac:dyDescent="0.25">
      <c r="A107" s="37">
        <v>1487</v>
      </c>
      <c r="B107" s="38" t="s">
        <v>167</v>
      </c>
      <c r="C107" s="38" t="s">
        <v>107</v>
      </c>
    </row>
    <row r="108" spans="1:3" x14ac:dyDescent="0.25">
      <c r="A108" s="37">
        <v>1488</v>
      </c>
      <c r="B108" s="38" t="s">
        <v>168</v>
      </c>
      <c r="C108" s="38" t="s">
        <v>89</v>
      </c>
    </row>
    <row r="109" spans="1:3" x14ac:dyDescent="0.25">
      <c r="A109" s="37">
        <v>1491</v>
      </c>
      <c r="B109" s="38" t="s">
        <v>169</v>
      </c>
      <c r="C109" s="38" t="s">
        <v>97</v>
      </c>
    </row>
    <row r="110" spans="1:3" x14ac:dyDescent="0.25">
      <c r="A110" s="37">
        <v>1495</v>
      </c>
      <c r="B110" s="38" t="s">
        <v>170</v>
      </c>
      <c r="C110" s="38" t="s">
        <v>54</v>
      </c>
    </row>
    <row r="111" spans="1:3" x14ac:dyDescent="0.25">
      <c r="A111" s="37">
        <v>1498</v>
      </c>
      <c r="B111" s="38" t="s">
        <v>171</v>
      </c>
      <c r="C111" s="38" t="s">
        <v>97</v>
      </c>
    </row>
    <row r="112" spans="1:3" x14ac:dyDescent="0.25">
      <c r="A112" s="37">
        <v>1499</v>
      </c>
      <c r="B112" s="38" t="s">
        <v>172</v>
      </c>
      <c r="C112" s="38" t="s">
        <v>97</v>
      </c>
    </row>
    <row r="113" spans="1:3" x14ac:dyDescent="0.25">
      <c r="A113" s="37">
        <v>1502</v>
      </c>
      <c r="B113" s="38" t="s">
        <v>173</v>
      </c>
      <c r="C113" s="38" t="s">
        <v>107</v>
      </c>
    </row>
    <row r="114" spans="1:3" x14ac:dyDescent="0.25">
      <c r="A114" s="37">
        <v>1503</v>
      </c>
      <c r="B114" s="38" t="s">
        <v>174</v>
      </c>
      <c r="C114" s="38" t="s">
        <v>52</v>
      </c>
    </row>
    <row r="115" spans="1:3" x14ac:dyDescent="0.25">
      <c r="A115" s="37">
        <v>1504</v>
      </c>
      <c r="B115" s="38" t="s">
        <v>175</v>
      </c>
      <c r="C115" s="38" t="s">
        <v>49</v>
      </c>
    </row>
    <row r="116" spans="1:3" x14ac:dyDescent="0.25">
      <c r="A116" s="37">
        <v>1507</v>
      </c>
      <c r="B116" s="38" t="s">
        <v>176</v>
      </c>
      <c r="C116" s="38" t="s">
        <v>49</v>
      </c>
    </row>
    <row r="117" spans="1:3" x14ac:dyDescent="0.25">
      <c r="A117" s="37">
        <v>1508</v>
      </c>
      <c r="B117" s="38" t="s">
        <v>177</v>
      </c>
      <c r="C117" s="38" t="s">
        <v>54</v>
      </c>
    </row>
    <row r="118" spans="1:3" x14ac:dyDescent="0.25">
      <c r="A118" s="37">
        <v>1510</v>
      </c>
      <c r="B118" s="38" t="s">
        <v>178</v>
      </c>
      <c r="C118" s="38" t="s">
        <v>52</v>
      </c>
    </row>
    <row r="119" spans="1:3" x14ac:dyDescent="0.25">
      <c r="A119" s="37">
        <v>1512</v>
      </c>
      <c r="B119" s="38" t="s">
        <v>179</v>
      </c>
      <c r="C119" s="38" t="s">
        <v>49</v>
      </c>
    </row>
    <row r="120" spans="1:3" x14ac:dyDescent="0.25">
      <c r="A120" s="37">
        <v>1513</v>
      </c>
      <c r="B120" s="38" t="s">
        <v>180</v>
      </c>
      <c r="C120" s="38" t="s">
        <v>47</v>
      </c>
    </row>
    <row r="121" spans="1:3" x14ac:dyDescent="0.25">
      <c r="A121" s="37">
        <v>1515</v>
      </c>
      <c r="B121" s="38" t="s">
        <v>181</v>
      </c>
      <c r="C121" s="38" t="s">
        <v>97</v>
      </c>
    </row>
    <row r="122" spans="1:3" x14ac:dyDescent="0.25">
      <c r="A122" s="37">
        <v>1516</v>
      </c>
      <c r="B122" s="38" t="s">
        <v>182</v>
      </c>
      <c r="C122" s="38" t="s">
        <v>97</v>
      </c>
    </row>
    <row r="123" spans="1:3" x14ac:dyDescent="0.25">
      <c r="A123" s="37">
        <v>1517</v>
      </c>
      <c r="B123" s="38" t="s">
        <v>183</v>
      </c>
      <c r="C123" s="38" t="s">
        <v>76</v>
      </c>
    </row>
    <row r="124" spans="1:3" x14ac:dyDescent="0.25">
      <c r="A124" s="37">
        <v>1519</v>
      </c>
      <c r="B124" s="38" t="s">
        <v>184</v>
      </c>
      <c r="C124" s="38" t="s">
        <v>52</v>
      </c>
    </row>
    <row r="125" spans="1:3" x14ac:dyDescent="0.25">
      <c r="A125" s="37">
        <v>1522</v>
      </c>
      <c r="B125" s="38" t="s">
        <v>185</v>
      </c>
      <c r="C125" s="38" t="s">
        <v>56</v>
      </c>
    </row>
    <row r="126" spans="1:3" x14ac:dyDescent="0.25">
      <c r="A126" s="37">
        <v>1523</v>
      </c>
      <c r="B126" s="38" t="s">
        <v>186</v>
      </c>
      <c r="C126" s="38" t="s">
        <v>89</v>
      </c>
    </row>
    <row r="127" spans="1:3" x14ac:dyDescent="0.25">
      <c r="A127" s="37">
        <v>1528</v>
      </c>
      <c r="B127" s="38" t="s">
        <v>187</v>
      </c>
      <c r="C127" s="38" t="s">
        <v>45</v>
      </c>
    </row>
    <row r="128" spans="1:3" x14ac:dyDescent="0.25">
      <c r="A128" s="37">
        <v>1529</v>
      </c>
      <c r="B128" s="40" t="s">
        <v>188</v>
      </c>
      <c r="C128" s="38" t="s">
        <v>56</v>
      </c>
    </row>
    <row r="129" spans="1:3" x14ac:dyDescent="0.25">
      <c r="A129" s="37">
        <v>1531</v>
      </c>
      <c r="B129" s="38" t="s">
        <v>189</v>
      </c>
      <c r="C129" s="38" t="s">
        <v>97</v>
      </c>
    </row>
    <row r="130" spans="1:3" x14ac:dyDescent="0.25">
      <c r="A130" s="37">
        <v>1532</v>
      </c>
      <c r="B130" s="38" t="s">
        <v>190</v>
      </c>
      <c r="C130" s="38" t="s">
        <v>97</v>
      </c>
    </row>
    <row r="131" spans="1:3" x14ac:dyDescent="0.25">
      <c r="A131" s="37">
        <v>1533</v>
      </c>
      <c r="B131" s="38" t="s">
        <v>191</v>
      </c>
      <c r="C131" s="38" t="s">
        <v>97</v>
      </c>
    </row>
    <row r="132" spans="1:3" x14ac:dyDescent="0.25">
      <c r="A132" s="37">
        <v>1537</v>
      </c>
      <c r="B132" s="38" t="s">
        <v>192</v>
      </c>
      <c r="C132" s="38" t="s">
        <v>43</v>
      </c>
    </row>
    <row r="133" spans="1:3" x14ac:dyDescent="0.25">
      <c r="A133" s="37">
        <v>1539</v>
      </c>
      <c r="B133" s="38" t="s">
        <v>193</v>
      </c>
      <c r="C133" s="38" t="s">
        <v>47</v>
      </c>
    </row>
    <row r="134" spans="1:3" x14ac:dyDescent="0.25">
      <c r="A134" s="37">
        <v>1540</v>
      </c>
      <c r="B134" s="40" t="s">
        <v>194</v>
      </c>
      <c r="C134" s="38" t="s">
        <v>47</v>
      </c>
    </row>
    <row r="135" spans="1:3" x14ac:dyDescent="0.25">
      <c r="A135" s="37">
        <v>1542</v>
      </c>
      <c r="B135" s="38" t="s">
        <v>195</v>
      </c>
      <c r="C135" s="38" t="s">
        <v>97</v>
      </c>
    </row>
    <row r="136" spans="1:3" x14ac:dyDescent="0.25">
      <c r="A136" s="37">
        <v>1544</v>
      </c>
      <c r="B136" s="38" t="s">
        <v>196</v>
      </c>
      <c r="C136" s="38" t="s">
        <v>52</v>
      </c>
    </row>
    <row r="137" spans="1:3" x14ac:dyDescent="0.25">
      <c r="A137" s="37">
        <v>1546</v>
      </c>
      <c r="B137" s="38" t="s">
        <v>197</v>
      </c>
      <c r="C137" s="38" t="s">
        <v>52</v>
      </c>
    </row>
    <row r="138" spans="1:3" x14ac:dyDescent="0.25">
      <c r="A138" s="37">
        <v>1548</v>
      </c>
      <c r="B138" s="38" t="s">
        <v>198</v>
      </c>
      <c r="C138" s="38" t="s">
        <v>56</v>
      </c>
    </row>
    <row r="139" spans="1:3" x14ac:dyDescent="0.25">
      <c r="A139" s="37">
        <v>1550</v>
      </c>
      <c r="B139" s="38" t="s">
        <v>199</v>
      </c>
      <c r="C139" s="38" t="s">
        <v>54</v>
      </c>
    </row>
    <row r="140" spans="1:3" x14ac:dyDescent="0.25">
      <c r="A140" s="37">
        <v>1553</v>
      </c>
      <c r="B140" s="38" t="s">
        <v>200</v>
      </c>
      <c r="C140" s="38" t="s">
        <v>97</v>
      </c>
    </row>
    <row r="141" spans="1:3" x14ac:dyDescent="0.25">
      <c r="A141" s="37">
        <v>1555</v>
      </c>
      <c r="B141" s="38" t="s">
        <v>201</v>
      </c>
      <c r="C141" s="38" t="s">
        <v>54</v>
      </c>
    </row>
    <row r="142" spans="1:3" x14ac:dyDescent="0.25">
      <c r="A142" s="37">
        <v>1556</v>
      </c>
      <c r="B142" s="38" t="s">
        <v>202</v>
      </c>
      <c r="C142" s="38" t="s">
        <v>97</v>
      </c>
    </row>
    <row r="143" spans="1:3" x14ac:dyDescent="0.25">
      <c r="A143" s="37">
        <v>1559</v>
      </c>
      <c r="B143" s="38" t="s">
        <v>203</v>
      </c>
      <c r="C143" s="38" t="s">
        <v>97</v>
      </c>
    </row>
    <row r="144" spans="1:3" x14ac:dyDescent="0.25">
      <c r="A144" s="37">
        <v>1563</v>
      </c>
      <c r="B144" s="38" t="s">
        <v>204</v>
      </c>
      <c r="C144" s="38" t="s">
        <v>49</v>
      </c>
    </row>
    <row r="145" spans="1:3" x14ac:dyDescent="0.25">
      <c r="A145" s="37">
        <v>1564</v>
      </c>
      <c r="B145" s="38" t="s">
        <v>205</v>
      </c>
      <c r="C145" s="38" t="s">
        <v>100</v>
      </c>
    </row>
    <row r="146" spans="1:3" x14ac:dyDescent="0.25">
      <c r="A146" s="37">
        <v>1566</v>
      </c>
      <c r="B146" s="38" t="s">
        <v>206</v>
      </c>
      <c r="C146" s="38" t="s">
        <v>70</v>
      </c>
    </row>
    <row r="147" spans="1:3" x14ac:dyDescent="0.25">
      <c r="A147" s="37">
        <v>1568</v>
      </c>
      <c r="B147" s="38" t="s">
        <v>207</v>
      </c>
      <c r="C147" s="38" t="s">
        <v>54</v>
      </c>
    </row>
    <row r="148" spans="1:3" x14ac:dyDescent="0.25">
      <c r="A148" s="37">
        <v>1569</v>
      </c>
      <c r="B148" s="38" t="s">
        <v>208</v>
      </c>
      <c r="C148" s="38" t="s">
        <v>107</v>
      </c>
    </row>
    <row r="149" spans="1:3" x14ac:dyDescent="0.25">
      <c r="A149" s="37">
        <v>1571</v>
      </c>
      <c r="B149" s="38" t="s">
        <v>209</v>
      </c>
      <c r="C149" s="38" t="s">
        <v>100</v>
      </c>
    </row>
    <row r="150" spans="1:3" x14ac:dyDescent="0.25">
      <c r="A150" s="37">
        <v>1572</v>
      </c>
      <c r="B150" s="38" t="s">
        <v>210</v>
      </c>
      <c r="C150" s="38" t="s">
        <v>54</v>
      </c>
    </row>
    <row r="151" spans="1:3" x14ac:dyDescent="0.25">
      <c r="A151" s="37">
        <v>1573</v>
      </c>
      <c r="B151" s="38" t="s">
        <v>211</v>
      </c>
      <c r="C151" s="38" t="s">
        <v>76</v>
      </c>
    </row>
    <row r="152" spans="1:3" x14ac:dyDescent="0.25">
      <c r="A152" s="37">
        <v>1574</v>
      </c>
      <c r="B152" s="38" t="s">
        <v>212</v>
      </c>
      <c r="C152" s="38" t="s">
        <v>49</v>
      </c>
    </row>
    <row r="153" spans="1:3" x14ac:dyDescent="0.25">
      <c r="A153" s="37">
        <v>1576</v>
      </c>
      <c r="B153" s="38" t="s">
        <v>213</v>
      </c>
      <c r="C153" s="38" t="s">
        <v>52</v>
      </c>
    </row>
    <row r="154" spans="1:3" x14ac:dyDescent="0.25">
      <c r="A154" s="37">
        <v>1577</v>
      </c>
      <c r="B154" s="38" t="s">
        <v>214</v>
      </c>
      <c r="C154" s="38" t="s">
        <v>89</v>
      </c>
    </row>
    <row r="155" spans="1:3" x14ac:dyDescent="0.25">
      <c r="A155" s="37">
        <v>1578</v>
      </c>
      <c r="B155" s="38" t="s">
        <v>215</v>
      </c>
      <c r="C155" s="38" t="s">
        <v>52</v>
      </c>
    </row>
    <row r="156" spans="1:3" x14ac:dyDescent="0.25">
      <c r="A156" s="37">
        <v>1579</v>
      </c>
      <c r="B156" s="38" t="s">
        <v>216</v>
      </c>
      <c r="C156" s="38" t="s">
        <v>54</v>
      </c>
    </row>
    <row r="157" spans="1:3" x14ac:dyDescent="0.25">
      <c r="A157" s="37">
        <v>1580</v>
      </c>
      <c r="B157" s="38" t="s">
        <v>217</v>
      </c>
      <c r="C157" s="38" t="s">
        <v>63</v>
      </c>
    </row>
    <row r="158" spans="1:3" x14ac:dyDescent="0.25">
      <c r="A158" s="37">
        <v>1581</v>
      </c>
      <c r="B158" s="38" t="s">
        <v>218</v>
      </c>
      <c r="C158" s="38" t="s">
        <v>47</v>
      </c>
    </row>
    <row r="159" spans="1:3" x14ac:dyDescent="0.25">
      <c r="A159" s="37">
        <v>1583</v>
      </c>
      <c r="B159" s="38" t="s">
        <v>219</v>
      </c>
      <c r="C159" s="38" t="s">
        <v>47</v>
      </c>
    </row>
    <row r="160" spans="1:3" x14ac:dyDescent="0.25">
      <c r="A160" s="37">
        <v>1584</v>
      </c>
      <c r="B160" s="38" t="s">
        <v>220</v>
      </c>
      <c r="C160" s="38" t="s">
        <v>97</v>
      </c>
    </row>
    <row r="161" spans="1:3" x14ac:dyDescent="0.25">
      <c r="A161" s="37">
        <v>1585</v>
      </c>
      <c r="B161" s="38" t="s">
        <v>221</v>
      </c>
      <c r="C161" s="38" t="s">
        <v>52</v>
      </c>
    </row>
    <row r="162" spans="1:3" x14ac:dyDescent="0.25">
      <c r="A162" s="37">
        <v>1586</v>
      </c>
      <c r="B162" s="38" t="s">
        <v>222</v>
      </c>
      <c r="C162" s="38" t="s">
        <v>54</v>
      </c>
    </row>
    <row r="163" spans="1:3" x14ac:dyDescent="0.25">
      <c r="A163" s="37">
        <v>1587</v>
      </c>
      <c r="B163" s="38" t="s">
        <v>223</v>
      </c>
      <c r="C163" s="38" t="s">
        <v>49</v>
      </c>
    </row>
    <row r="164" spans="1:3" x14ac:dyDescent="0.25">
      <c r="A164" s="37">
        <v>1588</v>
      </c>
      <c r="B164" s="38" t="s">
        <v>14</v>
      </c>
      <c r="C164" s="38" t="s">
        <v>70</v>
      </c>
    </row>
    <row r="165" spans="1:3" x14ac:dyDescent="0.25">
      <c r="A165" s="37">
        <v>1589</v>
      </c>
      <c r="B165" s="38" t="s">
        <v>224</v>
      </c>
      <c r="C165" s="38" t="s">
        <v>49</v>
      </c>
    </row>
    <row r="166" spans="1:3" x14ac:dyDescent="0.25">
      <c r="A166" s="37">
        <v>1590</v>
      </c>
      <c r="B166" s="38" t="s">
        <v>225</v>
      </c>
      <c r="C166" s="38" t="s">
        <v>49</v>
      </c>
    </row>
    <row r="167" spans="1:3" x14ac:dyDescent="0.25">
      <c r="A167" s="37">
        <v>1591</v>
      </c>
      <c r="B167" s="38" t="s">
        <v>226</v>
      </c>
      <c r="C167" s="38" t="s">
        <v>47</v>
      </c>
    </row>
    <row r="168" spans="1:3" x14ac:dyDescent="0.25">
      <c r="A168" s="37">
        <v>1592</v>
      </c>
      <c r="B168" s="38" t="s">
        <v>227</v>
      </c>
      <c r="C168" s="38" t="s">
        <v>97</v>
      </c>
    </row>
    <row r="169" spans="1:3" x14ac:dyDescent="0.25">
      <c r="A169" s="37">
        <v>1593</v>
      </c>
      <c r="B169" s="38" t="s">
        <v>228</v>
      </c>
      <c r="C169" s="38" t="s">
        <v>47</v>
      </c>
    </row>
    <row r="170" spans="1:3" x14ac:dyDescent="0.25">
      <c r="A170" s="37">
        <v>1594</v>
      </c>
      <c r="B170" s="38" t="s">
        <v>229</v>
      </c>
      <c r="C170" s="38" t="s">
        <v>49</v>
      </c>
    </row>
    <row r="171" spans="1:3" x14ac:dyDescent="0.25">
      <c r="A171" s="37">
        <v>1595</v>
      </c>
      <c r="B171" s="38" t="s">
        <v>230</v>
      </c>
      <c r="C171" s="38" t="s">
        <v>49</v>
      </c>
    </row>
    <row r="172" spans="1:3" x14ac:dyDescent="0.25">
      <c r="A172" s="37">
        <v>1596</v>
      </c>
      <c r="B172" s="38" t="s">
        <v>231</v>
      </c>
      <c r="C172" s="38" t="s">
        <v>97</v>
      </c>
    </row>
    <row r="173" spans="1:3" x14ac:dyDescent="0.25">
      <c r="A173" s="37">
        <v>1597</v>
      </c>
      <c r="B173" s="38" t="s">
        <v>232</v>
      </c>
      <c r="C173" s="38" t="s">
        <v>76</v>
      </c>
    </row>
    <row r="174" spans="1:3" x14ac:dyDescent="0.25">
      <c r="A174" s="37">
        <v>1598</v>
      </c>
      <c r="B174" s="38" t="s">
        <v>233</v>
      </c>
      <c r="C174" s="38" t="s">
        <v>49</v>
      </c>
    </row>
    <row r="175" spans="1:3" x14ac:dyDescent="0.25">
      <c r="A175" s="37">
        <v>1599</v>
      </c>
      <c r="B175" s="38" t="s">
        <v>234</v>
      </c>
      <c r="C175" s="38" t="s">
        <v>97</v>
      </c>
    </row>
    <row r="176" spans="1:3" x14ac:dyDescent="0.25">
      <c r="A176" s="37">
        <v>1600</v>
      </c>
      <c r="B176" s="38" t="s">
        <v>235</v>
      </c>
      <c r="C176" s="38" t="s">
        <v>54</v>
      </c>
    </row>
    <row r="177" spans="2:3" x14ac:dyDescent="0.25">
      <c r="B177" s="17" t="s">
        <v>13</v>
      </c>
      <c r="C177" s="38" t="s">
        <v>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selection activeCell="I11" sqref="I11"/>
    </sheetView>
  </sheetViews>
  <sheetFormatPr defaultRowHeight="15" x14ac:dyDescent="0.25"/>
  <cols>
    <col min="1" max="1" width="17.7109375" bestFit="1" customWidth="1"/>
  </cols>
  <sheetData>
    <row r="1" spans="1:9" x14ac:dyDescent="0.25">
      <c r="A1" s="10" t="s">
        <v>30</v>
      </c>
      <c r="B1" s="10" t="s">
        <v>24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22</v>
      </c>
      <c r="H1" s="10" t="s">
        <v>23</v>
      </c>
      <c r="I1" s="10" t="s">
        <v>25</v>
      </c>
    </row>
    <row r="2" spans="1:9" x14ac:dyDescent="0.25">
      <c r="A2" s="10" t="s">
        <v>28</v>
      </c>
      <c r="B2" s="9"/>
      <c r="C2" s="9">
        <v>10.5</v>
      </c>
      <c r="D2" s="9">
        <v>10.5</v>
      </c>
      <c r="E2" s="9">
        <v>10.5</v>
      </c>
      <c r="F2" s="9">
        <v>10.5</v>
      </c>
      <c r="G2" s="9"/>
      <c r="H2" s="9"/>
      <c r="I2" s="11">
        <f>SUM(B2:H2)</f>
        <v>42</v>
      </c>
    </row>
    <row r="3" spans="1:9" x14ac:dyDescent="0.25">
      <c r="A3" s="10" t="s">
        <v>29</v>
      </c>
      <c r="B3" s="9"/>
      <c r="C3" s="9"/>
      <c r="D3" s="9">
        <v>8.5</v>
      </c>
      <c r="E3" s="9">
        <v>8.5</v>
      </c>
      <c r="F3" s="9">
        <v>8.5</v>
      </c>
      <c r="G3" s="9"/>
      <c r="H3" s="9"/>
      <c r="I3" s="10">
        <f t="shared" ref="I3:I6" si="0">SUM(B3:H3)</f>
        <v>25.5</v>
      </c>
    </row>
    <row r="4" spans="1:9" x14ac:dyDescent="0.25">
      <c r="A4" s="10" t="s">
        <v>33</v>
      </c>
      <c r="B4" s="9">
        <v>12</v>
      </c>
      <c r="C4" s="9"/>
      <c r="D4" s="9"/>
      <c r="E4" s="9"/>
      <c r="F4" s="9"/>
      <c r="G4" s="9"/>
      <c r="H4" s="9">
        <v>12</v>
      </c>
      <c r="I4" s="10">
        <f t="shared" si="0"/>
        <v>24</v>
      </c>
    </row>
    <row r="5" spans="1:9" x14ac:dyDescent="0.25">
      <c r="A5" s="10" t="s">
        <v>31</v>
      </c>
      <c r="B5" s="9">
        <v>10</v>
      </c>
      <c r="C5" s="9"/>
      <c r="D5" s="9"/>
      <c r="E5" s="9">
        <v>9.5</v>
      </c>
      <c r="F5" s="9">
        <v>9.5</v>
      </c>
      <c r="G5" s="9">
        <v>9.5</v>
      </c>
      <c r="H5" s="9">
        <v>9.5</v>
      </c>
      <c r="I5" s="10">
        <f t="shared" si="0"/>
        <v>48</v>
      </c>
    </row>
    <row r="6" spans="1:9" x14ac:dyDescent="0.25">
      <c r="A6" s="10" t="s">
        <v>32</v>
      </c>
      <c r="B6" s="9">
        <v>7</v>
      </c>
      <c r="C6" s="9">
        <v>7</v>
      </c>
      <c r="D6" s="9">
        <v>7</v>
      </c>
      <c r="E6" s="9">
        <v>7</v>
      </c>
      <c r="F6" s="9"/>
      <c r="G6" s="9">
        <v>7</v>
      </c>
      <c r="H6" s="9">
        <v>7</v>
      </c>
      <c r="I6" s="10">
        <f t="shared" si="0"/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Output</vt:lpstr>
      <vt:lpstr>Prediction</vt:lpstr>
      <vt:lpstr>Departments</vt:lpstr>
      <vt:lpstr>Schedules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Burroughs</dc:creator>
  <cp:lastModifiedBy>Jake Burroughs</cp:lastModifiedBy>
  <dcterms:created xsi:type="dcterms:W3CDTF">2021-06-29T10:10:08Z</dcterms:created>
  <dcterms:modified xsi:type="dcterms:W3CDTF">2021-12-27T13:12:24Z</dcterms:modified>
</cp:coreProperties>
</file>